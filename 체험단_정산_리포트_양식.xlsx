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4BA246C-13E2-4C87-A9AB-658B389F547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대시보드" sheetId="1" r:id="rId1"/>
    <sheet name="수익 세부내역" sheetId="2" r:id="rId2"/>
    <sheet name="진행중 체험단" sheetId="3" r:id="rId3"/>
    <sheet name="완료 체험단" sheetId="4" r:id="rId4"/>
  </sheets>
  <definedNames>
    <definedName name="_xlnm._FilterDatabase" localSheetId="3" hidden="1">'완료 체험단'!$A$3:$I$2000</definedName>
    <definedName name="_xlnm._FilterDatabase" localSheetId="2" hidden="1">'진행중 체험단'!$A$3:$I$2000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000" i="4" l="1"/>
  <c r="H2000" i="4"/>
  <c r="K1999" i="4"/>
  <c r="H1999" i="4"/>
  <c r="K1998" i="4"/>
  <c r="H1998" i="4"/>
  <c r="K1997" i="4"/>
  <c r="H1997" i="4"/>
  <c r="K1996" i="4"/>
  <c r="H1996" i="4"/>
  <c r="K1995" i="4"/>
  <c r="H1995" i="4"/>
  <c r="K1994" i="4"/>
  <c r="H1994" i="4"/>
  <c r="K1993" i="4"/>
  <c r="H1993" i="4"/>
  <c r="K1992" i="4"/>
  <c r="H1992" i="4"/>
  <c r="K1991" i="4"/>
  <c r="H1991" i="4"/>
  <c r="K1990" i="4"/>
  <c r="H1990" i="4"/>
  <c r="K1989" i="4"/>
  <c r="H1989" i="4"/>
  <c r="K1988" i="4"/>
  <c r="H1988" i="4"/>
  <c r="K1987" i="4"/>
  <c r="H1987" i="4"/>
  <c r="K1986" i="4"/>
  <c r="H1986" i="4"/>
  <c r="K1985" i="4"/>
  <c r="H1985" i="4"/>
  <c r="K1984" i="4"/>
  <c r="H1984" i="4"/>
  <c r="K1983" i="4"/>
  <c r="H1983" i="4"/>
  <c r="K1982" i="4"/>
  <c r="H1982" i="4"/>
  <c r="K1981" i="4"/>
  <c r="H1981" i="4"/>
  <c r="K1980" i="4"/>
  <c r="H1980" i="4"/>
  <c r="K1979" i="4"/>
  <c r="H1979" i="4"/>
  <c r="K1978" i="4"/>
  <c r="H1978" i="4"/>
  <c r="K1977" i="4"/>
  <c r="H1977" i="4"/>
  <c r="K1976" i="4"/>
  <c r="H1976" i="4"/>
  <c r="K1975" i="4"/>
  <c r="H1975" i="4"/>
  <c r="K1974" i="4"/>
  <c r="H1974" i="4"/>
  <c r="K1973" i="4"/>
  <c r="H1973" i="4"/>
  <c r="K1972" i="4"/>
  <c r="H1972" i="4"/>
  <c r="K1971" i="4"/>
  <c r="H1971" i="4"/>
  <c r="K1970" i="4"/>
  <c r="H1970" i="4"/>
  <c r="K1969" i="4"/>
  <c r="H1969" i="4"/>
  <c r="K1968" i="4"/>
  <c r="H1968" i="4"/>
  <c r="K1967" i="4"/>
  <c r="H1967" i="4"/>
  <c r="K1966" i="4"/>
  <c r="H1966" i="4"/>
  <c r="K1965" i="4"/>
  <c r="H1965" i="4"/>
  <c r="K1964" i="4"/>
  <c r="H1964" i="4"/>
  <c r="K1963" i="4"/>
  <c r="H1963" i="4"/>
  <c r="K1962" i="4"/>
  <c r="H1962" i="4"/>
  <c r="K1961" i="4"/>
  <c r="H1961" i="4"/>
  <c r="K1960" i="4"/>
  <c r="H1960" i="4"/>
  <c r="K1959" i="4"/>
  <c r="H1959" i="4"/>
  <c r="K1958" i="4"/>
  <c r="H1958" i="4"/>
  <c r="K1957" i="4"/>
  <c r="H1957" i="4"/>
  <c r="K1956" i="4"/>
  <c r="H1956" i="4"/>
  <c r="K1955" i="4"/>
  <c r="H1955" i="4"/>
  <c r="K1954" i="4"/>
  <c r="H1954" i="4"/>
  <c r="K1953" i="4"/>
  <c r="H1953" i="4"/>
  <c r="K1952" i="4"/>
  <c r="H1952" i="4"/>
  <c r="K1951" i="4"/>
  <c r="H1951" i="4"/>
  <c r="K1950" i="4"/>
  <c r="H1950" i="4"/>
  <c r="K1949" i="4"/>
  <c r="H1949" i="4"/>
  <c r="K1948" i="4"/>
  <c r="H1948" i="4"/>
  <c r="K1947" i="4"/>
  <c r="H1947" i="4"/>
  <c r="K1946" i="4"/>
  <c r="H1946" i="4"/>
  <c r="K1945" i="4"/>
  <c r="H1945" i="4"/>
  <c r="K1944" i="4"/>
  <c r="H1944" i="4"/>
  <c r="K1943" i="4"/>
  <c r="H1943" i="4"/>
  <c r="K1942" i="4"/>
  <c r="H1942" i="4"/>
  <c r="K1941" i="4"/>
  <c r="H1941" i="4"/>
  <c r="K1940" i="4"/>
  <c r="H1940" i="4"/>
  <c r="K1939" i="4"/>
  <c r="H1939" i="4"/>
  <c r="K1938" i="4"/>
  <c r="H1938" i="4"/>
  <c r="K1937" i="4"/>
  <c r="H1937" i="4"/>
  <c r="K1936" i="4"/>
  <c r="H1936" i="4"/>
  <c r="K1935" i="4"/>
  <c r="H1935" i="4"/>
  <c r="K1934" i="4"/>
  <c r="H1934" i="4"/>
  <c r="K1933" i="4"/>
  <c r="H1933" i="4"/>
  <c r="K1932" i="4"/>
  <c r="H1932" i="4"/>
  <c r="K1931" i="4"/>
  <c r="H1931" i="4"/>
  <c r="K1930" i="4"/>
  <c r="H1930" i="4"/>
  <c r="K1929" i="4"/>
  <c r="H1929" i="4"/>
  <c r="K1928" i="4"/>
  <c r="H1928" i="4"/>
  <c r="K1927" i="4"/>
  <c r="H1927" i="4"/>
  <c r="K1926" i="4"/>
  <c r="H1926" i="4"/>
  <c r="K1925" i="4"/>
  <c r="H1925" i="4"/>
  <c r="K1924" i="4"/>
  <c r="H1924" i="4"/>
  <c r="K1923" i="4"/>
  <c r="H1923" i="4"/>
  <c r="K1922" i="4"/>
  <c r="H1922" i="4"/>
  <c r="K1921" i="4"/>
  <c r="H1921" i="4"/>
  <c r="K1920" i="4"/>
  <c r="H1920" i="4"/>
  <c r="K1919" i="4"/>
  <c r="H1919" i="4"/>
  <c r="K1918" i="4"/>
  <c r="H1918" i="4"/>
  <c r="K1917" i="4"/>
  <c r="H1917" i="4"/>
  <c r="K1916" i="4"/>
  <c r="H1916" i="4"/>
  <c r="K1915" i="4"/>
  <c r="H1915" i="4"/>
  <c r="K1914" i="4"/>
  <c r="H1914" i="4"/>
  <c r="K1913" i="4"/>
  <c r="H1913" i="4"/>
  <c r="K1912" i="4"/>
  <c r="H1912" i="4"/>
  <c r="K1911" i="4"/>
  <c r="H1911" i="4"/>
  <c r="K1910" i="4"/>
  <c r="H1910" i="4"/>
  <c r="K1909" i="4"/>
  <c r="H1909" i="4"/>
  <c r="K1908" i="4"/>
  <c r="H1908" i="4"/>
  <c r="K1907" i="4"/>
  <c r="H1907" i="4"/>
  <c r="K1906" i="4"/>
  <c r="H1906" i="4"/>
  <c r="K1905" i="4"/>
  <c r="H1905" i="4"/>
  <c r="K1904" i="4"/>
  <c r="H1904" i="4"/>
  <c r="K1903" i="4"/>
  <c r="H1903" i="4"/>
  <c r="K1902" i="4"/>
  <c r="H1902" i="4"/>
  <c r="K1901" i="4"/>
  <c r="H1901" i="4"/>
  <c r="K1900" i="4"/>
  <c r="H1900" i="4"/>
  <c r="K1899" i="4"/>
  <c r="H1899" i="4"/>
  <c r="K1898" i="4"/>
  <c r="H1898" i="4"/>
  <c r="K1897" i="4"/>
  <c r="H1897" i="4"/>
  <c r="K1896" i="4"/>
  <c r="H1896" i="4"/>
  <c r="K1895" i="4"/>
  <c r="H1895" i="4"/>
  <c r="K1894" i="4"/>
  <c r="H1894" i="4"/>
  <c r="K1893" i="4"/>
  <c r="H1893" i="4"/>
  <c r="K1892" i="4"/>
  <c r="H1892" i="4"/>
  <c r="K1891" i="4"/>
  <c r="H1891" i="4"/>
  <c r="K1890" i="4"/>
  <c r="H1890" i="4"/>
  <c r="K1889" i="4"/>
  <c r="H1889" i="4"/>
  <c r="K1888" i="4"/>
  <c r="H1888" i="4"/>
  <c r="K1887" i="4"/>
  <c r="H1887" i="4"/>
  <c r="K1886" i="4"/>
  <c r="H1886" i="4"/>
  <c r="K1885" i="4"/>
  <c r="H1885" i="4"/>
  <c r="K1884" i="4"/>
  <c r="H1884" i="4"/>
  <c r="K1883" i="4"/>
  <c r="H1883" i="4"/>
  <c r="K1882" i="4"/>
  <c r="H1882" i="4"/>
  <c r="K1881" i="4"/>
  <c r="H1881" i="4"/>
  <c r="K1880" i="4"/>
  <c r="H1880" i="4"/>
  <c r="K1879" i="4"/>
  <c r="H1879" i="4"/>
  <c r="K1878" i="4"/>
  <c r="H1878" i="4"/>
  <c r="K1877" i="4"/>
  <c r="H1877" i="4"/>
  <c r="K1876" i="4"/>
  <c r="H1876" i="4"/>
  <c r="K1875" i="4"/>
  <c r="H1875" i="4"/>
  <c r="K1874" i="4"/>
  <c r="H1874" i="4"/>
  <c r="K1873" i="4"/>
  <c r="H1873" i="4"/>
  <c r="K1872" i="4"/>
  <c r="H1872" i="4"/>
  <c r="K1871" i="4"/>
  <c r="H1871" i="4"/>
  <c r="K1870" i="4"/>
  <c r="H1870" i="4"/>
  <c r="K1869" i="4"/>
  <c r="H1869" i="4"/>
  <c r="K1868" i="4"/>
  <c r="H1868" i="4"/>
  <c r="K1867" i="4"/>
  <c r="H1867" i="4"/>
  <c r="K1866" i="4"/>
  <c r="H1866" i="4"/>
  <c r="K1865" i="4"/>
  <c r="H1865" i="4"/>
  <c r="K1864" i="4"/>
  <c r="H1864" i="4"/>
  <c r="K1863" i="4"/>
  <c r="H1863" i="4"/>
  <c r="K1862" i="4"/>
  <c r="H1862" i="4"/>
  <c r="K1861" i="4"/>
  <c r="H1861" i="4"/>
  <c r="K1860" i="4"/>
  <c r="H1860" i="4"/>
  <c r="K1859" i="4"/>
  <c r="H1859" i="4"/>
  <c r="K1858" i="4"/>
  <c r="H1858" i="4"/>
  <c r="K1857" i="4"/>
  <c r="H1857" i="4"/>
  <c r="K1856" i="4"/>
  <c r="H1856" i="4"/>
  <c r="K1855" i="4"/>
  <c r="H1855" i="4"/>
  <c r="K1854" i="4"/>
  <c r="H1854" i="4"/>
  <c r="K1853" i="4"/>
  <c r="H1853" i="4"/>
  <c r="K1852" i="4"/>
  <c r="H1852" i="4"/>
  <c r="K1851" i="4"/>
  <c r="H1851" i="4"/>
  <c r="K1850" i="4"/>
  <c r="H1850" i="4"/>
  <c r="K1849" i="4"/>
  <c r="H1849" i="4"/>
  <c r="K1848" i="4"/>
  <c r="H1848" i="4"/>
  <c r="K1847" i="4"/>
  <c r="H1847" i="4"/>
  <c r="K1846" i="4"/>
  <c r="H1846" i="4"/>
  <c r="K1845" i="4"/>
  <c r="H1845" i="4"/>
  <c r="K1844" i="4"/>
  <c r="H1844" i="4"/>
  <c r="K1843" i="4"/>
  <c r="H1843" i="4"/>
  <c r="K1842" i="4"/>
  <c r="H1842" i="4"/>
  <c r="K1841" i="4"/>
  <c r="H1841" i="4"/>
  <c r="K1840" i="4"/>
  <c r="H1840" i="4"/>
  <c r="K1839" i="4"/>
  <c r="H1839" i="4"/>
  <c r="K1838" i="4"/>
  <c r="H1838" i="4"/>
  <c r="K1837" i="4"/>
  <c r="H1837" i="4"/>
  <c r="K1836" i="4"/>
  <c r="H1836" i="4"/>
  <c r="K1835" i="4"/>
  <c r="H1835" i="4"/>
  <c r="K1834" i="4"/>
  <c r="H1834" i="4"/>
  <c r="K1833" i="4"/>
  <c r="H1833" i="4"/>
  <c r="K1832" i="4"/>
  <c r="H1832" i="4"/>
  <c r="K1831" i="4"/>
  <c r="H1831" i="4"/>
  <c r="K1830" i="4"/>
  <c r="H1830" i="4"/>
  <c r="K1829" i="4"/>
  <c r="H1829" i="4"/>
  <c r="K1828" i="4"/>
  <c r="H1828" i="4"/>
  <c r="K1827" i="4"/>
  <c r="H1827" i="4"/>
  <c r="K1826" i="4"/>
  <c r="H1826" i="4"/>
  <c r="K1825" i="4"/>
  <c r="H1825" i="4"/>
  <c r="K1824" i="4"/>
  <c r="H1824" i="4"/>
  <c r="K1823" i="4"/>
  <c r="H1823" i="4"/>
  <c r="K1822" i="4"/>
  <c r="H1822" i="4"/>
  <c r="K1821" i="4"/>
  <c r="H1821" i="4"/>
  <c r="K1820" i="4"/>
  <c r="H1820" i="4"/>
  <c r="K1819" i="4"/>
  <c r="H1819" i="4"/>
  <c r="K1818" i="4"/>
  <c r="H1818" i="4"/>
  <c r="K1817" i="4"/>
  <c r="H1817" i="4"/>
  <c r="K1816" i="4"/>
  <c r="H1816" i="4"/>
  <c r="K1815" i="4"/>
  <c r="H1815" i="4"/>
  <c r="K1814" i="4"/>
  <c r="H1814" i="4"/>
  <c r="K1813" i="4"/>
  <c r="H1813" i="4"/>
  <c r="K1812" i="4"/>
  <c r="H1812" i="4"/>
  <c r="K1811" i="4"/>
  <c r="H1811" i="4"/>
  <c r="K1810" i="4"/>
  <c r="H1810" i="4"/>
  <c r="K1809" i="4"/>
  <c r="H1809" i="4"/>
  <c r="K1808" i="4"/>
  <c r="H1808" i="4"/>
  <c r="K1807" i="4"/>
  <c r="H1807" i="4"/>
  <c r="K1806" i="4"/>
  <c r="H1806" i="4"/>
  <c r="K1805" i="4"/>
  <c r="H1805" i="4"/>
  <c r="K1804" i="4"/>
  <c r="H1804" i="4"/>
  <c r="K1803" i="4"/>
  <c r="H1803" i="4"/>
  <c r="K1802" i="4"/>
  <c r="H1802" i="4"/>
  <c r="K1801" i="4"/>
  <c r="H1801" i="4"/>
  <c r="K1800" i="4"/>
  <c r="H1800" i="4"/>
  <c r="K1799" i="4"/>
  <c r="H1799" i="4"/>
  <c r="K1798" i="4"/>
  <c r="H1798" i="4"/>
  <c r="K1797" i="4"/>
  <c r="H1797" i="4"/>
  <c r="K1796" i="4"/>
  <c r="H1796" i="4"/>
  <c r="K1795" i="4"/>
  <c r="H1795" i="4"/>
  <c r="K1794" i="4"/>
  <c r="H1794" i="4"/>
  <c r="K1793" i="4"/>
  <c r="H1793" i="4"/>
  <c r="K1792" i="4"/>
  <c r="H1792" i="4"/>
  <c r="K1791" i="4"/>
  <c r="H1791" i="4"/>
  <c r="K1790" i="4"/>
  <c r="H1790" i="4"/>
  <c r="K1789" i="4"/>
  <c r="H1789" i="4"/>
  <c r="K1788" i="4"/>
  <c r="H1788" i="4"/>
  <c r="K1787" i="4"/>
  <c r="H1787" i="4"/>
  <c r="K1786" i="4"/>
  <c r="H1786" i="4"/>
  <c r="K1785" i="4"/>
  <c r="H1785" i="4"/>
  <c r="K1784" i="4"/>
  <c r="H1784" i="4"/>
  <c r="K1783" i="4"/>
  <c r="H1783" i="4"/>
  <c r="K1782" i="4"/>
  <c r="H1782" i="4"/>
  <c r="K1781" i="4"/>
  <c r="H1781" i="4"/>
  <c r="K1780" i="4"/>
  <c r="H1780" i="4"/>
  <c r="K1779" i="4"/>
  <c r="H1779" i="4"/>
  <c r="K1778" i="4"/>
  <c r="H1778" i="4"/>
  <c r="K1777" i="4"/>
  <c r="H1777" i="4"/>
  <c r="K1776" i="4"/>
  <c r="H1776" i="4"/>
  <c r="K1775" i="4"/>
  <c r="H1775" i="4"/>
  <c r="K1774" i="4"/>
  <c r="H1774" i="4"/>
  <c r="K1773" i="4"/>
  <c r="H1773" i="4"/>
  <c r="K1772" i="4"/>
  <c r="H1772" i="4"/>
  <c r="K1771" i="4"/>
  <c r="H1771" i="4"/>
  <c r="K1770" i="4"/>
  <c r="H1770" i="4"/>
  <c r="K1769" i="4"/>
  <c r="H1769" i="4"/>
  <c r="K1768" i="4"/>
  <c r="H1768" i="4"/>
  <c r="K1767" i="4"/>
  <c r="H1767" i="4"/>
  <c r="K1766" i="4"/>
  <c r="H1766" i="4"/>
  <c r="K1765" i="4"/>
  <c r="H1765" i="4"/>
  <c r="K1764" i="4"/>
  <c r="H1764" i="4"/>
  <c r="K1763" i="4"/>
  <c r="H1763" i="4"/>
  <c r="K1762" i="4"/>
  <c r="H1762" i="4"/>
  <c r="K1761" i="4"/>
  <c r="H1761" i="4"/>
  <c r="K1760" i="4"/>
  <c r="H1760" i="4"/>
  <c r="K1759" i="4"/>
  <c r="H1759" i="4"/>
  <c r="K1758" i="4"/>
  <c r="H1758" i="4"/>
  <c r="K1757" i="4"/>
  <c r="H1757" i="4"/>
  <c r="K1756" i="4"/>
  <c r="H1756" i="4"/>
  <c r="K1755" i="4"/>
  <c r="H1755" i="4"/>
  <c r="K1754" i="4"/>
  <c r="H1754" i="4"/>
  <c r="K1753" i="4"/>
  <c r="H1753" i="4"/>
  <c r="K1752" i="4"/>
  <c r="H1752" i="4"/>
  <c r="K1751" i="4"/>
  <c r="H1751" i="4"/>
  <c r="K1750" i="4"/>
  <c r="H1750" i="4"/>
  <c r="K1749" i="4"/>
  <c r="H1749" i="4"/>
  <c r="K1748" i="4"/>
  <c r="H1748" i="4"/>
  <c r="K1747" i="4"/>
  <c r="H1747" i="4"/>
  <c r="K1746" i="4"/>
  <c r="H1746" i="4"/>
  <c r="K1745" i="4"/>
  <c r="H1745" i="4"/>
  <c r="K1744" i="4"/>
  <c r="H1744" i="4"/>
  <c r="K1743" i="4"/>
  <c r="H1743" i="4"/>
  <c r="K1742" i="4"/>
  <c r="H1742" i="4"/>
  <c r="K1741" i="4"/>
  <c r="H1741" i="4"/>
  <c r="K1740" i="4"/>
  <c r="H1740" i="4"/>
  <c r="K1739" i="4"/>
  <c r="H1739" i="4"/>
  <c r="K1738" i="4"/>
  <c r="H1738" i="4"/>
  <c r="K1737" i="4"/>
  <c r="H1737" i="4"/>
  <c r="K1736" i="4"/>
  <c r="H1736" i="4"/>
  <c r="K1735" i="4"/>
  <c r="H1735" i="4"/>
  <c r="K1734" i="4"/>
  <c r="H1734" i="4"/>
  <c r="K1733" i="4"/>
  <c r="H1733" i="4"/>
  <c r="K1732" i="4"/>
  <c r="H1732" i="4"/>
  <c r="K1731" i="4"/>
  <c r="H1731" i="4"/>
  <c r="K1730" i="4"/>
  <c r="H1730" i="4"/>
  <c r="K1729" i="4"/>
  <c r="H1729" i="4"/>
  <c r="K1728" i="4"/>
  <c r="H1728" i="4"/>
  <c r="K1727" i="4"/>
  <c r="H1727" i="4"/>
  <c r="K1726" i="4"/>
  <c r="H1726" i="4"/>
  <c r="K1725" i="4"/>
  <c r="H1725" i="4"/>
  <c r="K1724" i="4"/>
  <c r="H1724" i="4"/>
  <c r="K1723" i="4"/>
  <c r="H1723" i="4"/>
  <c r="K1722" i="4"/>
  <c r="H1722" i="4"/>
  <c r="K1721" i="4"/>
  <c r="H1721" i="4"/>
  <c r="K1720" i="4"/>
  <c r="H1720" i="4"/>
  <c r="K1719" i="4"/>
  <c r="H1719" i="4"/>
  <c r="K1718" i="4"/>
  <c r="H1718" i="4"/>
  <c r="K1717" i="4"/>
  <c r="H1717" i="4"/>
  <c r="K1716" i="4"/>
  <c r="H1716" i="4"/>
  <c r="K1715" i="4"/>
  <c r="H1715" i="4"/>
  <c r="K1714" i="4"/>
  <c r="H1714" i="4"/>
  <c r="K1713" i="4"/>
  <c r="H1713" i="4"/>
  <c r="K1712" i="4"/>
  <c r="H1712" i="4"/>
  <c r="K1711" i="4"/>
  <c r="H1711" i="4"/>
  <c r="K1710" i="4"/>
  <c r="H1710" i="4"/>
  <c r="K1709" i="4"/>
  <c r="H1709" i="4"/>
  <c r="K1708" i="4"/>
  <c r="H1708" i="4"/>
  <c r="K1707" i="4"/>
  <c r="H1707" i="4"/>
  <c r="K1706" i="4"/>
  <c r="H1706" i="4"/>
  <c r="K1705" i="4"/>
  <c r="H1705" i="4"/>
  <c r="K1704" i="4"/>
  <c r="H1704" i="4"/>
  <c r="K1703" i="4"/>
  <c r="H1703" i="4"/>
  <c r="K1702" i="4"/>
  <c r="H1702" i="4"/>
  <c r="K1701" i="4"/>
  <c r="H1701" i="4"/>
  <c r="K1700" i="4"/>
  <c r="H1700" i="4"/>
  <c r="K1699" i="4"/>
  <c r="H1699" i="4"/>
  <c r="K1698" i="4"/>
  <c r="H1698" i="4"/>
  <c r="K1697" i="4"/>
  <c r="H1697" i="4"/>
  <c r="K1696" i="4"/>
  <c r="H1696" i="4"/>
  <c r="K1695" i="4"/>
  <c r="H1695" i="4"/>
  <c r="K1694" i="4"/>
  <c r="H1694" i="4"/>
  <c r="K1693" i="4"/>
  <c r="H1693" i="4"/>
  <c r="K1692" i="4"/>
  <c r="H1692" i="4"/>
  <c r="K1691" i="4"/>
  <c r="H1691" i="4"/>
  <c r="K1690" i="4"/>
  <c r="H1690" i="4"/>
  <c r="K1689" i="4"/>
  <c r="H1689" i="4"/>
  <c r="K1688" i="4"/>
  <c r="H1688" i="4"/>
  <c r="K1687" i="4"/>
  <c r="H1687" i="4"/>
  <c r="K1686" i="4"/>
  <c r="H1686" i="4"/>
  <c r="K1685" i="4"/>
  <c r="H1685" i="4"/>
  <c r="K1684" i="4"/>
  <c r="H1684" i="4"/>
  <c r="K1683" i="4"/>
  <c r="H1683" i="4"/>
  <c r="K1682" i="4"/>
  <c r="H1682" i="4"/>
  <c r="K1681" i="4"/>
  <c r="H1681" i="4"/>
  <c r="K1680" i="4"/>
  <c r="H1680" i="4"/>
  <c r="K1679" i="4"/>
  <c r="H1679" i="4"/>
  <c r="K1678" i="4"/>
  <c r="H1678" i="4"/>
  <c r="K1677" i="4"/>
  <c r="H1677" i="4"/>
  <c r="K1676" i="4"/>
  <c r="H1676" i="4"/>
  <c r="K1675" i="4"/>
  <c r="H1675" i="4"/>
  <c r="K1674" i="4"/>
  <c r="H1674" i="4"/>
  <c r="K1673" i="4"/>
  <c r="H1673" i="4"/>
  <c r="K1672" i="4"/>
  <c r="H1672" i="4"/>
  <c r="K1671" i="4"/>
  <c r="H1671" i="4"/>
  <c r="K1670" i="4"/>
  <c r="H1670" i="4"/>
  <c r="K1669" i="4"/>
  <c r="H1669" i="4"/>
  <c r="K1668" i="4"/>
  <c r="H1668" i="4"/>
  <c r="K1667" i="4"/>
  <c r="H1667" i="4"/>
  <c r="K1666" i="4"/>
  <c r="H1666" i="4"/>
  <c r="K1665" i="4"/>
  <c r="H1665" i="4"/>
  <c r="K1664" i="4"/>
  <c r="H1664" i="4"/>
  <c r="K1663" i="4"/>
  <c r="H1663" i="4"/>
  <c r="K1662" i="4"/>
  <c r="H1662" i="4"/>
  <c r="K1661" i="4"/>
  <c r="H1661" i="4"/>
  <c r="K1660" i="4"/>
  <c r="H1660" i="4"/>
  <c r="K1659" i="4"/>
  <c r="H1659" i="4"/>
  <c r="K1658" i="4"/>
  <c r="H1658" i="4"/>
  <c r="K1657" i="4"/>
  <c r="H1657" i="4"/>
  <c r="K1656" i="4"/>
  <c r="H1656" i="4"/>
  <c r="K1655" i="4"/>
  <c r="H1655" i="4"/>
  <c r="K1654" i="4"/>
  <c r="H1654" i="4"/>
  <c r="K1653" i="4"/>
  <c r="H1653" i="4"/>
  <c r="K1652" i="4"/>
  <c r="H1652" i="4"/>
  <c r="K1651" i="4"/>
  <c r="H1651" i="4"/>
  <c r="K1650" i="4"/>
  <c r="H1650" i="4"/>
  <c r="K1649" i="4"/>
  <c r="H1649" i="4"/>
  <c r="K1648" i="4"/>
  <c r="H1648" i="4"/>
  <c r="K1647" i="4"/>
  <c r="H1647" i="4"/>
  <c r="K1646" i="4"/>
  <c r="H1646" i="4"/>
  <c r="K1645" i="4"/>
  <c r="H1645" i="4"/>
  <c r="K1644" i="4"/>
  <c r="H1644" i="4"/>
  <c r="K1643" i="4"/>
  <c r="H1643" i="4"/>
  <c r="K1642" i="4"/>
  <c r="H1642" i="4"/>
  <c r="K1641" i="4"/>
  <c r="H1641" i="4"/>
  <c r="K1640" i="4"/>
  <c r="H1640" i="4"/>
  <c r="K1639" i="4"/>
  <c r="H1639" i="4"/>
  <c r="K1638" i="4"/>
  <c r="H1638" i="4"/>
  <c r="K1637" i="4"/>
  <c r="H1637" i="4"/>
  <c r="K1636" i="4"/>
  <c r="H1636" i="4"/>
  <c r="K1635" i="4"/>
  <c r="H1635" i="4"/>
  <c r="K1634" i="4"/>
  <c r="H1634" i="4"/>
  <c r="K1633" i="4"/>
  <c r="H1633" i="4"/>
  <c r="K1632" i="4"/>
  <c r="H1632" i="4"/>
  <c r="K1631" i="4"/>
  <c r="H1631" i="4"/>
  <c r="K1630" i="4"/>
  <c r="H1630" i="4"/>
  <c r="K1629" i="4"/>
  <c r="H1629" i="4"/>
  <c r="K1628" i="4"/>
  <c r="H1628" i="4"/>
  <c r="K1627" i="4"/>
  <c r="H1627" i="4"/>
  <c r="K1626" i="4"/>
  <c r="H1626" i="4"/>
  <c r="K1625" i="4"/>
  <c r="H1625" i="4"/>
  <c r="K1624" i="4"/>
  <c r="H1624" i="4"/>
  <c r="K1623" i="4"/>
  <c r="H1623" i="4"/>
  <c r="K1622" i="4"/>
  <c r="H1622" i="4"/>
  <c r="K1621" i="4"/>
  <c r="H1621" i="4"/>
  <c r="K1620" i="4"/>
  <c r="H1620" i="4"/>
  <c r="K1619" i="4"/>
  <c r="H1619" i="4"/>
  <c r="K1618" i="4"/>
  <c r="H1618" i="4"/>
  <c r="K1617" i="4"/>
  <c r="H1617" i="4"/>
  <c r="K1616" i="4"/>
  <c r="H1616" i="4"/>
  <c r="K1615" i="4"/>
  <c r="H1615" i="4"/>
  <c r="K1614" i="4"/>
  <c r="H1614" i="4"/>
  <c r="K1613" i="4"/>
  <c r="H1613" i="4"/>
  <c r="K1612" i="4"/>
  <c r="H1612" i="4"/>
  <c r="K1611" i="4"/>
  <c r="H1611" i="4"/>
  <c r="K1610" i="4"/>
  <c r="H1610" i="4"/>
  <c r="K1609" i="4"/>
  <c r="H1609" i="4"/>
  <c r="K1608" i="4"/>
  <c r="H1608" i="4"/>
  <c r="K1607" i="4"/>
  <c r="H1607" i="4"/>
  <c r="K1606" i="4"/>
  <c r="H1606" i="4"/>
  <c r="K1605" i="4"/>
  <c r="H1605" i="4"/>
  <c r="K1604" i="4"/>
  <c r="H1604" i="4"/>
  <c r="K1603" i="4"/>
  <c r="H1603" i="4"/>
  <c r="K1602" i="4"/>
  <c r="H1602" i="4"/>
  <c r="K1601" i="4"/>
  <c r="H1601" i="4"/>
  <c r="K1600" i="4"/>
  <c r="H1600" i="4"/>
  <c r="K1599" i="4"/>
  <c r="H1599" i="4"/>
  <c r="K1598" i="4"/>
  <c r="H1598" i="4"/>
  <c r="K1597" i="4"/>
  <c r="H1597" i="4"/>
  <c r="K1596" i="4"/>
  <c r="H1596" i="4"/>
  <c r="K1595" i="4"/>
  <c r="H1595" i="4"/>
  <c r="K1594" i="4"/>
  <c r="H1594" i="4"/>
  <c r="K1593" i="4"/>
  <c r="H1593" i="4"/>
  <c r="K1592" i="4"/>
  <c r="H1592" i="4"/>
  <c r="K1591" i="4"/>
  <c r="H1591" i="4"/>
  <c r="K1590" i="4"/>
  <c r="H1590" i="4"/>
  <c r="K1589" i="4"/>
  <c r="H1589" i="4"/>
  <c r="K1588" i="4"/>
  <c r="H1588" i="4"/>
  <c r="K1587" i="4"/>
  <c r="H1587" i="4"/>
  <c r="K1586" i="4"/>
  <c r="H1586" i="4"/>
  <c r="K1585" i="4"/>
  <c r="H1585" i="4"/>
  <c r="K1584" i="4"/>
  <c r="H1584" i="4"/>
  <c r="K1583" i="4"/>
  <c r="H1583" i="4"/>
  <c r="K1582" i="4"/>
  <c r="H1582" i="4"/>
  <c r="K1581" i="4"/>
  <c r="H1581" i="4"/>
  <c r="K1580" i="4"/>
  <c r="H1580" i="4"/>
  <c r="K1579" i="4"/>
  <c r="H1579" i="4"/>
  <c r="K1578" i="4"/>
  <c r="H1578" i="4"/>
  <c r="K1577" i="4"/>
  <c r="H1577" i="4"/>
  <c r="K1576" i="4"/>
  <c r="H1576" i="4"/>
  <c r="K1575" i="4"/>
  <c r="H1575" i="4"/>
  <c r="K1574" i="4"/>
  <c r="H1574" i="4"/>
  <c r="K1573" i="4"/>
  <c r="H1573" i="4"/>
  <c r="K1572" i="4"/>
  <c r="H1572" i="4"/>
  <c r="K1571" i="4"/>
  <c r="H1571" i="4"/>
  <c r="K1570" i="4"/>
  <c r="H1570" i="4"/>
  <c r="K1569" i="4"/>
  <c r="H1569" i="4"/>
  <c r="K1568" i="4"/>
  <c r="H1568" i="4"/>
  <c r="K1567" i="4"/>
  <c r="H1567" i="4"/>
  <c r="K1566" i="4"/>
  <c r="H1566" i="4"/>
  <c r="K1565" i="4"/>
  <c r="H1565" i="4"/>
  <c r="K1564" i="4"/>
  <c r="H1564" i="4"/>
  <c r="K1563" i="4"/>
  <c r="H1563" i="4"/>
  <c r="K1562" i="4"/>
  <c r="H1562" i="4"/>
  <c r="K1561" i="4"/>
  <c r="H1561" i="4"/>
  <c r="K1560" i="4"/>
  <c r="H1560" i="4"/>
  <c r="K1559" i="4"/>
  <c r="H1559" i="4"/>
  <c r="K1558" i="4"/>
  <c r="H1558" i="4"/>
  <c r="K1557" i="4"/>
  <c r="H1557" i="4"/>
  <c r="K1556" i="4"/>
  <c r="H1556" i="4"/>
  <c r="K1555" i="4"/>
  <c r="H1555" i="4"/>
  <c r="K1554" i="4"/>
  <c r="H1554" i="4"/>
  <c r="K1553" i="4"/>
  <c r="H1553" i="4"/>
  <c r="K1552" i="4"/>
  <c r="H1552" i="4"/>
  <c r="K1551" i="4"/>
  <c r="H1551" i="4"/>
  <c r="K1550" i="4"/>
  <c r="H1550" i="4"/>
  <c r="K1549" i="4"/>
  <c r="H1549" i="4"/>
  <c r="K1548" i="4"/>
  <c r="H1548" i="4"/>
  <c r="K1547" i="4"/>
  <c r="H1547" i="4"/>
  <c r="K1546" i="4"/>
  <c r="H1546" i="4"/>
  <c r="K1545" i="4"/>
  <c r="H1545" i="4"/>
  <c r="K1544" i="4"/>
  <c r="H1544" i="4"/>
  <c r="K1543" i="4"/>
  <c r="H1543" i="4"/>
  <c r="K1542" i="4"/>
  <c r="H1542" i="4"/>
  <c r="K1541" i="4"/>
  <c r="H1541" i="4"/>
  <c r="K1540" i="4"/>
  <c r="H1540" i="4"/>
  <c r="K1539" i="4"/>
  <c r="H1539" i="4"/>
  <c r="K1538" i="4"/>
  <c r="H1538" i="4"/>
  <c r="K1537" i="4"/>
  <c r="H1537" i="4"/>
  <c r="K1536" i="4"/>
  <c r="H1536" i="4"/>
  <c r="K1535" i="4"/>
  <c r="H1535" i="4"/>
  <c r="K1534" i="4"/>
  <c r="H1534" i="4"/>
  <c r="K1533" i="4"/>
  <c r="H1533" i="4"/>
  <c r="K1532" i="4"/>
  <c r="H1532" i="4"/>
  <c r="K1531" i="4"/>
  <c r="H1531" i="4"/>
  <c r="K1530" i="4"/>
  <c r="H1530" i="4"/>
  <c r="K1529" i="4"/>
  <c r="H1529" i="4"/>
  <c r="K1528" i="4"/>
  <c r="H1528" i="4"/>
  <c r="K1527" i="4"/>
  <c r="H1527" i="4"/>
  <c r="K1526" i="4"/>
  <c r="H1526" i="4"/>
  <c r="K1525" i="4"/>
  <c r="H1525" i="4"/>
  <c r="K1524" i="4"/>
  <c r="H1524" i="4"/>
  <c r="K1523" i="4"/>
  <c r="H1523" i="4"/>
  <c r="K1522" i="4"/>
  <c r="H1522" i="4"/>
  <c r="K1521" i="4"/>
  <c r="H1521" i="4"/>
  <c r="K1520" i="4"/>
  <c r="H1520" i="4"/>
  <c r="K1519" i="4"/>
  <c r="H1519" i="4"/>
  <c r="K1518" i="4"/>
  <c r="H1518" i="4"/>
  <c r="K1517" i="4"/>
  <c r="H1517" i="4"/>
  <c r="K1516" i="4"/>
  <c r="H1516" i="4"/>
  <c r="K1515" i="4"/>
  <c r="H1515" i="4"/>
  <c r="K1514" i="4"/>
  <c r="H1514" i="4"/>
  <c r="K1513" i="4"/>
  <c r="H1513" i="4"/>
  <c r="K1512" i="4"/>
  <c r="H1512" i="4"/>
  <c r="K1511" i="4"/>
  <c r="H1511" i="4"/>
  <c r="K1510" i="4"/>
  <c r="H1510" i="4"/>
  <c r="K1509" i="4"/>
  <c r="H1509" i="4"/>
  <c r="K1508" i="4"/>
  <c r="H1508" i="4"/>
  <c r="K1507" i="4"/>
  <c r="H1507" i="4"/>
  <c r="K1506" i="4"/>
  <c r="H1506" i="4"/>
  <c r="K1505" i="4"/>
  <c r="H1505" i="4"/>
  <c r="K1504" i="4"/>
  <c r="H1504" i="4"/>
  <c r="K1503" i="4"/>
  <c r="H1503" i="4"/>
  <c r="K1502" i="4"/>
  <c r="H1502" i="4"/>
  <c r="K1501" i="4"/>
  <c r="H1501" i="4"/>
  <c r="K1500" i="4"/>
  <c r="H1500" i="4"/>
  <c r="K1499" i="4"/>
  <c r="H1499" i="4"/>
  <c r="K1498" i="4"/>
  <c r="H1498" i="4"/>
  <c r="K1497" i="4"/>
  <c r="H1497" i="4"/>
  <c r="K1496" i="4"/>
  <c r="H1496" i="4"/>
  <c r="K1495" i="4"/>
  <c r="H1495" i="4"/>
  <c r="K1494" i="4"/>
  <c r="H1494" i="4"/>
  <c r="K1493" i="4"/>
  <c r="H1493" i="4"/>
  <c r="K1492" i="4"/>
  <c r="H1492" i="4"/>
  <c r="K1491" i="4"/>
  <c r="H1491" i="4"/>
  <c r="K1490" i="4"/>
  <c r="H1490" i="4"/>
  <c r="K1489" i="4"/>
  <c r="H1489" i="4"/>
  <c r="K1488" i="4"/>
  <c r="H1488" i="4"/>
  <c r="K1487" i="4"/>
  <c r="H1487" i="4"/>
  <c r="K1486" i="4"/>
  <c r="H1486" i="4"/>
  <c r="K1485" i="4"/>
  <c r="H1485" i="4"/>
  <c r="K1484" i="4"/>
  <c r="H1484" i="4"/>
  <c r="K1483" i="4"/>
  <c r="H1483" i="4"/>
  <c r="K1482" i="4"/>
  <c r="H1482" i="4"/>
  <c r="K1481" i="4"/>
  <c r="H1481" i="4"/>
  <c r="K1480" i="4"/>
  <c r="H1480" i="4"/>
  <c r="K1479" i="4"/>
  <c r="H1479" i="4"/>
  <c r="K1478" i="4"/>
  <c r="H1478" i="4"/>
  <c r="K1477" i="4"/>
  <c r="H1477" i="4"/>
  <c r="K1476" i="4"/>
  <c r="H1476" i="4"/>
  <c r="K1475" i="4"/>
  <c r="H1475" i="4"/>
  <c r="K1474" i="4"/>
  <c r="H1474" i="4"/>
  <c r="K1473" i="4"/>
  <c r="H1473" i="4"/>
  <c r="K1472" i="4"/>
  <c r="H1472" i="4"/>
  <c r="K1471" i="4"/>
  <c r="H1471" i="4"/>
  <c r="K1470" i="4"/>
  <c r="H1470" i="4"/>
  <c r="K1469" i="4"/>
  <c r="H1469" i="4"/>
  <c r="K1468" i="4"/>
  <c r="H1468" i="4"/>
  <c r="K1467" i="4"/>
  <c r="H1467" i="4"/>
  <c r="K1466" i="4"/>
  <c r="H1466" i="4"/>
  <c r="K1465" i="4"/>
  <c r="H1465" i="4"/>
  <c r="K1464" i="4"/>
  <c r="H1464" i="4"/>
  <c r="K1463" i="4"/>
  <c r="H1463" i="4"/>
  <c r="K1462" i="4"/>
  <c r="H1462" i="4"/>
  <c r="K1461" i="4"/>
  <c r="H1461" i="4"/>
  <c r="K1460" i="4"/>
  <c r="H1460" i="4"/>
  <c r="K1459" i="4"/>
  <c r="H1459" i="4"/>
  <c r="K1458" i="4"/>
  <c r="H1458" i="4"/>
  <c r="K1457" i="4"/>
  <c r="H1457" i="4"/>
  <c r="K1456" i="4"/>
  <c r="H1456" i="4"/>
  <c r="K1455" i="4"/>
  <c r="H1455" i="4"/>
  <c r="K1454" i="4"/>
  <c r="H1454" i="4"/>
  <c r="K1453" i="4"/>
  <c r="H1453" i="4"/>
  <c r="K1452" i="4"/>
  <c r="H1452" i="4"/>
  <c r="K1451" i="4"/>
  <c r="H1451" i="4"/>
  <c r="K1450" i="4"/>
  <c r="H1450" i="4"/>
  <c r="K1449" i="4"/>
  <c r="H1449" i="4"/>
  <c r="K1448" i="4"/>
  <c r="H1448" i="4"/>
  <c r="K1447" i="4"/>
  <c r="H1447" i="4"/>
  <c r="K1446" i="4"/>
  <c r="H1446" i="4"/>
  <c r="K1445" i="4"/>
  <c r="H1445" i="4"/>
  <c r="K1444" i="4"/>
  <c r="H1444" i="4"/>
  <c r="K1443" i="4"/>
  <c r="H1443" i="4"/>
  <c r="K1442" i="4"/>
  <c r="H1442" i="4"/>
  <c r="K1441" i="4"/>
  <c r="H1441" i="4"/>
  <c r="K1440" i="4"/>
  <c r="H1440" i="4"/>
  <c r="K1439" i="4"/>
  <c r="H1439" i="4"/>
  <c r="K1438" i="4"/>
  <c r="H1438" i="4"/>
  <c r="K1437" i="4"/>
  <c r="H1437" i="4"/>
  <c r="K1436" i="4"/>
  <c r="H1436" i="4"/>
  <c r="K1435" i="4"/>
  <c r="H1435" i="4"/>
  <c r="K1434" i="4"/>
  <c r="H1434" i="4"/>
  <c r="K1433" i="4"/>
  <c r="H1433" i="4"/>
  <c r="K1432" i="4"/>
  <c r="H1432" i="4"/>
  <c r="K1431" i="4"/>
  <c r="H1431" i="4"/>
  <c r="K1430" i="4"/>
  <c r="H1430" i="4"/>
  <c r="K1429" i="4"/>
  <c r="H1429" i="4"/>
  <c r="K1428" i="4"/>
  <c r="H1428" i="4"/>
  <c r="K1427" i="4"/>
  <c r="H1427" i="4"/>
  <c r="K1426" i="4"/>
  <c r="H1426" i="4"/>
  <c r="K1425" i="4"/>
  <c r="H1425" i="4"/>
  <c r="K1424" i="4"/>
  <c r="H1424" i="4"/>
  <c r="K1423" i="4"/>
  <c r="H1423" i="4"/>
  <c r="K1422" i="4"/>
  <c r="H1422" i="4"/>
  <c r="K1421" i="4"/>
  <c r="H1421" i="4"/>
  <c r="K1420" i="4"/>
  <c r="H1420" i="4"/>
  <c r="K1419" i="4"/>
  <c r="H1419" i="4"/>
  <c r="K1418" i="4"/>
  <c r="H1418" i="4"/>
  <c r="K1417" i="4"/>
  <c r="H1417" i="4"/>
  <c r="K1416" i="4"/>
  <c r="H1416" i="4"/>
  <c r="K1415" i="4"/>
  <c r="H1415" i="4"/>
  <c r="K1414" i="4"/>
  <c r="H1414" i="4"/>
  <c r="K1413" i="4"/>
  <c r="H1413" i="4"/>
  <c r="K1412" i="4"/>
  <c r="H1412" i="4"/>
  <c r="K1411" i="4"/>
  <c r="H1411" i="4"/>
  <c r="K1410" i="4"/>
  <c r="H1410" i="4"/>
  <c r="K1409" i="4"/>
  <c r="H1409" i="4"/>
  <c r="K1408" i="4"/>
  <c r="H1408" i="4"/>
  <c r="K1407" i="4"/>
  <c r="H1407" i="4"/>
  <c r="K1406" i="4"/>
  <c r="H1406" i="4"/>
  <c r="K1405" i="4"/>
  <c r="H1405" i="4"/>
  <c r="K1404" i="4"/>
  <c r="H1404" i="4"/>
  <c r="K1403" i="4"/>
  <c r="H1403" i="4"/>
  <c r="K1402" i="4"/>
  <c r="H1402" i="4"/>
  <c r="K1401" i="4"/>
  <c r="H1401" i="4"/>
  <c r="K1400" i="4"/>
  <c r="H1400" i="4"/>
  <c r="K1399" i="4"/>
  <c r="H1399" i="4"/>
  <c r="K1398" i="4"/>
  <c r="H1398" i="4"/>
  <c r="K1397" i="4"/>
  <c r="H1397" i="4"/>
  <c r="K1396" i="4"/>
  <c r="H1396" i="4"/>
  <c r="K1395" i="4"/>
  <c r="H1395" i="4"/>
  <c r="K1394" i="4"/>
  <c r="H1394" i="4"/>
  <c r="K1393" i="4"/>
  <c r="H1393" i="4"/>
  <c r="K1392" i="4"/>
  <c r="H1392" i="4"/>
  <c r="K1391" i="4"/>
  <c r="H1391" i="4"/>
  <c r="K1390" i="4"/>
  <c r="H1390" i="4"/>
  <c r="K1389" i="4"/>
  <c r="H1389" i="4"/>
  <c r="K1388" i="4"/>
  <c r="H1388" i="4"/>
  <c r="K1387" i="4"/>
  <c r="H1387" i="4"/>
  <c r="K1386" i="4"/>
  <c r="H1386" i="4"/>
  <c r="K1385" i="4"/>
  <c r="H1385" i="4"/>
  <c r="K1384" i="4"/>
  <c r="H1384" i="4"/>
  <c r="K1383" i="4"/>
  <c r="H1383" i="4"/>
  <c r="K1382" i="4"/>
  <c r="H1382" i="4"/>
  <c r="K1381" i="4"/>
  <c r="H1381" i="4"/>
  <c r="K1380" i="4"/>
  <c r="H1380" i="4"/>
  <c r="K1379" i="4"/>
  <c r="H1379" i="4"/>
  <c r="K1378" i="4"/>
  <c r="H1378" i="4"/>
  <c r="K1377" i="4"/>
  <c r="H1377" i="4"/>
  <c r="K1376" i="4"/>
  <c r="H1376" i="4"/>
  <c r="K1375" i="4"/>
  <c r="H1375" i="4"/>
  <c r="K1374" i="4"/>
  <c r="H1374" i="4"/>
  <c r="K1373" i="4"/>
  <c r="H1373" i="4"/>
  <c r="K1372" i="4"/>
  <c r="H1372" i="4"/>
  <c r="K1371" i="4"/>
  <c r="H1371" i="4"/>
  <c r="K1370" i="4"/>
  <c r="H1370" i="4"/>
  <c r="K1369" i="4"/>
  <c r="H1369" i="4"/>
  <c r="K1368" i="4"/>
  <c r="H1368" i="4"/>
  <c r="K1367" i="4"/>
  <c r="H1367" i="4"/>
  <c r="K1366" i="4"/>
  <c r="H1366" i="4"/>
  <c r="K1365" i="4"/>
  <c r="H1365" i="4"/>
  <c r="K1364" i="4"/>
  <c r="H1364" i="4"/>
  <c r="K1363" i="4"/>
  <c r="H1363" i="4"/>
  <c r="K1362" i="4"/>
  <c r="H1362" i="4"/>
  <c r="K1361" i="4"/>
  <c r="H1361" i="4"/>
  <c r="K1360" i="4"/>
  <c r="H1360" i="4"/>
  <c r="K1359" i="4"/>
  <c r="H1359" i="4"/>
  <c r="K1358" i="4"/>
  <c r="H1358" i="4"/>
  <c r="K1357" i="4"/>
  <c r="H1357" i="4"/>
  <c r="K1356" i="4"/>
  <c r="H1356" i="4"/>
  <c r="K1355" i="4"/>
  <c r="H1355" i="4"/>
  <c r="K1354" i="4"/>
  <c r="H1354" i="4"/>
  <c r="K1353" i="4"/>
  <c r="H1353" i="4"/>
  <c r="K1352" i="4"/>
  <c r="H1352" i="4"/>
  <c r="K1351" i="4"/>
  <c r="H1351" i="4"/>
  <c r="K1350" i="4"/>
  <c r="H1350" i="4"/>
  <c r="K1349" i="4"/>
  <c r="H1349" i="4"/>
  <c r="K1348" i="4"/>
  <c r="H1348" i="4"/>
  <c r="K1347" i="4"/>
  <c r="H1347" i="4"/>
  <c r="K1346" i="4"/>
  <c r="H1346" i="4"/>
  <c r="K1345" i="4"/>
  <c r="H1345" i="4"/>
  <c r="K1344" i="4"/>
  <c r="H1344" i="4"/>
  <c r="K1343" i="4"/>
  <c r="H1343" i="4"/>
  <c r="K1342" i="4"/>
  <c r="H1342" i="4"/>
  <c r="K1341" i="4"/>
  <c r="H1341" i="4"/>
  <c r="K1340" i="4"/>
  <c r="H1340" i="4"/>
  <c r="K1339" i="4"/>
  <c r="H1339" i="4"/>
  <c r="K1338" i="4"/>
  <c r="H1338" i="4"/>
  <c r="K1337" i="4"/>
  <c r="H1337" i="4"/>
  <c r="K1336" i="4"/>
  <c r="H1336" i="4"/>
  <c r="K1335" i="4"/>
  <c r="H1335" i="4"/>
  <c r="K1334" i="4"/>
  <c r="H1334" i="4"/>
  <c r="K1333" i="4"/>
  <c r="H1333" i="4"/>
  <c r="K1332" i="4"/>
  <c r="H1332" i="4"/>
  <c r="K1331" i="4"/>
  <c r="H1331" i="4"/>
  <c r="K1330" i="4"/>
  <c r="H1330" i="4"/>
  <c r="K1329" i="4"/>
  <c r="H1329" i="4"/>
  <c r="K1328" i="4"/>
  <c r="H1328" i="4"/>
  <c r="K1327" i="4"/>
  <c r="H1327" i="4"/>
  <c r="K1326" i="4"/>
  <c r="H1326" i="4"/>
  <c r="K1325" i="4"/>
  <c r="H1325" i="4"/>
  <c r="K1324" i="4"/>
  <c r="H1324" i="4"/>
  <c r="K1323" i="4"/>
  <c r="H1323" i="4"/>
  <c r="K1322" i="4"/>
  <c r="H1322" i="4"/>
  <c r="K1321" i="4"/>
  <c r="H1321" i="4"/>
  <c r="K1320" i="4"/>
  <c r="H1320" i="4"/>
  <c r="K1319" i="4"/>
  <c r="H1319" i="4"/>
  <c r="K1318" i="4"/>
  <c r="H1318" i="4"/>
  <c r="K1317" i="4"/>
  <c r="H1317" i="4"/>
  <c r="K1316" i="4"/>
  <c r="H1316" i="4"/>
  <c r="K1315" i="4"/>
  <c r="H1315" i="4"/>
  <c r="K1314" i="4"/>
  <c r="H1314" i="4"/>
  <c r="K1313" i="4"/>
  <c r="H1313" i="4"/>
  <c r="K1312" i="4"/>
  <c r="H1312" i="4"/>
  <c r="K1311" i="4"/>
  <c r="H1311" i="4"/>
  <c r="K1310" i="4"/>
  <c r="H1310" i="4"/>
  <c r="K1309" i="4"/>
  <c r="H1309" i="4"/>
  <c r="K1308" i="4"/>
  <c r="H1308" i="4"/>
  <c r="K1307" i="4"/>
  <c r="H1307" i="4"/>
  <c r="K1306" i="4"/>
  <c r="H1306" i="4"/>
  <c r="K1305" i="4"/>
  <c r="H1305" i="4"/>
  <c r="K1304" i="4"/>
  <c r="H1304" i="4"/>
  <c r="K1303" i="4"/>
  <c r="H1303" i="4"/>
  <c r="K1302" i="4"/>
  <c r="H1302" i="4"/>
  <c r="K1301" i="4"/>
  <c r="H1301" i="4"/>
  <c r="K1300" i="4"/>
  <c r="H1300" i="4"/>
  <c r="K1299" i="4"/>
  <c r="H1299" i="4"/>
  <c r="K1298" i="4"/>
  <c r="H1298" i="4"/>
  <c r="K1297" i="4"/>
  <c r="H1297" i="4"/>
  <c r="K1296" i="4"/>
  <c r="H1296" i="4"/>
  <c r="K1295" i="4"/>
  <c r="H1295" i="4"/>
  <c r="K1294" i="4"/>
  <c r="H1294" i="4"/>
  <c r="K1293" i="4"/>
  <c r="H1293" i="4"/>
  <c r="K1292" i="4"/>
  <c r="H1292" i="4"/>
  <c r="K1291" i="4"/>
  <c r="H1291" i="4"/>
  <c r="K1290" i="4"/>
  <c r="H1290" i="4"/>
  <c r="K1289" i="4"/>
  <c r="H1289" i="4"/>
  <c r="K1288" i="4"/>
  <c r="H1288" i="4"/>
  <c r="K1287" i="4"/>
  <c r="H1287" i="4"/>
  <c r="K1286" i="4"/>
  <c r="H1286" i="4"/>
  <c r="K1285" i="4"/>
  <c r="H1285" i="4"/>
  <c r="K1284" i="4"/>
  <c r="H1284" i="4"/>
  <c r="K1283" i="4"/>
  <c r="H1283" i="4"/>
  <c r="K1282" i="4"/>
  <c r="H1282" i="4"/>
  <c r="K1281" i="4"/>
  <c r="H1281" i="4"/>
  <c r="K1280" i="4"/>
  <c r="H1280" i="4"/>
  <c r="K1279" i="4"/>
  <c r="H1279" i="4"/>
  <c r="K1278" i="4"/>
  <c r="H1278" i="4"/>
  <c r="K1277" i="4"/>
  <c r="H1277" i="4"/>
  <c r="K1276" i="4"/>
  <c r="H1276" i="4"/>
  <c r="K1275" i="4"/>
  <c r="H1275" i="4"/>
  <c r="K1274" i="4"/>
  <c r="H1274" i="4"/>
  <c r="K1273" i="4"/>
  <c r="H1273" i="4"/>
  <c r="K1272" i="4"/>
  <c r="H1272" i="4"/>
  <c r="K1271" i="4"/>
  <c r="H1271" i="4"/>
  <c r="K1270" i="4"/>
  <c r="H1270" i="4"/>
  <c r="K1269" i="4"/>
  <c r="H1269" i="4"/>
  <c r="K1268" i="4"/>
  <c r="H1268" i="4"/>
  <c r="K1267" i="4"/>
  <c r="H1267" i="4"/>
  <c r="K1266" i="4"/>
  <c r="H1266" i="4"/>
  <c r="K1265" i="4"/>
  <c r="H1265" i="4"/>
  <c r="K1264" i="4"/>
  <c r="H1264" i="4"/>
  <c r="K1263" i="4"/>
  <c r="H1263" i="4"/>
  <c r="K1262" i="4"/>
  <c r="H1262" i="4"/>
  <c r="K1261" i="4"/>
  <c r="H1261" i="4"/>
  <c r="K1260" i="4"/>
  <c r="H1260" i="4"/>
  <c r="K1259" i="4"/>
  <c r="H1259" i="4"/>
  <c r="K1258" i="4"/>
  <c r="H1258" i="4"/>
  <c r="K1257" i="4"/>
  <c r="H1257" i="4"/>
  <c r="K1256" i="4"/>
  <c r="H1256" i="4"/>
  <c r="K1255" i="4"/>
  <c r="H1255" i="4"/>
  <c r="K1254" i="4"/>
  <c r="H1254" i="4"/>
  <c r="K1253" i="4"/>
  <c r="H1253" i="4"/>
  <c r="K1252" i="4"/>
  <c r="H1252" i="4"/>
  <c r="K1251" i="4"/>
  <c r="H1251" i="4"/>
  <c r="K1250" i="4"/>
  <c r="H1250" i="4"/>
  <c r="K1249" i="4"/>
  <c r="H1249" i="4"/>
  <c r="K1248" i="4"/>
  <c r="H1248" i="4"/>
  <c r="K1247" i="4"/>
  <c r="H1247" i="4"/>
  <c r="K1246" i="4"/>
  <c r="H1246" i="4"/>
  <c r="K1245" i="4"/>
  <c r="H1245" i="4"/>
  <c r="K1244" i="4"/>
  <c r="H1244" i="4"/>
  <c r="K1243" i="4"/>
  <c r="H1243" i="4"/>
  <c r="K1242" i="4"/>
  <c r="H1242" i="4"/>
  <c r="K1241" i="4"/>
  <c r="H1241" i="4"/>
  <c r="K1240" i="4"/>
  <c r="H1240" i="4"/>
  <c r="K1239" i="4"/>
  <c r="H1239" i="4"/>
  <c r="K1238" i="4"/>
  <c r="H1238" i="4"/>
  <c r="K1237" i="4"/>
  <c r="H1237" i="4"/>
  <c r="K1236" i="4"/>
  <c r="H1236" i="4"/>
  <c r="K1235" i="4"/>
  <c r="H1235" i="4"/>
  <c r="K1234" i="4"/>
  <c r="H1234" i="4"/>
  <c r="K1233" i="4"/>
  <c r="H1233" i="4"/>
  <c r="K1232" i="4"/>
  <c r="H1232" i="4"/>
  <c r="K1231" i="4"/>
  <c r="H1231" i="4"/>
  <c r="K1230" i="4"/>
  <c r="H1230" i="4"/>
  <c r="K1229" i="4"/>
  <c r="H1229" i="4"/>
  <c r="K1228" i="4"/>
  <c r="H1228" i="4"/>
  <c r="K1227" i="4"/>
  <c r="H1227" i="4"/>
  <c r="K1226" i="4"/>
  <c r="H1226" i="4"/>
  <c r="K1225" i="4"/>
  <c r="H1225" i="4"/>
  <c r="K1224" i="4"/>
  <c r="H1224" i="4"/>
  <c r="K1223" i="4"/>
  <c r="H1223" i="4"/>
  <c r="K1222" i="4"/>
  <c r="H1222" i="4"/>
  <c r="K1221" i="4"/>
  <c r="H1221" i="4"/>
  <c r="K1220" i="4"/>
  <c r="H1220" i="4"/>
  <c r="K1219" i="4"/>
  <c r="H1219" i="4"/>
  <c r="K1218" i="4"/>
  <c r="H1218" i="4"/>
  <c r="K1217" i="4"/>
  <c r="H1217" i="4"/>
  <c r="K1216" i="4"/>
  <c r="H1216" i="4"/>
  <c r="K1215" i="4"/>
  <c r="H1215" i="4"/>
  <c r="K1214" i="4"/>
  <c r="H1214" i="4"/>
  <c r="K1213" i="4"/>
  <c r="H1213" i="4"/>
  <c r="K1212" i="4"/>
  <c r="H1212" i="4"/>
  <c r="K1211" i="4"/>
  <c r="H1211" i="4"/>
  <c r="K1210" i="4"/>
  <c r="H1210" i="4"/>
  <c r="K1209" i="4"/>
  <c r="H1209" i="4"/>
  <c r="K1208" i="4"/>
  <c r="H1208" i="4"/>
  <c r="K1207" i="4"/>
  <c r="H1207" i="4"/>
  <c r="K1206" i="4"/>
  <c r="H1206" i="4"/>
  <c r="K1205" i="4"/>
  <c r="H1205" i="4"/>
  <c r="K1204" i="4"/>
  <c r="H1204" i="4"/>
  <c r="K1203" i="4"/>
  <c r="H1203" i="4"/>
  <c r="K1202" i="4"/>
  <c r="H1202" i="4"/>
  <c r="K1201" i="4"/>
  <c r="H1201" i="4"/>
  <c r="K1200" i="4"/>
  <c r="H1200" i="4"/>
  <c r="K1199" i="4"/>
  <c r="H1199" i="4"/>
  <c r="K1198" i="4"/>
  <c r="H1198" i="4"/>
  <c r="K1197" i="4"/>
  <c r="H1197" i="4"/>
  <c r="K1196" i="4"/>
  <c r="H1196" i="4"/>
  <c r="K1195" i="4"/>
  <c r="H1195" i="4"/>
  <c r="K1194" i="4"/>
  <c r="H1194" i="4"/>
  <c r="K1193" i="4"/>
  <c r="H1193" i="4"/>
  <c r="K1192" i="4"/>
  <c r="H1192" i="4"/>
  <c r="K1191" i="4"/>
  <c r="H1191" i="4"/>
  <c r="K1190" i="4"/>
  <c r="H1190" i="4"/>
  <c r="K1189" i="4"/>
  <c r="H1189" i="4"/>
  <c r="K1188" i="4"/>
  <c r="H1188" i="4"/>
  <c r="K1187" i="4"/>
  <c r="H1187" i="4"/>
  <c r="K1186" i="4"/>
  <c r="H1186" i="4"/>
  <c r="K1185" i="4"/>
  <c r="H1185" i="4"/>
  <c r="K1184" i="4"/>
  <c r="H1184" i="4"/>
  <c r="K1183" i="4"/>
  <c r="H1183" i="4"/>
  <c r="K1182" i="4"/>
  <c r="H1182" i="4"/>
  <c r="K1181" i="4"/>
  <c r="H1181" i="4"/>
  <c r="K1180" i="4"/>
  <c r="H1180" i="4"/>
  <c r="K1179" i="4"/>
  <c r="H1179" i="4"/>
  <c r="K1178" i="4"/>
  <c r="H1178" i="4"/>
  <c r="K1177" i="4"/>
  <c r="H1177" i="4"/>
  <c r="K1176" i="4"/>
  <c r="H1176" i="4"/>
  <c r="K1175" i="4"/>
  <c r="H1175" i="4"/>
  <c r="K1174" i="4"/>
  <c r="H1174" i="4"/>
  <c r="K1173" i="4"/>
  <c r="H1173" i="4"/>
  <c r="K1172" i="4"/>
  <c r="H1172" i="4"/>
  <c r="K1171" i="4"/>
  <c r="H1171" i="4"/>
  <c r="K1170" i="4"/>
  <c r="H1170" i="4"/>
  <c r="K1169" i="4"/>
  <c r="H1169" i="4"/>
  <c r="K1168" i="4"/>
  <c r="H1168" i="4"/>
  <c r="K1167" i="4"/>
  <c r="H1167" i="4"/>
  <c r="K1166" i="4"/>
  <c r="H1166" i="4"/>
  <c r="K1165" i="4"/>
  <c r="H1165" i="4"/>
  <c r="K1164" i="4"/>
  <c r="H1164" i="4"/>
  <c r="K1163" i="4"/>
  <c r="H1163" i="4"/>
  <c r="K1162" i="4"/>
  <c r="H1162" i="4"/>
  <c r="K1161" i="4"/>
  <c r="H1161" i="4"/>
  <c r="K1160" i="4"/>
  <c r="H1160" i="4"/>
  <c r="K1159" i="4"/>
  <c r="H1159" i="4"/>
  <c r="K1158" i="4"/>
  <c r="H1158" i="4"/>
  <c r="K1157" i="4"/>
  <c r="H1157" i="4"/>
  <c r="K1156" i="4"/>
  <c r="H1156" i="4"/>
  <c r="K1155" i="4"/>
  <c r="H1155" i="4"/>
  <c r="K1154" i="4"/>
  <c r="H1154" i="4"/>
  <c r="K1153" i="4"/>
  <c r="H1153" i="4"/>
  <c r="K1152" i="4"/>
  <c r="H1152" i="4"/>
  <c r="K1151" i="4"/>
  <c r="H1151" i="4"/>
  <c r="K1150" i="4"/>
  <c r="H1150" i="4"/>
  <c r="K1149" i="4"/>
  <c r="H1149" i="4"/>
  <c r="K1148" i="4"/>
  <c r="H1148" i="4"/>
  <c r="K1147" i="4"/>
  <c r="H1147" i="4"/>
  <c r="K1146" i="4"/>
  <c r="H1146" i="4"/>
  <c r="K1145" i="4"/>
  <c r="H1145" i="4"/>
  <c r="K1144" i="4"/>
  <c r="H1144" i="4"/>
  <c r="K1143" i="4"/>
  <c r="H1143" i="4"/>
  <c r="K1142" i="4"/>
  <c r="H1142" i="4"/>
  <c r="K1141" i="4"/>
  <c r="H1141" i="4"/>
  <c r="K1140" i="4"/>
  <c r="H1140" i="4"/>
  <c r="K1139" i="4"/>
  <c r="H1139" i="4"/>
  <c r="K1138" i="4"/>
  <c r="H1138" i="4"/>
  <c r="K1137" i="4"/>
  <c r="H1137" i="4"/>
  <c r="K1136" i="4"/>
  <c r="H1136" i="4"/>
  <c r="K1135" i="4"/>
  <c r="H1135" i="4"/>
  <c r="K1134" i="4"/>
  <c r="H1134" i="4"/>
  <c r="K1133" i="4"/>
  <c r="H1133" i="4"/>
  <c r="K1132" i="4"/>
  <c r="H1132" i="4"/>
  <c r="K1131" i="4"/>
  <c r="H1131" i="4"/>
  <c r="K1130" i="4"/>
  <c r="H1130" i="4"/>
  <c r="K1129" i="4"/>
  <c r="H1129" i="4"/>
  <c r="K1128" i="4"/>
  <c r="H1128" i="4"/>
  <c r="K1127" i="4"/>
  <c r="H1127" i="4"/>
  <c r="K1126" i="4"/>
  <c r="H1126" i="4"/>
  <c r="K1125" i="4"/>
  <c r="H1125" i="4"/>
  <c r="K1124" i="4"/>
  <c r="H1124" i="4"/>
  <c r="K1123" i="4"/>
  <c r="H1123" i="4"/>
  <c r="K1122" i="4"/>
  <c r="H1122" i="4"/>
  <c r="K1121" i="4"/>
  <c r="H1121" i="4"/>
  <c r="K1120" i="4"/>
  <c r="H1120" i="4"/>
  <c r="K1119" i="4"/>
  <c r="H1119" i="4"/>
  <c r="K1118" i="4"/>
  <c r="H1118" i="4"/>
  <c r="K1117" i="4"/>
  <c r="H1117" i="4"/>
  <c r="K1116" i="4"/>
  <c r="H1116" i="4"/>
  <c r="K1115" i="4"/>
  <c r="H1115" i="4"/>
  <c r="K1114" i="4"/>
  <c r="H1114" i="4"/>
  <c r="K1113" i="4"/>
  <c r="H1113" i="4"/>
  <c r="K1112" i="4"/>
  <c r="H1112" i="4"/>
  <c r="K1111" i="4"/>
  <c r="H1111" i="4"/>
  <c r="K1110" i="4"/>
  <c r="H1110" i="4"/>
  <c r="K1109" i="4"/>
  <c r="H1109" i="4"/>
  <c r="K1108" i="4"/>
  <c r="H1108" i="4"/>
  <c r="K1107" i="4"/>
  <c r="H1107" i="4"/>
  <c r="K1106" i="4"/>
  <c r="H1106" i="4"/>
  <c r="K1105" i="4"/>
  <c r="H1105" i="4"/>
  <c r="K1104" i="4"/>
  <c r="H1104" i="4"/>
  <c r="K1103" i="4"/>
  <c r="H1103" i="4"/>
  <c r="K1102" i="4"/>
  <c r="H1102" i="4"/>
  <c r="K1101" i="4"/>
  <c r="H1101" i="4"/>
  <c r="K1100" i="4"/>
  <c r="H1100" i="4"/>
  <c r="K1099" i="4"/>
  <c r="H1099" i="4"/>
  <c r="K1098" i="4"/>
  <c r="H1098" i="4"/>
  <c r="K1097" i="4"/>
  <c r="H1097" i="4"/>
  <c r="K1096" i="4"/>
  <c r="H1096" i="4"/>
  <c r="K1095" i="4"/>
  <c r="H1095" i="4"/>
  <c r="K1094" i="4"/>
  <c r="H1094" i="4"/>
  <c r="K1093" i="4"/>
  <c r="H1093" i="4"/>
  <c r="K1092" i="4"/>
  <c r="H1092" i="4"/>
  <c r="K1091" i="4"/>
  <c r="H1091" i="4"/>
  <c r="K1090" i="4"/>
  <c r="H1090" i="4"/>
  <c r="K1089" i="4"/>
  <c r="H1089" i="4"/>
  <c r="K1088" i="4"/>
  <c r="H1088" i="4"/>
  <c r="K1087" i="4"/>
  <c r="H1087" i="4"/>
  <c r="K1086" i="4"/>
  <c r="H1086" i="4"/>
  <c r="K1085" i="4"/>
  <c r="H1085" i="4"/>
  <c r="K1084" i="4"/>
  <c r="H1084" i="4"/>
  <c r="K1083" i="4"/>
  <c r="H1083" i="4"/>
  <c r="K1082" i="4"/>
  <c r="H1082" i="4"/>
  <c r="K1081" i="4"/>
  <c r="H1081" i="4"/>
  <c r="K1080" i="4"/>
  <c r="H1080" i="4"/>
  <c r="K1079" i="4"/>
  <c r="H1079" i="4"/>
  <c r="K1078" i="4"/>
  <c r="H1078" i="4"/>
  <c r="K1077" i="4"/>
  <c r="H1077" i="4"/>
  <c r="K1076" i="4"/>
  <c r="H1076" i="4"/>
  <c r="K1075" i="4"/>
  <c r="H1075" i="4"/>
  <c r="K1074" i="4"/>
  <c r="H1074" i="4"/>
  <c r="K1073" i="4"/>
  <c r="H1073" i="4"/>
  <c r="K1072" i="4"/>
  <c r="H1072" i="4"/>
  <c r="K1071" i="4"/>
  <c r="H1071" i="4"/>
  <c r="K1070" i="4"/>
  <c r="H1070" i="4"/>
  <c r="K1069" i="4"/>
  <c r="H1069" i="4"/>
  <c r="K1068" i="4"/>
  <c r="H1068" i="4"/>
  <c r="K1067" i="4"/>
  <c r="H1067" i="4"/>
  <c r="K1066" i="4"/>
  <c r="H1066" i="4"/>
  <c r="K1065" i="4"/>
  <c r="H1065" i="4"/>
  <c r="K1064" i="4"/>
  <c r="H1064" i="4"/>
  <c r="K1063" i="4"/>
  <c r="H1063" i="4"/>
  <c r="K1062" i="4"/>
  <c r="H1062" i="4"/>
  <c r="K1061" i="4"/>
  <c r="H1061" i="4"/>
  <c r="K1060" i="4"/>
  <c r="H1060" i="4"/>
  <c r="K1059" i="4"/>
  <c r="H1059" i="4"/>
  <c r="K1058" i="4"/>
  <c r="H1058" i="4"/>
  <c r="K1057" i="4"/>
  <c r="H1057" i="4"/>
  <c r="K1056" i="4"/>
  <c r="H1056" i="4"/>
  <c r="K1055" i="4"/>
  <c r="H1055" i="4"/>
  <c r="K1054" i="4"/>
  <c r="H1054" i="4"/>
  <c r="K1053" i="4"/>
  <c r="H1053" i="4"/>
  <c r="K1052" i="4"/>
  <c r="H1052" i="4"/>
  <c r="K1051" i="4"/>
  <c r="H1051" i="4"/>
  <c r="K1050" i="4"/>
  <c r="H1050" i="4"/>
  <c r="K1049" i="4"/>
  <c r="H1049" i="4"/>
  <c r="K1048" i="4"/>
  <c r="H1048" i="4"/>
  <c r="K1047" i="4"/>
  <c r="H1047" i="4"/>
  <c r="K1046" i="4"/>
  <c r="H1046" i="4"/>
  <c r="K1045" i="4"/>
  <c r="H1045" i="4"/>
  <c r="K1044" i="4"/>
  <c r="H1044" i="4"/>
  <c r="K1043" i="4"/>
  <c r="H1043" i="4"/>
  <c r="K1042" i="4"/>
  <c r="H1042" i="4"/>
  <c r="K1041" i="4"/>
  <c r="H1041" i="4"/>
  <c r="K1040" i="4"/>
  <c r="H1040" i="4"/>
  <c r="K1039" i="4"/>
  <c r="H1039" i="4"/>
  <c r="K1038" i="4"/>
  <c r="H1038" i="4"/>
  <c r="K1037" i="4"/>
  <c r="H1037" i="4"/>
  <c r="K1036" i="4"/>
  <c r="H1036" i="4"/>
  <c r="K1035" i="4"/>
  <c r="H1035" i="4"/>
  <c r="K1034" i="4"/>
  <c r="H1034" i="4"/>
  <c r="K1033" i="4"/>
  <c r="H1033" i="4"/>
  <c r="K1032" i="4"/>
  <c r="H1032" i="4"/>
  <c r="K1031" i="4"/>
  <c r="H1031" i="4"/>
  <c r="K1030" i="4"/>
  <c r="H1030" i="4"/>
  <c r="K1029" i="4"/>
  <c r="H1029" i="4"/>
  <c r="K1028" i="4"/>
  <c r="H1028" i="4"/>
  <c r="K1027" i="4"/>
  <c r="H1027" i="4"/>
  <c r="K1026" i="4"/>
  <c r="H1026" i="4"/>
  <c r="K1025" i="4"/>
  <c r="H1025" i="4"/>
  <c r="K1024" i="4"/>
  <c r="H1024" i="4"/>
  <c r="K1023" i="4"/>
  <c r="H1023" i="4"/>
  <c r="K1022" i="4"/>
  <c r="H1022" i="4"/>
  <c r="K1021" i="4"/>
  <c r="H1021" i="4"/>
  <c r="K1020" i="4"/>
  <c r="H1020" i="4"/>
  <c r="K1019" i="4"/>
  <c r="H1019" i="4"/>
  <c r="K1018" i="4"/>
  <c r="H1018" i="4"/>
  <c r="K1017" i="4"/>
  <c r="H1017" i="4"/>
  <c r="K1016" i="4"/>
  <c r="H1016" i="4"/>
  <c r="K1015" i="4"/>
  <c r="H1015" i="4"/>
  <c r="K1014" i="4"/>
  <c r="H1014" i="4"/>
  <c r="K1013" i="4"/>
  <c r="H1013" i="4"/>
  <c r="K1012" i="4"/>
  <c r="H1012" i="4"/>
  <c r="K1011" i="4"/>
  <c r="H1011" i="4"/>
  <c r="K1010" i="4"/>
  <c r="H1010" i="4"/>
  <c r="K1009" i="4"/>
  <c r="H1009" i="4"/>
  <c r="K1008" i="4"/>
  <c r="H1008" i="4"/>
  <c r="K1007" i="4"/>
  <c r="H1007" i="4"/>
  <c r="K1006" i="4"/>
  <c r="H1006" i="4"/>
  <c r="K1005" i="4"/>
  <c r="H1005" i="4"/>
  <c r="K1004" i="4"/>
  <c r="H1004" i="4"/>
  <c r="K1003" i="4"/>
  <c r="H1003" i="4"/>
  <c r="K1002" i="4"/>
  <c r="H1002" i="4"/>
  <c r="K1001" i="4"/>
  <c r="H1001" i="4"/>
  <c r="K1000" i="4"/>
  <c r="H1000" i="4"/>
  <c r="K999" i="4"/>
  <c r="H999" i="4"/>
  <c r="K998" i="4"/>
  <c r="H998" i="4"/>
  <c r="K997" i="4"/>
  <c r="H997" i="4"/>
  <c r="K996" i="4"/>
  <c r="H996" i="4"/>
  <c r="K995" i="4"/>
  <c r="H995" i="4"/>
  <c r="K994" i="4"/>
  <c r="H994" i="4"/>
  <c r="K993" i="4"/>
  <c r="H993" i="4"/>
  <c r="K992" i="4"/>
  <c r="H992" i="4"/>
  <c r="K991" i="4"/>
  <c r="H991" i="4"/>
  <c r="K990" i="4"/>
  <c r="H990" i="4"/>
  <c r="K989" i="4"/>
  <c r="H989" i="4"/>
  <c r="K988" i="4"/>
  <c r="H988" i="4"/>
  <c r="K987" i="4"/>
  <c r="H987" i="4"/>
  <c r="K986" i="4"/>
  <c r="H986" i="4"/>
  <c r="K985" i="4"/>
  <c r="H985" i="4"/>
  <c r="K984" i="4"/>
  <c r="H984" i="4"/>
  <c r="K983" i="4"/>
  <c r="H983" i="4"/>
  <c r="K982" i="4"/>
  <c r="H982" i="4"/>
  <c r="K981" i="4"/>
  <c r="H981" i="4"/>
  <c r="K980" i="4"/>
  <c r="H980" i="4"/>
  <c r="K979" i="4"/>
  <c r="H979" i="4"/>
  <c r="K978" i="4"/>
  <c r="H978" i="4"/>
  <c r="K977" i="4"/>
  <c r="H977" i="4"/>
  <c r="K976" i="4"/>
  <c r="H976" i="4"/>
  <c r="K975" i="4"/>
  <c r="H975" i="4"/>
  <c r="K974" i="4"/>
  <c r="H974" i="4"/>
  <c r="K973" i="4"/>
  <c r="H973" i="4"/>
  <c r="K972" i="4"/>
  <c r="H972" i="4"/>
  <c r="K971" i="4"/>
  <c r="H971" i="4"/>
  <c r="K970" i="4"/>
  <c r="H970" i="4"/>
  <c r="K969" i="4"/>
  <c r="H969" i="4"/>
  <c r="K968" i="4"/>
  <c r="H968" i="4"/>
  <c r="K967" i="4"/>
  <c r="H967" i="4"/>
  <c r="K966" i="4"/>
  <c r="H966" i="4"/>
  <c r="K965" i="4"/>
  <c r="H965" i="4"/>
  <c r="K964" i="4"/>
  <c r="H964" i="4"/>
  <c r="K963" i="4"/>
  <c r="H963" i="4"/>
  <c r="K962" i="4"/>
  <c r="H962" i="4"/>
  <c r="K961" i="4"/>
  <c r="H961" i="4"/>
  <c r="K960" i="4"/>
  <c r="H960" i="4"/>
  <c r="K959" i="4"/>
  <c r="H959" i="4"/>
  <c r="K958" i="4"/>
  <c r="H958" i="4"/>
  <c r="K957" i="4"/>
  <c r="H957" i="4"/>
  <c r="K956" i="4"/>
  <c r="H956" i="4"/>
  <c r="K955" i="4"/>
  <c r="H955" i="4"/>
  <c r="K954" i="4"/>
  <c r="H954" i="4"/>
  <c r="K953" i="4"/>
  <c r="H953" i="4"/>
  <c r="K952" i="4"/>
  <c r="H952" i="4"/>
  <c r="K951" i="4"/>
  <c r="H951" i="4"/>
  <c r="K950" i="4"/>
  <c r="H950" i="4"/>
  <c r="K949" i="4"/>
  <c r="H949" i="4"/>
  <c r="K948" i="4"/>
  <c r="H948" i="4"/>
  <c r="K947" i="4"/>
  <c r="H947" i="4"/>
  <c r="K946" i="4"/>
  <c r="H946" i="4"/>
  <c r="K945" i="4"/>
  <c r="H945" i="4"/>
  <c r="K944" i="4"/>
  <c r="H944" i="4"/>
  <c r="K943" i="4"/>
  <c r="H943" i="4"/>
  <c r="K942" i="4"/>
  <c r="H942" i="4"/>
  <c r="K941" i="4"/>
  <c r="H941" i="4"/>
  <c r="K940" i="4"/>
  <c r="H940" i="4"/>
  <c r="K939" i="4"/>
  <c r="H939" i="4"/>
  <c r="K938" i="4"/>
  <c r="H938" i="4"/>
  <c r="K937" i="4"/>
  <c r="H937" i="4"/>
  <c r="K936" i="4"/>
  <c r="H936" i="4"/>
  <c r="K935" i="4"/>
  <c r="H935" i="4"/>
  <c r="K934" i="4"/>
  <c r="H934" i="4"/>
  <c r="K933" i="4"/>
  <c r="H933" i="4"/>
  <c r="K932" i="4"/>
  <c r="H932" i="4"/>
  <c r="K931" i="4"/>
  <c r="H931" i="4"/>
  <c r="K930" i="4"/>
  <c r="H930" i="4"/>
  <c r="K929" i="4"/>
  <c r="H929" i="4"/>
  <c r="K928" i="4"/>
  <c r="H928" i="4"/>
  <c r="K927" i="4"/>
  <c r="H927" i="4"/>
  <c r="K926" i="4"/>
  <c r="H926" i="4"/>
  <c r="K925" i="4"/>
  <c r="H925" i="4"/>
  <c r="K924" i="4"/>
  <c r="H924" i="4"/>
  <c r="K923" i="4"/>
  <c r="H923" i="4"/>
  <c r="K922" i="4"/>
  <c r="H922" i="4"/>
  <c r="K921" i="4"/>
  <c r="H921" i="4"/>
  <c r="K920" i="4"/>
  <c r="H920" i="4"/>
  <c r="K919" i="4"/>
  <c r="H919" i="4"/>
  <c r="K918" i="4"/>
  <c r="H918" i="4"/>
  <c r="K917" i="4"/>
  <c r="H917" i="4"/>
  <c r="K916" i="4"/>
  <c r="H916" i="4"/>
  <c r="K915" i="4"/>
  <c r="H915" i="4"/>
  <c r="K914" i="4"/>
  <c r="H914" i="4"/>
  <c r="K913" i="4"/>
  <c r="H913" i="4"/>
  <c r="K912" i="4"/>
  <c r="H912" i="4"/>
  <c r="K911" i="4"/>
  <c r="H911" i="4"/>
  <c r="K910" i="4"/>
  <c r="H910" i="4"/>
  <c r="K909" i="4"/>
  <c r="H909" i="4"/>
  <c r="K908" i="4"/>
  <c r="H908" i="4"/>
  <c r="K907" i="4"/>
  <c r="H907" i="4"/>
  <c r="K906" i="4"/>
  <c r="H906" i="4"/>
  <c r="K905" i="4"/>
  <c r="H905" i="4"/>
  <c r="K904" i="4"/>
  <c r="H904" i="4"/>
  <c r="K903" i="4"/>
  <c r="H903" i="4"/>
  <c r="K902" i="4"/>
  <c r="H902" i="4"/>
  <c r="K901" i="4"/>
  <c r="H901" i="4"/>
  <c r="K900" i="4"/>
  <c r="H900" i="4"/>
  <c r="K899" i="4"/>
  <c r="H899" i="4"/>
  <c r="K898" i="4"/>
  <c r="H898" i="4"/>
  <c r="K897" i="4"/>
  <c r="H897" i="4"/>
  <c r="K896" i="4"/>
  <c r="H896" i="4"/>
  <c r="K895" i="4"/>
  <c r="H895" i="4"/>
  <c r="K894" i="4"/>
  <c r="H894" i="4"/>
  <c r="K893" i="4"/>
  <c r="H893" i="4"/>
  <c r="K892" i="4"/>
  <c r="H892" i="4"/>
  <c r="K891" i="4"/>
  <c r="H891" i="4"/>
  <c r="K890" i="4"/>
  <c r="H890" i="4"/>
  <c r="K889" i="4"/>
  <c r="H889" i="4"/>
  <c r="K888" i="4"/>
  <c r="H888" i="4"/>
  <c r="K887" i="4"/>
  <c r="H887" i="4"/>
  <c r="K886" i="4"/>
  <c r="H886" i="4"/>
  <c r="K885" i="4"/>
  <c r="H885" i="4"/>
  <c r="K884" i="4"/>
  <c r="H884" i="4"/>
  <c r="K883" i="4"/>
  <c r="H883" i="4"/>
  <c r="K882" i="4"/>
  <c r="H882" i="4"/>
  <c r="K881" i="4"/>
  <c r="H881" i="4"/>
  <c r="K880" i="4"/>
  <c r="H880" i="4"/>
  <c r="K879" i="4"/>
  <c r="H879" i="4"/>
  <c r="K878" i="4"/>
  <c r="H878" i="4"/>
  <c r="K877" i="4"/>
  <c r="H877" i="4"/>
  <c r="K876" i="4"/>
  <c r="H876" i="4"/>
  <c r="K875" i="4"/>
  <c r="H875" i="4"/>
  <c r="K874" i="4"/>
  <c r="H874" i="4"/>
  <c r="K873" i="4"/>
  <c r="H873" i="4"/>
  <c r="K872" i="4"/>
  <c r="H872" i="4"/>
  <c r="K871" i="4"/>
  <c r="H871" i="4"/>
  <c r="K870" i="4"/>
  <c r="H870" i="4"/>
  <c r="K869" i="4"/>
  <c r="H869" i="4"/>
  <c r="K868" i="4"/>
  <c r="H868" i="4"/>
  <c r="K867" i="4"/>
  <c r="H867" i="4"/>
  <c r="K866" i="4"/>
  <c r="H866" i="4"/>
  <c r="K865" i="4"/>
  <c r="H865" i="4"/>
  <c r="K864" i="4"/>
  <c r="H864" i="4"/>
  <c r="K863" i="4"/>
  <c r="H863" i="4"/>
  <c r="K862" i="4"/>
  <c r="H862" i="4"/>
  <c r="K861" i="4"/>
  <c r="H861" i="4"/>
  <c r="K860" i="4"/>
  <c r="H860" i="4"/>
  <c r="K859" i="4"/>
  <c r="H859" i="4"/>
  <c r="K858" i="4"/>
  <c r="H858" i="4"/>
  <c r="K857" i="4"/>
  <c r="H857" i="4"/>
  <c r="K856" i="4"/>
  <c r="H856" i="4"/>
  <c r="K855" i="4"/>
  <c r="H855" i="4"/>
  <c r="K854" i="4"/>
  <c r="H854" i="4"/>
  <c r="K853" i="4"/>
  <c r="H853" i="4"/>
  <c r="K852" i="4"/>
  <c r="H852" i="4"/>
  <c r="K851" i="4"/>
  <c r="H851" i="4"/>
  <c r="K850" i="4"/>
  <c r="H850" i="4"/>
  <c r="K849" i="4"/>
  <c r="H849" i="4"/>
  <c r="K848" i="4"/>
  <c r="H848" i="4"/>
  <c r="K847" i="4"/>
  <c r="H847" i="4"/>
  <c r="K846" i="4"/>
  <c r="H846" i="4"/>
  <c r="K845" i="4"/>
  <c r="H845" i="4"/>
  <c r="K844" i="4"/>
  <c r="H844" i="4"/>
  <c r="K843" i="4"/>
  <c r="H843" i="4"/>
  <c r="K842" i="4"/>
  <c r="H842" i="4"/>
  <c r="K841" i="4"/>
  <c r="H841" i="4"/>
  <c r="K840" i="4"/>
  <c r="H840" i="4"/>
  <c r="K839" i="4"/>
  <c r="H839" i="4"/>
  <c r="K838" i="4"/>
  <c r="H838" i="4"/>
  <c r="K837" i="4"/>
  <c r="H837" i="4"/>
  <c r="K836" i="4"/>
  <c r="H836" i="4"/>
  <c r="K835" i="4"/>
  <c r="H835" i="4"/>
  <c r="K834" i="4"/>
  <c r="H834" i="4"/>
  <c r="K833" i="4"/>
  <c r="H833" i="4"/>
  <c r="K832" i="4"/>
  <c r="H832" i="4"/>
  <c r="K831" i="4"/>
  <c r="H831" i="4"/>
  <c r="K830" i="4"/>
  <c r="H830" i="4"/>
  <c r="K829" i="4"/>
  <c r="H829" i="4"/>
  <c r="K828" i="4"/>
  <c r="H828" i="4"/>
  <c r="K827" i="4"/>
  <c r="H827" i="4"/>
  <c r="K826" i="4"/>
  <c r="H826" i="4"/>
  <c r="K825" i="4"/>
  <c r="H825" i="4"/>
  <c r="K824" i="4"/>
  <c r="H824" i="4"/>
  <c r="K823" i="4"/>
  <c r="H823" i="4"/>
  <c r="K822" i="4"/>
  <c r="H822" i="4"/>
  <c r="K821" i="4"/>
  <c r="H821" i="4"/>
  <c r="K820" i="4"/>
  <c r="H820" i="4"/>
  <c r="K819" i="4"/>
  <c r="H819" i="4"/>
  <c r="K818" i="4"/>
  <c r="H818" i="4"/>
  <c r="K817" i="4"/>
  <c r="H817" i="4"/>
  <c r="K816" i="4"/>
  <c r="H816" i="4"/>
  <c r="K815" i="4"/>
  <c r="H815" i="4"/>
  <c r="K814" i="4"/>
  <c r="H814" i="4"/>
  <c r="K813" i="4"/>
  <c r="H813" i="4"/>
  <c r="K812" i="4"/>
  <c r="H812" i="4"/>
  <c r="K811" i="4"/>
  <c r="H811" i="4"/>
  <c r="K810" i="4"/>
  <c r="H810" i="4"/>
  <c r="K809" i="4"/>
  <c r="H809" i="4"/>
  <c r="K808" i="4"/>
  <c r="H808" i="4"/>
  <c r="K807" i="4"/>
  <c r="H807" i="4"/>
  <c r="K806" i="4"/>
  <c r="H806" i="4"/>
  <c r="K805" i="4"/>
  <c r="H805" i="4"/>
  <c r="K804" i="4"/>
  <c r="H804" i="4"/>
  <c r="K803" i="4"/>
  <c r="H803" i="4"/>
  <c r="K802" i="4"/>
  <c r="H802" i="4"/>
  <c r="K801" i="4"/>
  <c r="H801" i="4"/>
  <c r="K800" i="4"/>
  <c r="H800" i="4"/>
  <c r="K799" i="4"/>
  <c r="H799" i="4"/>
  <c r="K798" i="4"/>
  <c r="H798" i="4"/>
  <c r="K797" i="4"/>
  <c r="H797" i="4"/>
  <c r="K796" i="4"/>
  <c r="H796" i="4"/>
  <c r="K795" i="4"/>
  <c r="H795" i="4"/>
  <c r="K794" i="4"/>
  <c r="H794" i="4"/>
  <c r="K793" i="4"/>
  <c r="H793" i="4"/>
  <c r="K792" i="4"/>
  <c r="H792" i="4"/>
  <c r="K791" i="4"/>
  <c r="H791" i="4"/>
  <c r="K790" i="4"/>
  <c r="H790" i="4"/>
  <c r="K789" i="4"/>
  <c r="H789" i="4"/>
  <c r="K788" i="4"/>
  <c r="H788" i="4"/>
  <c r="K787" i="4"/>
  <c r="H787" i="4"/>
  <c r="K786" i="4"/>
  <c r="H786" i="4"/>
  <c r="K785" i="4"/>
  <c r="H785" i="4"/>
  <c r="K784" i="4"/>
  <c r="H784" i="4"/>
  <c r="K783" i="4"/>
  <c r="H783" i="4"/>
  <c r="K782" i="4"/>
  <c r="H782" i="4"/>
  <c r="K781" i="4"/>
  <c r="H781" i="4"/>
  <c r="K780" i="4"/>
  <c r="H780" i="4"/>
  <c r="K779" i="4"/>
  <c r="H779" i="4"/>
  <c r="K778" i="4"/>
  <c r="H778" i="4"/>
  <c r="K777" i="4"/>
  <c r="H777" i="4"/>
  <c r="K776" i="4"/>
  <c r="H776" i="4"/>
  <c r="K775" i="4"/>
  <c r="H775" i="4"/>
  <c r="K774" i="4"/>
  <c r="H774" i="4"/>
  <c r="K773" i="4"/>
  <c r="H773" i="4"/>
  <c r="K772" i="4"/>
  <c r="H772" i="4"/>
  <c r="K771" i="4"/>
  <c r="H771" i="4"/>
  <c r="K770" i="4"/>
  <c r="H770" i="4"/>
  <c r="K769" i="4"/>
  <c r="H769" i="4"/>
  <c r="K768" i="4"/>
  <c r="H768" i="4"/>
  <c r="K767" i="4"/>
  <c r="H767" i="4"/>
  <c r="K766" i="4"/>
  <c r="H766" i="4"/>
  <c r="K765" i="4"/>
  <c r="H765" i="4"/>
  <c r="K764" i="4"/>
  <c r="H764" i="4"/>
  <c r="K763" i="4"/>
  <c r="H763" i="4"/>
  <c r="K762" i="4"/>
  <c r="H762" i="4"/>
  <c r="K761" i="4"/>
  <c r="H761" i="4"/>
  <c r="K760" i="4"/>
  <c r="H760" i="4"/>
  <c r="K759" i="4"/>
  <c r="H759" i="4"/>
  <c r="K758" i="4"/>
  <c r="H758" i="4"/>
  <c r="K757" i="4"/>
  <c r="H757" i="4"/>
  <c r="K756" i="4"/>
  <c r="H756" i="4"/>
  <c r="K755" i="4"/>
  <c r="H755" i="4"/>
  <c r="K754" i="4"/>
  <c r="H754" i="4"/>
  <c r="K753" i="4"/>
  <c r="H753" i="4"/>
  <c r="K752" i="4"/>
  <c r="H752" i="4"/>
  <c r="K751" i="4"/>
  <c r="H751" i="4"/>
  <c r="K750" i="4"/>
  <c r="H750" i="4"/>
  <c r="K749" i="4"/>
  <c r="H749" i="4"/>
  <c r="K748" i="4"/>
  <c r="H748" i="4"/>
  <c r="K747" i="4"/>
  <c r="H747" i="4"/>
  <c r="K746" i="4"/>
  <c r="H746" i="4"/>
  <c r="K745" i="4"/>
  <c r="H745" i="4"/>
  <c r="K744" i="4"/>
  <c r="H744" i="4"/>
  <c r="K743" i="4"/>
  <c r="H743" i="4"/>
  <c r="K742" i="4"/>
  <c r="H742" i="4"/>
  <c r="K741" i="4"/>
  <c r="H741" i="4"/>
  <c r="K740" i="4"/>
  <c r="H740" i="4"/>
  <c r="K739" i="4"/>
  <c r="H739" i="4"/>
  <c r="K738" i="4"/>
  <c r="H738" i="4"/>
  <c r="K737" i="4"/>
  <c r="H737" i="4"/>
  <c r="K736" i="4"/>
  <c r="H736" i="4"/>
  <c r="K735" i="4"/>
  <c r="H735" i="4"/>
  <c r="K734" i="4"/>
  <c r="H734" i="4"/>
  <c r="K733" i="4"/>
  <c r="H733" i="4"/>
  <c r="K732" i="4"/>
  <c r="H732" i="4"/>
  <c r="K731" i="4"/>
  <c r="H731" i="4"/>
  <c r="K730" i="4"/>
  <c r="H730" i="4"/>
  <c r="K729" i="4"/>
  <c r="H729" i="4"/>
  <c r="K728" i="4"/>
  <c r="H728" i="4"/>
  <c r="K727" i="4"/>
  <c r="H727" i="4"/>
  <c r="K726" i="4"/>
  <c r="H726" i="4"/>
  <c r="K725" i="4"/>
  <c r="H725" i="4"/>
  <c r="K724" i="4"/>
  <c r="H724" i="4"/>
  <c r="K723" i="4"/>
  <c r="H723" i="4"/>
  <c r="K722" i="4"/>
  <c r="H722" i="4"/>
  <c r="K721" i="4"/>
  <c r="H721" i="4"/>
  <c r="K720" i="4"/>
  <c r="H720" i="4"/>
  <c r="K719" i="4"/>
  <c r="H719" i="4"/>
  <c r="K718" i="4"/>
  <c r="H718" i="4"/>
  <c r="K717" i="4"/>
  <c r="H717" i="4"/>
  <c r="K716" i="4"/>
  <c r="H716" i="4"/>
  <c r="K715" i="4"/>
  <c r="H715" i="4"/>
  <c r="K714" i="4"/>
  <c r="H714" i="4"/>
  <c r="K713" i="4"/>
  <c r="H713" i="4"/>
  <c r="K712" i="4"/>
  <c r="H712" i="4"/>
  <c r="K711" i="4"/>
  <c r="H711" i="4"/>
  <c r="K710" i="4"/>
  <c r="H710" i="4"/>
  <c r="K709" i="4"/>
  <c r="H709" i="4"/>
  <c r="K708" i="4"/>
  <c r="H708" i="4"/>
  <c r="K707" i="4"/>
  <c r="H707" i="4"/>
  <c r="K706" i="4"/>
  <c r="H706" i="4"/>
  <c r="K705" i="4"/>
  <c r="H705" i="4"/>
  <c r="K704" i="4"/>
  <c r="H704" i="4"/>
  <c r="K703" i="4"/>
  <c r="H703" i="4"/>
  <c r="K702" i="4"/>
  <c r="H702" i="4"/>
  <c r="K701" i="4"/>
  <c r="H701" i="4"/>
  <c r="K700" i="4"/>
  <c r="H700" i="4"/>
  <c r="K699" i="4"/>
  <c r="H699" i="4"/>
  <c r="K698" i="4"/>
  <c r="H698" i="4"/>
  <c r="K697" i="4"/>
  <c r="H697" i="4"/>
  <c r="K696" i="4"/>
  <c r="H696" i="4"/>
  <c r="K695" i="4"/>
  <c r="H695" i="4"/>
  <c r="K694" i="4"/>
  <c r="H694" i="4"/>
  <c r="K693" i="4"/>
  <c r="H693" i="4"/>
  <c r="K692" i="4"/>
  <c r="H692" i="4"/>
  <c r="K691" i="4"/>
  <c r="H691" i="4"/>
  <c r="K690" i="4"/>
  <c r="H690" i="4"/>
  <c r="K689" i="4"/>
  <c r="H689" i="4"/>
  <c r="K688" i="4"/>
  <c r="H688" i="4"/>
  <c r="K687" i="4"/>
  <c r="H687" i="4"/>
  <c r="K686" i="4"/>
  <c r="H686" i="4"/>
  <c r="K685" i="4"/>
  <c r="H685" i="4"/>
  <c r="K684" i="4"/>
  <c r="H684" i="4"/>
  <c r="K683" i="4"/>
  <c r="H683" i="4"/>
  <c r="K682" i="4"/>
  <c r="H682" i="4"/>
  <c r="K681" i="4"/>
  <c r="H681" i="4"/>
  <c r="K680" i="4"/>
  <c r="H680" i="4"/>
  <c r="K679" i="4"/>
  <c r="H679" i="4"/>
  <c r="K678" i="4"/>
  <c r="H678" i="4"/>
  <c r="K677" i="4"/>
  <c r="H677" i="4"/>
  <c r="K676" i="4"/>
  <c r="H676" i="4"/>
  <c r="K675" i="4"/>
  <c r="H675" i="4"/>
  <c r="K674" i="4"/>
  <c r="H674" i="4"/>
  <c r="K673" i="4"/>
  <c r="H673" i="4"/>
  <c r="K672" i="4"/>
  <c r="H672" i="4"/>
  <c r="K671" i="4"/>
  <c r="H671" i="4"/>
  <c r="K670" i="4"/>
  <c r="H670" i="4"/>
  <c r="K669" i="4"/>
  <c r="H669" i="4"/>
  <c r="K668" i="4"/>
  <c r="H668" i="4"/>
  <c r="K667" i="4"/>
  <c r="H667" i="4"/>
  <c r="K666" i="4"/>
  <c r="H666" i="4"/>
  <c r="K665" i="4"/>
  <c r="H665" i="4"/>
  <c r="K664" i="4"/>
  <c r="H664" i="4"/>
  <c r="K663" i="4"/>
  <c r="H663" i="4"/>
  <c r="K662" i="4"/>
  <c r="H662" i="4"/>
  <c r="K661" i="4"/>
  <c r="H661" i="4"/>
  <c r="K660" i="4"/>
  <c r="H660" i="4"/>
  <c r="K659" i="4"/>
  <c r="H659" i="4"/>
  <c r="K658" i="4"/>
  <c r="H658" i="4"/>
  <c r="K657" i="4"/>
  <c r="H657" i="4"/>
  <c r="K656" i="4"/>
  <c r="H656" i="4"/>
  <c r="K655" i="4"/>
  <c r="H655" i="4"/>
  <c r="K654" i="4"/>
  <c r="H654" i="4"/>
  <c r="K653" i="4"/>
  <c r="H653" i="4"/>
  <c r="K652" i="4"/>
  <c r="H652" i="4"/>
  <c r="K651" i="4"/>
  <c r="H651" i="4"/>
  <c r="K650" i="4"/>
  <c r="H650" i="4"/>
  <c r="K649" i="4"/>
  <c r="H649" i="4"/>
  <c r="K648" i="4"/>
  <c r="H648" i="4"/>
  <c r="K647" i="4"/>
  <c r="H647" i="4"/>
  <c r="K646" i="4"/>
  <c r="H646" i="4"/>
  <c r="K645" i="4"/>
  <c r="H645" i="4"/>
  <c r="K644" i="4"/>
  <c r="H644" i="4"/>
  <c r="K643" i="4"/>
  <c r="H643" i="4"/>
  <c r="K642" i="4"/>
  <c r="H642" i="4"/>
  <c r="K641" i="4"/>
  <c r="H641" i="4"/>
  <c r="K640" i="4"/>
  <c r="H640" i="4"/>
  <c r="K639" i="4"/>
  <c r="H639" i="4"/>
  <c r="K638" i="4"/>
  <c r="H638" i="4"/>
  <c r="K637" i="4"/>
  <c r="H637" i="4"/>
  <c r="K636" i="4"/>
  <c r="H636" i="4"/>
  <c r="K635" i="4"/>
  <c r="H635" i="4"/>
  <c r="K634" i="4"/>
  <c r="H634" i="4"/>
  <c r="K633" i="4"/>
  <c r="H633" i="4"/>
  <c r="K632" i="4"/>
  <c r="H632" i="4"/>
  <c r="K631" i="4"/>
  <c r="H631" i="4"/>
  <c r="K630" i="4"/>
  <c r="H630" i="4"/>
  <c r="K629" i="4"/>
  <c r="H629" i="4"/>
  <c r="K628" i="4"/>
  <c r="H628" i="4"/>
  <c r="K627" i="4"/>
  <c r="H627" i="4"/>
  <c r="K626" i="4"/>
  <c r="H626" i="4"/>
  <c r="K625" i="4"/>
  <c r="H625" i="4"/>
  <c r="K624" i="4"/>
  <c r="H624" i="4"/>
  <c r="K623" i="4"/>
  <c r="H623" i="4"/>
  <c r="K622" i="4"/>
  <c r="H622" i="4"/>
  <c r="K621" i="4"/>
  <c r="H621" i="4"/>
  <c r="K620" i="4"/>
  <c r="H620" i="4"/>
  <c r="K619" i="4"/>
  <c r="H619" i="4"/>
  <c r="K618" i="4"/>
  <c r="H618" i="4"/>
  <c r="K617" i="4"/>
  <c r="H617" i="4"/>
  <c r="K616" i="4"/>
  <c r="H616" i="4"/>
  <c r="K615" i="4"/>
  <c r="H615" i="4"/>
  <c r="K614" i="4"/>
  <c r="H614" i="4"/>
  <c r="K613" i="4"/>
  <c r="H613" i="4"/>
  <c r="K612" i="4"/>
  <c r="H612" i="4"/>
  <c r="K611" i="4"/>
  <c r="H611" i="4"/>
  <c r="K610" i="4"/>
  <c r="H610" i="4"/>
  <c r="K609" i="4"/>
  <c r="H609" i="4"/>
  <c r="K608" i="4"/>
  <c r="H608" i="4"/>
  <c r="K607" i="4"/>
  <c r="H607" i="4"/>
  <c r="K606" i="4"/>
  <c r="H606" i="4"/>
  <c r="K605" i="4"/>
  <c r="H605" i="4"/>
  <c r="K604" i="4"/>
  <c r="H604" i="4"/>
  <c r="K603" i="4"/>
  <c r="H603" i="4"/>
  <c r="K602" i="4"/>
  <c r="H602" i="4"/>
  <c r="K601" i="4"/>
  <c r="H601" i="4"/>
  <c r="K600" i="4"/>
  <c r="H600" i="4"/>
  <c r="K599" i="4"/>
  <c r="H599" i="4"/>
  <c r="K598" i="4"/>
  <c r="H598" i="4"/>
  <c r="K597" i="4"/>
  <c r="H597" i="4"/>
  <c r="K596" i="4"/>
  <c r="H596" i="4"/>
  <c r="K595" i="4"/>
  <c r="H595" i="4"/>
  <c r="K594" i="4"/>
  <c r="H594" i="4"/>
  <c r="K593" i="4"/>
  <c r="H593" i="4"/>
  <c r="K592" i="4"/>
  <c r="H592" i="4"/>
  <c r="K591" i="4"/>
  <c r="H591" i="4"/>
  <c r="K590" i="4"/>
  <c r="H590" i="4"/>
  <c r="K589" i="4"/>
  <c r="H589" i="4"/>
  <c r="K588" i="4"/>
  <c r="H588" i="4"/>
  <c r="K587" i="4"/>
  <c r="H587" i="4"/>
  <c r="K586" i="4"/>
  <c r="H586" i="4"/>
  <c r="K585" i="4"/>
  <c r="H585" i="4"/>
  <c r="K584" i="4"/>
  <c r="H584" i="4"/>
  <c r="K583" i="4"/>
  <c r="H583" i="4"/>
  <c r="K582" i="4"/>
  <c r="H582" i="4"/>
  <c r="K581" i="4"/>
  <c r="H581" i="4"/>
  <c r="K580" i="4"/>
  <c r="H580" i="4"/>
  <c r="K579" i="4"/>
  <c r="H579" i="4"/>
  <c r="K578" i="4"/>
  <c r="H578" i="4"/>
  <c r="K577" i="4"/>
  <c r="H577" i="4"/>
  <c r="K576" i="4"/>
  <c r="H576" i="4"/>
  <c r="K575" i="4"/>
  <c r="H575" i="4"/>
  <c r="K574" i="4"/>
  <c r="H574" i="4"/>
  <c r="K573" i="4"/>
  <c r="H573" i="4"/>
  <c r="K572" i="4"/>
  <c r="H572" i="4"/>
  <c r="K571" i="4"/>
  <c r="H571" i="4"/>
  <c r="K570" i="4"/>
  <c r="H570" i="4"/>
  <c r="K569" i="4"/>
  <c r="H569" i="4"/>
  <c r="K568" i="4"/>
  <c r="H568" i="4"/>
  <c r="K567" i="4"/>
  <c r="H567" i="4"/>
  <c r="K566" i="4"/>
  <c r="H566" i="4"/>
  <c r="K565" i="4"/>
  <c r="H565" i="4"/>
  <c r="K564" i="4"/>
  <c r="H564" i="4"/>
  <c r="K563" i="4"/>
  <c r="H563" i="4"/>
  <c r="K562" i="4"/>
  <c r="H562" i="4"/>
  <c r="K561" i="4"/>
  <c r="H561" i="4"/>
  <c r="K560" i="4"/>
  <c r="H560" i="4"/>
  <c r="K559" i="4"/>
  <c r="H559" i="4"/>
  <c r="K558" i="4"/>
  <c r="H558" i="4"/>
  <c r="K557" i="4"/>
  <c r="H557" i="4"/>
  <c r="K556" i="4"/>
  <c r="H556" i="4"/>
  <c r="K555" i="4"/>
  <c r="H555" i="4"/>
  <c r="K554" i="4"/>
  <c r="H554" i="4"/>
  <c r="K553" i="4"/>
  <c r="H553" i="4"/>
  <c r="K552" i="4"/>
  <c r="H552" i="4"/>
  <c r="K551" i="4"/>
  <c r="H551" i="4"/>
  <c r="K550" i="4"/>
  <c r="H550" i="4"/>
  <c r="K549" i="4"/>
  <c r="H549" i="4"/>
  <c r="K548" i="4"/>
  <c r="H548" i="4"/>
  <c r="K547" i="4"/>
  <c r="H547" i="4"/>
  <c r="K546" i="4"/>
  <c r="H546" i="4"/>
  <c r="K545" i="4"/>
  <c r="H545" i="4"/>
  <c r="K544" i="4"/>
  <c r="H544" i="4"/>
  <c r="K543" i="4"/>
  <c r="H543" i="4"/>
  <c r="K542" i="4"/>
  <c r="H542" i="4"/>
  <c r="K541" i="4"/>
  <c r="H541" i="4"/>
  <c r="K540" i="4"/>
  <c r="H540" i="4"/>
  <c r="K539" i="4"/>
  <c r="H539" i="4"/>
  <c r="K538" i="4"/>
  <c r="H538" i="4"/>
  <c r="K537" i="4"/>
  <c r="H537" i="4"/>
  <c r="K536" i="4"/>
  <c r="H536" i="4"/>
  <c r="K535" i="4"/>
  <c r="H535" i="4"/>
  <c r="K534" i="4"/>
  <c r="H534" i="4"/>
  <c r="K533" i="4"/>
  <c r="H533" i="4"/>
  <c r="K532" i="4"/>
  <c r="H532" i="4"/>
  <c r="K531" i="4"/>
  <c r="H531" i="4"/>
  <c r="K530" i="4"/>
  <c r="H530" i="4"/>
  <c r="K529" i="4"/>
  <c r="H529" i="4"/>
  <c r="K528" i="4"/>
  <c r="H528" i="4"/>
  <c r="K527" i="4"/>
  <c r="H527" i="4"/>
  <c r="K526" i="4"/>
  <c r="H526" i="4"/>
  <c r="K525" i="4"/>
  <c r="H525" i="4"/>
  <c r="K524" i="4"/>
  <c r="H524" i="4"/>
  <c r="K523" i="4"/>
  <c r="H523" i="4"/>
  <c r="K522" i="4"/>
  <c r="H522" i="4"/>
  <c r="K521" i="4"/>
  <c r="H521" i="4"/>
  <c r="K520" i="4"/>
  <c r="H520" i="4"/>
  <c r="K519" i="4"/>
  <c r="H519" i="4"/>
  <c r="K518" i="4"/>
  <c r="H518" i="4"/>
  <c r="K517" i="4"/>
  <c r="H517" i="4"/>
  <c r="K516" i="4"/>
  <c r="H516" i="4"/>
  <c r="K515" i="4"/>
  <c r="H515" i="4"/>
  <c r="K514" i="4"/>
  <c r="H514" i="4"/>
  <c r="K513" i="4"/>
  <c r="H513" i="4"/>
  <c r="K512" i="4"/>
  <c r="H512" i="4"/>
  <c r="K511" i="4"/>
  <c r="H511" i="4"/>
  <c r="K510" i="4"/>
  <c r="H510" i="4"/>
  <c r="K509" i="4"/>
  <c r="H509" i="4"/>
  <c r="K508" i="4"/>
  <c r="H508" i="4"/>
  <c r="K507" i="4"/>
  <c r="H507" i="4"/>
  <c r="K506" i="4"/>
  <c r="H506" i="4"/>
  <c r="K505" i="4"/>
  <c r="H505" i="4"/>
  <c r="K504" i="4"/>
  <c r="H504" i="4"/>
  <c r="K503" i="4"/>
  <c r="H503" i="4"/>
  <c r="K502" i="4"/>
  <c r="H502" i="4"/>
  <c r="K501" i="4"/>
  <c r="H501" i="4"/>
  <c r="K500" i="4"/>
  <c r="H500" i="4"/>
  <c r="K499" i="4"/>
  <c r="H499" i="4"/>
  <c r="K498" i="4"/>
  <c r="H498" i="4"/>
  <c r="K497" i="4"/>
  <c r="H497" i="4"/>
  <c r="K496" i="4"/>
  <c r="H496" i="4"/>
  <c r="K495" i="4"/>
  <c r="H495" i="4"/>
  <c r="K494" i="4"/>
  <c r="H494" i="4"/>
  <c r="K493" i="4"/>
  <c r="H493" i="4"/>
  <c r="K492" i="4"/>
  <c r="H492" i="4"/>
  <c r="K491" i="4"/>
  <c r="H491" i="4"/>
  <c r="K490" i="4"/>
  <c r="H490" i="4"/>
  <c r="K489" i="4"/>
  <c r="H489" i="4"/>
  <c r="K488" i="4"/>
  <c r="H488" i="4"/>
  <c r="K487" i="4"/>
  <c r="H487" i="4"/>
  <c r="K486" i="4"/>
  <c r="H486" i="4"/>
  <c r="K485" i="4"/>
  <c r="H485" i="4"/>
  <c r="K484" i="4"/>
  <c r="H484" i="4"/>
  <c r="K483" i="4"/>
  <c r="H483" i="4"/>
  <c r="K482" i="4"/>
  <c r="H482" i="4"/>
  <c r="K481" i="4"/>
  <c r="H481" i="4"/>
  <c r="K480" i="4"/>
  <c r="H480" i="4"/>
  <c r="K479" i="4"/>
  <c r="H479" i="4"/>
  <c r="K478" i="4"/>
  <c r="H478" i="4"/>
  <c r="K477" i="4"/>
  <c r="H477" i="4"/>
  <c r="K476" i="4"/>
  <c r="H476" i="4"/>
  <c r="K475" i="4"/>
  <c r="H475" i="4"/>
  <c r="K474" i="4"/>
  <c r="H474" i="4"/>
  <c r="K473" i="4"/>
  <c r="H473" i="4"/>
  <c r="K472" i="4"/>
  <c r="H472" i="4"/>
  <c r="K471" i="4"/>
  <c r="H471" i="4"/>
  <c r="K470" i="4"/>
  <c r="H470" i="4"/>
  <c r="K469" i="4"/>
  <c r="H469" i="4"/>
  <c r="K468" i="4"/>
  <c r="H468" i="4"/>
  <c r="K467" i="4"/>
  <c r="H467" i="4"/>
  <c r="K466" i="4"/>
  <c r="H466" i="4"/>
  <c r="K465" i="4"/>
  <c r="H465" i="4"/>
  <c r="K464" i="4"/>
  <c r="H464" i="4"/>
  <c r="K463" i="4"/>
  <c r="H463" i="4"/>
  <c r="K462" i="4"/>
  <c r="H462" i="4"/>
  <c r="K461" i="4"/>
  <c r="H461" i="4"/>
  <c r="K460" i="4"/>
  <c r="H460" i="4"/>
  <c r="K459" i="4"/>
  <c r="H459" i="4"/>
  <c r="K458" i="4"/>
  <c r="H458" i="4"/>
  <c r="K457" i="4"/>
  <c r="H457" i="4"/>
  <c r="K456" i="4"/>
  <c r="H456" i="4"/>
  <c r="K455" i="4"/>
  <c r="H455" i="4"/>
  <c r="K454" i="4"/>
  <c r="H454" i="4"/>
  <c r="K453" i="4"/>
  <c r="H453" i="4"/>
  <c r="K452" i="4"/>
  <c r="H452" i="4"/>
  <c r="K451" i="4"/>
  <c r="H451" i="4"/>
  <c r="K450" i="4"/>
  <c r="H450" i="4"/>
  <c r="K449" i="4"/>
  <c r="H449" i="4"/>
  <c r="K448" i="4"/>
  <c r="H448" i="4"/>
  <c r="K447" i="4"/>
  <c r="H447" i="4"/>
  <c r="K446" i="4"/>
  <c r="H446" i="4"/>
  <c r="K445" i="4"/>
  <c r="H445" i="4"/>
  <c r="K444" i="4"/>
  <c r="H444" i="4"/>
  <c r="K443" i="4"/>
  <c r="H443" i="4"/>
  <c r="K442" i="4"/>
  <c r="H442" i="4"/>
  <c r="K441" i="4"/>
  <c r="H441" i="4"/>
  <c r="K440" i="4"/>
  <c r="H440" i="4"/>
  <c r="K439" i="4"/>
  <c r="H439" i="4"/>
  <c r="K438" i="4"/>
  <c r="H438" i="4"/>
  <c r="K437" i="4"/>
  <c r="H437" i="4"/>
  <c r="K436" i="4"/>
  <c r="H436" i="4"/>
  <c r="K435" i="4"/>
  <c r="H435" i="4"/>
  <c r="K434" i="4"/>
  <c r="H434" i="4"/>
  <c r="K433" i="4"/>
  <c r="H433" i="4"/>
  <c r="K432" i="4"/>
  <c r="H432" i="4"/>
  <c r="K431" i="4"/>
  <c r="H431" i="4"/>
  <c r="K430" i="4"/>
  <c r="H430" i="4"/>
  <c r="K429" i="4"/>
  <c r="H429" i="4"/>
  <c r="K428" i="4"/>
  <c r="H428" i="4"/>
  <c r="K427" i="4"/>
  <c r="H427" i="4"/>
  <c r="K426" i="4"/>
  <c r="H426" i="4"/>
  <c r="K425" i="4"/>
  <c r="H425" i="4"/>
  <c r="K424" i="4"/>
  <c r="H424" i="4"/>
  <c r="K423" i="4"/>
  <c r="H423" i="4"/>
  <c r="K422" i="4"/>
  <c r="H422" i="4"/>
  <c r="K421" i="4"/>
  <c r="H421" i="4"/>
  <c r="K420" i="4"/>
  <c r="H420" i="4"/>
  <c r="K419" i="4"/>
  <c r="H419" i="4"/>
  <c r="K418" i="4"/>
  <c r="H418" i="4"/>
  <c r="K417" i="4"/>
  <c r="H417" i="4"/>
  <c r="K416" i="4"/>
  <c r="H416" i="4"/>
  <c r="K415" i="4"/>
  <c r="H415" i="4"/>
  <c r="K414" i="4"/>
  <c r="H414" i="4"/>
  <c r="K413" i="4"/>
  <c r="H413" i="4"/>
  <c r="K412" i="4"/>
  <c r="H412" i="4"/>
  <c r="K411" i="4"/>
  <c r="H411" i="4"/>
  <c r="K410" i="4"/>
  <c r="H410" i="4"/>
  <c r="K409" i="4"/>
  <c r="H409" i="4"/>
  <c r="K408" i="4"/>
  <c r="H408" i="4"/>
  <c r="K407" i="4"/>
  <c r="H407" i="4"/>
  <c r="K406" i="4"/>
  <c r="H406" i="4"/>
  <c r="K405" i="4"/>
  <c r="H405" i="4"/>
  <c r="K404" i="4"/>
  <c r="H404" i="4"/>
  <c r="K403" i="4"/>
  <c r="H403" i="4"/>
  <c r="K402" i="4"/>
  <c r="H402" i="4"/>
  <c r="K401" i="4"/>
  <c r="H401" i="4"/>
  <c r="K400" i="4"/>
  <c r="H400" i="4"/>
  <c r="K399" i="4"/>
  <c r="H399" i="4"/>
  <c r="K398" i="4"/>
  <c r="H398" i="4"/>
  <c r="K397" i="4"/>
  <c r="H397" i="4"/>
  <c r="K396" i="4"/>
  <c r="H396" i="4"/>
  <c r="K395" i="4"/>
  <c r="H395" i="4"/>
  <c r="K394" i="4"/>
  <c r="H394" i="4"/>
  <c r="K393" i="4"/>
  <c r="H393" i="4"/>
  <c r="K392" i="4"/>
  <c r="H392" i="4"/>
  <c r="K391" i="4"/>
  <c r="H391" i="4"/>
  <c r="K390" i="4"/>
  <c r="H390" i="4"/>
  <c r="K389" i="4"/>
  <c r="H389" i="4"/>
  <c r="K388" i="4"/>
  <c r="H388" i="4"/>
  <c r="K387" i="4"/>
  <c r="H387" i="4"/>
  <c r="K386" i="4"/>
  <c r="H386" i="4"/>
  <c r="K385" i="4"/>
  <c r="H385" i="4"/>
  <c r="K384" i="4"/>
  <c r="H384" i="4"/>
  <c r="K383" i="4"/>
  <c r="H383" i="4"/>
  <c r="K382" i="4"/>
  <c r="H382" i="4"/>
  <c r="K381" i="4"/>
  <c r="H381" i="4"/>
  <c r="K380" i="4"/>
  <c r="H380" i="4"/>
  <c r="K379" i="4"/>
  <c r="H379" i="4"/>
  <c r="K378" i="4"/>
  <c r="H378" i="4"/>
  <c r="K377" i="4"/>
  <c r="H377" i="4"/>
  <c r="K376" i="4"/>
  <c r="H376" i="4"/>
  <c r="K375" i="4"/>
  <c r="H375" i="4"/>
  <c r="K374" i="4"/>
  <c r="H374" i="4"/>
  <c r="K373" i="4"/>
  <c r="H373" i="4"/>
  <c r="K372" i="4"/>
  <c r="H372" i="4"/>
  <c r="K371" i="4"/>
  <c r="H371" i="4"/>
  <c r="K370" i="4"/>
  <c r="H370" i="4"/>
  <c r="K369" i="4"/>
  <c r="H369" i="4"/>
  <c r="K368" i="4"/>
  <c r="H368" i="4"/>
  <c r="K367" i="4"/>
  <c r="H367" i="4"/>
  <c r="K366" i="4"/>
  <c r="H366" i="4"/>
  <c r="K365" i="4"/>
  <c r="H365" i="4"/>
  <c r="K364" i="4"/>
  <c r="H364" i="4"/>
  <c r="K363" i="4"/>
  <c r="H363" i="4"/>
  <c r="K362" i="4"/>
  <c r="H362" i="4"/>
  <c r="K361" i="4"/>
  <c r="H361" i="4"/>
  <c r="K360" i="4"/>
  <c r="H360" i="4"/>
  <c r="K359" i="4"/>
  <c r="H359" i="4"/>
  <c r="K358" i="4"/>
  <c r="H358" i="4"/>
  <c r="K357" i="4"/>
  <c r="H357" i="4"/>
  <c r="K356" i="4"/>
  <c r="H356" i="4"/>
  <c r="K355" i="4"/>
  <c r="H355" i="4"/>
  <c r="K354" i="4"/>
  <c r="H354" i="4"/>
  <c r="K353" i="4"/>
  <c r="H353" i="4"/>
  <c r="K352" i="4"/>
  <c r="H352" i="4"/>
  <c r="K351" i="4"/>
  <c r="H351" i="4"/>
  <c r="K350" i="4"/>
  <c r="H350" i="4"/>
  <c r="K349" i="4"/>
  <c r="H349" i="4"/>
  <c r="K348" i="4"/>
  <c r="H348" i="4"/>
  <c r="K347" i="4"/>
  <c r="H347" i="4"/>
  <c r="K346" i="4"/>
  <c r="H346" i="4"/>
  <c r="K345" i="4"/>
  <c r="H345" i="4"/>
  <c r="K344" i="4"/>
  <c r="H344" i="4"/>
  <c r="K343" i="4"/>
  <c r="H343" i="4"/>
  <c r="K342" i="4"/>
  <c r="H342" i="4"/>
  <c r="K341" i="4"/>
  <c r="H341" i="4"/>
  <c r="K340" i="4"/>
  <c r="H340" i="4"/>
  <c r="K339" i="4"/>
  <c r="H339" i="4"/>
  <c r="K338" i="4"/>
  <c r="H338" i="4"/>
  <c r="K337" i="4"/>
  <c r="H337" i="4"/>
  <c r="K336" i="4"/>
  <c r="H336" i="4"/>
  <c r="K335" i="4"/>
  <c r="H335" i="4"/>
  <c r="K334" i="4"/>
  <c r="H334" i="4"/>
  <c r="K333" i="4"/>
  <c r="H333" i="4"/>
  <c r="K332" i="4"/>
  <c r="H332" i="4"/>
  <c r="K331" i="4"/>
  <c r="H331" i="4"/>
  <c r="K330" i="4"/>
  <c r="H330" i="4"/>
  <c r="K329" i="4"/>
  <c r="H329" i="4"/>
  <c r="K328" i="4"/>
  <c r="H328" i="4"/>
  <c r="K327" i="4"/>
  <c r="H327" i="4"/>
  <c r="K326" i="4"/>
  <c r="H326" i="4"/>
  <c r="K325" i="4"/>
  <c r="H325" i="4"/>
  <c r="K324" i="4"/>
  <c r="H324" i="4"/>
  <c r="K323" i="4"/>
  <c r="H323" i="4"/>
  <c r="K322" i="4"/>
  <c r="H322" i="4"/>
  <c r="K321" i="4"/>
  <c r="H321" i="4"/>
  <c r="K320" i="4"/>
  <c r="H320" i="4"/>
  <c r="K319" i="4"/>
  <c r="H319" i="4"/>
  <c r="K318" i="4"/>
  <c r="H318" i="4"/>
  <c r="K317" i="4"/>
  <c r="H317" i="4"/>
  <c r="K316" i="4"/>
  <c r="H316" i="4"/>
  <c r="K315" i="4"/>
  <c r="H315" i="4"/>
  <c r="K314" i="4"/>
  <c r="H314" i="4"/>
  <c r="K313" i="4"/>
  <c r="H313" i="4"/>
  <c r="K312" i="4"/>
  <c r="H312" i="4"/>
  <c r="K311" i="4"/>
  <c r="H311" i="4"/>
  <c r="K310" i="4"/>
  <c r="H310" i="4"/>
  <c r="K309" i="4"/>
  <c r="H309" i="4"/>
  <c r="K308" i="4"/>
  <c r="H308" i="4"/>
  <c r="K307" i="4"/>
  <c r="H307" i="4"/>
  <c r="K306" i="4"/>
  <c r="H306" i="4"/>
  <c r="K305" i="4"/>
  <c r="H305" i="4"/>
  <c r="K304" i="4"/>
  <c r="H304" i="4"/>
  <c r="K303" i="4"/>
  <c r="H303" i="4"/>
  <c r="K302" i="4"/>
  <c r="H302" i="4"/>
  <c r="K301" i="4"/>
  <c r="H301" i="4"/>
  <c r="K300" i="4"/>
  <c r="H300" i="4"/>
  <c r="K299" i="4"/>
  <c r="H299" i="4"/>
  <c r="K298" i="4"/>
  <c r="H298" i="4"/>
  <c r="K297" i="4"/>
  <c r="H297" i="4"/>
  <c r="K296" i="4"/>
  <c r="H296" i="4"/>
  <c r="K295" i="4"/>
  <c r="H295" i="4"/>
  <c r="K294" i="4"/>
  <c r="H294" i="4"/>
  <c r="K293" i="4"/>
  <c r="H293" i="4"/>
  <c r="K292" i="4"/>
  <c r="H292" i="4"/>
  <c r="K291" i="4"/>
  <c r="H291" i="4"/>
  <c r="K290" i="4"/>
  <c r="H290" i="4"/>
  <c r="K289" i="4"/>
  <c r="H289" i="4"/>
  <c r="K288" i="4"/>
  <c r="H288" i="4"/>
  <c r="K287" i="4"/>
  <c r="H287" i="4"/>
  <c r="K286" i="4"/>
  <c r="H286" i="4"/>
  <c r="K285" i="4"/>
  <c r="H285" i="4"/>
  <c r="K284" i="4"/>
  <c r="H284" i="4"/>
  <c r="K283" i="4"/>
  <c r="H283" i="4"/>
  <c r="K282" i="4"/>
  <c r="H282" i="4"/>
  <c r="K281" i="4"/>
  <c r="H281" i="4"/>
  <c r="K280" i="4"/>
  <c r="H280" i="4"/>
  <c r="K279" i="4"/>
  <c r="H279" i="4"/>
  <c r="K278" i="4"/>
  <c r="H278" i="4"/>
  <c r="K277" i="4"/>
  <c r="H277" i="4"/>
  <c r="K276" i="4"/>
  <c r="H276" i="4"/>
  <c r="K275" i="4"/>
  <c r="H275" i="4"/>
  <c r="K274" i="4"/>
  <c r="H274" i="4"/>
  <c r="K273" i="4"/>
  <c r="H273" i="4"/>
  <c r="K272" i="4"/>
  <c r="H272" i="4"/>
  <c r="K271" i="4"/>
  <c r="H271" i="4"/>
  <c r="K270" i="4"/>
  <c r="H270" i="4"/>
  <c r="K269" i="4"/>
  <c r="H269" i="4"/>
  <c r="K268" i="4"/>
  <c r="H268" i="4"/>
  <c r="K267" i="4"/>
  <c r="H267" i="4"/>
  <c r="K266" i="4"/>
  <c r="H266" i="4"/>
  <c r="K265" i="4"/>
  <c r="H265" i="4"/>
  <c r="K264" i="4"/>
  <c r="H264" i="4"/>
  <c r="K263" i="4"/>
  <c r="H263" i="4"/>
  <c r="K262" i="4"/>
  <c r="H262" i="4"/>
  <c r="K261" i="4"/>
  <c r="H261" i="4"/>
  <c r="K260" i="4"/>
  <c r="H260" i="4"/>
  <c r="K259" i="4"/>
  <c r="H259" i="4"/>
  <c r="K258" i="4"/>
  <c r="H258" i="4"/>
  <c r="K257" i="4"/>
  <c r="H257" i="4"/>
  <c r="K256" i="4"/>
  <c r="H256" i="4"/>
  <c r="K255" i="4"/>
  <c r="H255" i="4"/>
  <c r="K254" i="4"/>
  <c r="H254" i="4"/>
  <c r="K253" i="4"/>
  <c r="H253" i="4"/>
  <c r="K252" i="4"/>
  <c r="H252" i="4"/>
  <c r="K251" i="4"/>
  <c r="H251" i="4"/>
  <c r="K250" i="4"/>
  <c r="H250" i="4"/>
  <c r="K249" i="4"/>
  <c r="H249" i="4"/>
  <c r="K248" i="4"/>
  <c r="H248" i="4"/>
  <c r="K247" i="4"/>
  <c r="H247" i="4"/>
  <c r="K246" i="4"/>
  <c r="H246" i="4"/>
  <c r="K245" i="4"/>
  <c r="H245" i="4"/>
  <c r="K244" i="4"/>
  <c r="H244" i="4"/>
  <c r="K243" i="4"/>
  <c r="H243" i="4"/>
  <c r="K242" i="4"/>
  <c r="H242" i="4"/>
  <c r="K241" i="4"/>
  <c r="H241" i="4"/>
  <c r="K240" i="4"/>
  <c r="H240" i="4"/>
  <c r="K239" i="4"/>
  <c r="H239" i="4"/>
  <c r="K238" i="4"/>
  <c r="H238" i="4"/>
  <c r="K237" i="4"/>
  <c r="H237" i="4"/>
  <c r="K236" i="4"/>
  <c r="H236" i="4"/>
  <c r="K235" i="4"/>
  <c r="H235" i="4"/>
  <c r="K234" i="4"/>
  <c r="H234" i="4"/>
  <c r="K233" i="4"/>
  <c r="H233" i="4"/>
  <c r="K232" i="4"/>
  <c r="H232" i="4"/>
  <c r="K231" i="4"/>
  <c r="H231" i="4"/>
  <c r="K230" i="4"/>
  <c r="H230" i="4"/>
  <c r="K229" i="4"/>
  <c r="H229" i="4"/>
  <c r="K228" i="4"/>
  <c r="H228" i="4"/>
  <c r="K227" i="4"/>
  <c r="H227" i="4"/>
  <c r="K226" i="4"/>
  <c r="H226" i="4"/>
  <c r="K225" i="4"/>
  <c r="H225" i="4"/>
  <c r="K224" i="4"/>
  <c r="H224" i="4"/>
  <c r="K223" i="4"/>
  <c r="H223" i="4"/>
  <c r="K222" i="4"/>
  <c r="H222" i="4"/>
  <c r="K221" i="4"/>
  <c r="H221" i="4"/>
  <c r="K220" i="4"/>
  <c r="H220" i="4"/>
  <c r="K219" i="4"/>
  <c r="H219" i="4"/>
  <c r="K218" i="4"/>
  <c r="H218" i="4"/>
  <c r="K217" i="4"/>
  <c r="H217" i="4"/>
  <c r="K216" i="4"/>
  <c r="H216" i="4"/>
  <c r="K215" i="4"/>
  <c r="H215" i="4"/>
  <c r="K214" i="4"/>
  <c r="H214" i="4"/>
  <c r="K213" i="4"/>
  <c r="H213" i="4"/>
  <c r="K212" i="4"/>
  <c r="H212" i="4"/>
  <c r="K211" i="4"/>
  <c r="H211" i="4"/>
  <c r="K210" i="4"/>
  <c r="H210" i="4"/>
  <c r="K209" i="4"/>
  <c r="H209" i="4"/>
  <c r="K208" i="4"/>
  <c r="H208" i="4"/>
  <c r="K207" i="4"/>
  <c r="H207" i="4"/>
  <c r="K206" i="4"/>
  <c r="H206" i="4"/>
  <c r="K205" i="4"/>
  <c r="H205" i="4"/>
  <c r="K204" i="4"/>
  <c r="H204" i="4"/>
  <c r="K203" i="4"/>
  <c r="H203" i="4"/>
  <c r="K202" i="4"/>
  <c r="H202" i="4"/>
  <c r="K201" i="4"/>
  <c r="H201" i="4"/>
  <c r="K200" i="4"/>
  <c r="H200" i="4"/>
  <c r="K199" i="4"/>
  <c r="H199" i="4"/>
  <c r="K198" i="4"/>
  <c r="H198" i="4"/>
  <c r="K197" i="4"/>
  <c r="H197" i="4"/>
  <c r="K196" i="4"/>
  <c r="H196" i="4"/>
  <c r="K195" i="4"/>
  <c r="H195" i="4"/>
  <c r="K194" i="4"/>
  <c r="H194" i="4"/>
  <c r="K193" i="4"/>
  <c r="H193" i="4"/>
  <c r="K192" i="4"/>
  <c r="H192" i="4"/>
  <c r="K191" i="4"/>
  <c r="H191" i="4"/>
  <c r="K190" i="4"/>
  <c r="H190" i="4"/>
  <c r="K189" i="4"/>
  <c r="H189" i="4"/>
  <c r="K188" i="4"/>
  <c r="H188" i="4"/>
  <c r="K187" i="4"/>
  <c r="H187" i="4"/>
  <c r="K186" i="4"/>
  <c r="H186" i="4"/>
  <c r="K185" i="4"/>
  <c r="H185" i="4"/>
  <c r="K184" i="4"/>
  <c r="H184" i="4"/>
  <c r="K183" i="4"/>
  <c r="H183" i="4"/>
  <c r="K182" i="4"/>
  <c r="H182" i="4"/>
  <c r="K181" i="4"/>
  <c r="H181" i="4"/>
  <c r="K180" i="4"/>
  <c r="H180" i="4"/>
  <c r="K179" i="4"/>
  <c r="H179" i="4"/>
  <c r="K178" i="4"/>
  <c r="H178" i="4"/>
  <c r="K177" i="4"/>
  <c r="H177" i="4"/>
  <c r="K176" i="4"/>
  <c r="H176" i="4"/>
  <c r="K175" i="4"/>
  <c r="H175" i="4"/>
  <c r="K174" i="4"/>
  <c r="H174" i="4"/>
  <c r="K173" i="4"/>
  <c r="H173" i="4"/>
  <c r="K172" i="4"/>
  <c r="H172" i="4"/>
  <c r="K171" i="4"/>
  <c r="H171" i="4"/>
  <c r="K170" i="4"/>
  <c r="H170" i="4"/>
  <c r="K169" i="4"/>
  <c r="H169" i="4"/>
  <c r="K168" i="4"/>
  <c r="H168" i="4"/>
  <c r="K167" i="4"/>
  <c r="H167" i="4"/>
  <c r="K166" i="4"/>
  <c r="H166" i="4"/>
  <c r="K165" i="4"/>
  <c r="H165" i="4"/>
  <c r="K164" i="4"/>
  <c r="H164" i="4"/>
  <c r="K163" i="4"/>
  <c r="H163" i="4"/>
  <c r="K162" i="4"/>
  <c r="H162" i="4"/>
  <c r="K161" i="4"/>
  <c r="H161" i="4"/>
  <c r="K160" i="4"/>
  <c r="H160" i="4"/>
  <c r="K159" i="4"/>
  <c r="H159" i="4"/>
  <c r="K158" i="4"/>
  <c r="H158" i="4"/>
  <c r="K157" i="4"/>
  <c r="H157" i="4"/>
  <c r="K156" i="4"/>
  <c r="H156" i="4"/>
  <c r="K155" i="4"/>
  <c r="H155" i="4"/>
  <c r="K154" i="4"/>
  <c r="H154" i="4"/>
  <c r="K153" i="4"/>
  <c r="H153" i="4"/>
  <c r="K152" i="4"/>
  <c r="H152" i="4"/>
  <c r="K151" i="4"/>
  <c r="H151" i="4"/>
  <c r="K150" i="4"/>
  <c r="H150" i="4"/>
  <c r="K149" i="4"/>
  <c r="H149" i="4"/>
  <c r="K148" i="4"/>
  <c r="H148" i="4"/>
  <c r="K147" i="4"/>
  <c r="H147" i="4"/>
  <c r="K146" i="4"/>
  <c r="H146" i="4"/>
  <c r="K145" i="4"/>
  <c r="H145" i="4"/>
  <c r="K144" i="4"/>
  <c r="H144" i="4"/>
  <c r="K143" i="4"/>
  <c r="H143" i="4"/>
  <c r="K142" i="4"/>
  <c r="H142" i="4"/>
  <c r="K141" i="4"/>
  <c r="H141" i="4"/>
  <c r="K140" i="4"/>
  <c r="H140" i="4"/>
  <c r="K139" i="4"/>
  <c r="H139" i="4"/>
  <c r="K138" i="4"/>
  <c r="H138" i="4"/>
  <c r="K137" i="4"/>
  <c r="H137" i="4"/>
  <c r="K136" i="4"/>
  <c r="H136" i="4"/>
  <c r="K135" i="4"/>
  <c r="H135" i="4"/>
  <c r="K134" i="4"/>
  <c r="H134" i="4"/>
  <c r="K133" i="4"/>
  <c r="H133" i="4"/>
  <c r="K132" i="4"/>
  <c r="H132" i="4"/>
  <c r="K131" i="4"/>
  <c r="H131" i="4"/>
  <c r="K130" i="4"/>
  <c r="H130" i="4"/>
  <c r="K129" i="4"/>
  <c r="H129" i="4"/>
  <c r="K128" i="4"/>
  <c r="H128" i="4"/>
  <c r="K127" i="4"/>
  <c r="H127" i="4"/>
  <c r="K126" i="4"/>
  <c r="H126" i="4"/>
  <c r="K125" i="4"/>
  <c r="H125" i="4"/>
  <c r="K124" i="4"/>
  <c r="H124" i="4"/>
  <c r="K123" i="4"/>
  <c r="H123" i="4"/>
  <c r="K122" i="4"/>
  <c r="H122" i="4"/>
  <c r="K121" i="4"/>
  <c r="H121" i="4"/>
  <c r="K120" i="4"/>
  <c r="H120" i="4"/>
  <c r="K119" i="4"/>
  <c r="H119" i="4"/>
  <c r="K118" i="4"/>
  <c r="H118" i="4"/>
  <c r="K117" i="4"/>
  <c r="H117" i="4"/>
  <c r="K116" i="4"/>
  <c r="H116" i="4"/>
  <c r="K115" i="4"/>
  <c r="H115" i="4"/>
  <c r="K114" i="4"/>
  <c r="H114" i="4"/>
  <c r="K113" i="4"/>
  <c r="H113" i="4"/>
  <c r="K112" i="4"/>
  <c r="H112" i="4"/>
  <c r="K111" i="4"/>
  <c r="H111" i="4"/>
  <c r="K110" i="4"/>
  <c r="H110" i="4"/>
  <c r="K109" i="4"/>
  <c r="H109" i="4"/>
  <c r="K108" i="4"/>
  <c r="H108" i="4"/>
  <c r="K107" i="4"/>
  <c r="H107" i="4"/>
  <c r="K106" i="4"/>
  <c r="H106" i="4"/>
  <c r="K105" i="4"/>
  <c r="H105" i="4"/>
  <c r="K104" i="4"/>
  <c r="H104" i="4"/>
  <c r="K103" i="4"/>
  <c r="H103" i="4"/>
  <c r="K102" i="4"/>
  <c r="H102" i="4"/>
  <c r="K101" i="4"/>
  <c r="H101" i="4"/>
  <c r="K100" i="4"/>
  <c r="H100" i="4"/>
  <c r="K99" i="4"/>
  <c r="H99" i="4"/>
  <c r="K98" i="4"/>
  <c r="H98" i="4"/>
  <c r="K97" i="4"/>
  <c r="H97" i="4"/>
  <c r="K96" i="4"/>
  <c r="H96" i="4"/>
  <c r="K95" i="4"/>
  <c r="H95" i="4"/>
  <c r="K94" i="4"/>
  <c r="H94" i="4"/>
  <c r="K93" i="4"/>
  <c r="H93" i="4"/>
  <c r="K92" i="4"/>
  <c r="H92" i="4"/>
  <c r="K91" i="4"/>
  <c r="H91" i="4"/>
  <c r="K90" i="4"/>
  <c r="H90" i="4"/>
  <c r="K89" i="4"/>
  <c r="H89" i="4"/>
  <c r="K88" i="4"/>
  <c r="H88" i="4"/>
  <c r="K87" i="4"/>
  <c r="H87" i="4"/>
  <c r="K86" i="4"/>
  <c r="H86" i="4"/>
  <c r="K85" i="4"/>
  <c r="H85" i="4"/>
  <c r="K84" i="4"/>
  <c r="H84" i="4"/>
  <c r="K83" i="4"/>
  <c r="H83" i="4"/>
  <c r="K82" i="4"/>
  <c r="H82" i="4"/>
  <c r="K81" i="4"/>
  <c r="H81" i="4"/>
  <c r="K80" i="4"/>
  <c r="H80" i="4"/>
  <c r="K79" i="4"/>
  <c r="H79" i="4"/>
  <c r="K78" i="4"/>
  <c r="H78" i="4"/>
  <c r="K77" i="4"/>
  <c r="H77" i="4"/>
  <c r="K76" i="4"/>
  <c r="H76" i="4"/>
  <c r="K75" i="4"/>
  <c r="H75" i="4"/>
  <c r="K74" i="4"/>
  <c r="H74" i="4"/>
  <c r="K73" i="4"/>
  <c r="H73" i="4"/>
  <c r="K72" i="4"/>
  <c r="H72" i="4"/>
  <c r="K71" i="4"/>
  <c r="H71" i="4"/>
  <c r="K70" i="4"/>
  <c r="H70" i="4"/>
  <c r="K69" i="4"/>
  <c r="H69" i="4"/>
  <c r="K68" i="4"/>
  <c r="H68" i="4"/>
  <c r="K67" i="4"/>
  <c r="H67" i="4"/>
  <c r="K66" i="4"/>
  <c r="H66" i="4"/>
  <c r="K65" i="4"/>
  <c r="H65" i="4"/>
  <c r="K64" i="4"/>
  <c r="H64" i="4"/>
  <c r="K63" i="4"/>
  <c r="H63" i="4"/>
  <c r="K62" i="4"/>
  <c r="H62" i="4"/>
  <c r="K61" i="4"/>
  <c r="H61" i="4"/>
  <c r="K60" i="4"/>
  <c r="H60" i="4"/>
  <c r="K59" i="4"/>
  <c r="H59" i="4"/>
  <c r="K58" i="4"/>
  <c r="H58" i="4"/>
  <c r="K57" i="4"/>
  <c r="H57" i="4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25" i="4"/>
  <c r="H25" i="4"/>
  <c r="K24" i="4"/>
  <c r="H24" i="4"/>
  <c r="K23" i="4"/>
  <c r="H23" i="4"/>
  <c r="K5" i="4"/>
  <c r="H5" i="4"/>
  <c r="K4" i="4"/>
  <c r="H4" i="4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V16" i="2"/>
  <c r="I16" i="2"/>
  <c r="I15" i="2"/>
  <c r="W14" i="2"/>
  <c r="I14" i="2"/>
  <c r="U13" i="2"/>
  <c r="I13" i="2"/>
  <c r="I12" i="2"/>
  <c r="W11" i="2"/>
  <c r="V11" i="2"/>
  <c r="U11" i="2"/>
  <c r="I11" i="2"/>
  <c r="I10" i="2"/>
  <c r="V9" i="2"/>
  <c r="I9" i="2"/>
  <c r="U8" i="2"/>
  <c r="I8" i="2"/>
  <c r="I7" i="2"/>
  <c r="V6" i="2"/>
  <c r="I6" i="2"/>
  <c r="I5" i="2"/>
  <c r="C2" i="2"/>
  <c r="Q10" i="2" s="1"/>
  <c r="R10" i="2" s="1"/>
  <c r="C38" i="1"/>
  <c r="C39" i="1" s="1"/>
  <c r="F37" i="1" a="1"/>
  <c r="F37" i="1" s="1"/>
  <c r="H35" i="1"/>
  <c r="H17" i="1"/>
  <c r="G17" i="1"/>
  <c r="H16" i="1"/>
  <c r="G16" i="1"/>
  <c r="H15" i="1"/>
  <c r="D38" i="1" s="1"/>
  <c r="G15" i="1"/>
  <c r="D39" i="1" s="1"/>
  <c r="H14" i="1"/>
  <c r="G14" i="1"/>
  <c r="H13" i="1"/>
  <c r="G13" i="1"/>
  <c r="H12" i="1"/>
  <c r="G12" i="1"/>
  <c r="H11" i="1"/>
  <c r="G11" i="1"/>
  <c r="C11" i="1"/>
  <c r="H10" i="1"/>
  <c r="G10" i="1"/>
  <c r="D10" i="1"/>
  <c r="C12" i="1" s="1"/>
  <c r="C10" i="1"/>
  <c r="H9" i="1"/>
  <c r="G9" i="1"/>
  <c r="H8" i="1"/>
  <c r="G8" i="1"/>
  <c r="D8" i="1"/>
  <c r="C8" i="1"/>
  <c r="H7" i="1"/>
  <c r="G7" i="1"/>
  <c r="H6" i="1"/>
  <c r="G6" i="1"/>
  <c r="D4" i="1"/>
  <c r="D36" i="1" l="1"/>
  <c r="C9" i="1"/>
  <c r="D9" i="1"/>
  <c r="D37" i="1"/>
  <c r="B5" i="1"/>
  <c r="F38" i="1" a="1"/>
  <c r="F38" i="1" s="1"/>
  <c r="H37" i="1"/>
  <c r="G37" i="1"/>
  <c r="H18" i="1"/>
  <c r="G18" i="1"/>
  <c r="C36" i="1"/>
  <c r="V14" i="2"/>
  <c r="Q13" i="2"/>
  <c r="R13" i="2" s="1"/>
  <c r="U9" i="2"/>
  <c r="W7" i="2"/>
  <c r="U14" i="2"/>
  <c r="W12" i="2"/>
  <c r="V7" i="2"/>
  <c r="Q6" i="2"/>
  <c r="R6" i="2" s="1"/>
  <c r="V12" i="2"/>
  <c r="Q11" i="2"/>
  <c r="R11" i="2" s="1"/>
  <c r="U7" i="2"/>
  <c r="W5" i="2"/>
  <c r="Q16" i="2"/>
  <c r="R16" i="2" s="1"/>
  <c r="U12" i="2"/>
  <c r="W10" i="2"/>
  <c r="V5" i="2"/>
  <c r="W15" i="2"/>
  <c r="V10" i="2"/>
  <c r="Q9" i="2"/>
  <c r="R9" i="2" s="1"/>
  <c r="U5" i="2"/>
  <c r="V15" i="2"/>
  <c r="Q14" i="2"/>
  <c r="R14" i="2" s="1"/>
  <c r="U10" i="2"/>
  <c r="W8" i="2"/>
  <c r="U15" i="2"/>
  <c r="W13" i="2"/>
  <c r="V8" i="2"/>
  <c r="Q7" i="2"/>
  <c r="R7" i="2" s="1"/>
  <c r="Q5" i="2"/>
  <c r="U6" i="2"/>
  <c r="U16" i="2"/>
  <c r="W6" i="2"/>
  <c r="W9" i="2"/>
  <c r="V13" i="2"/>
  <c r="W16" i="2"/>
  <c r="Q8" i="2"/>
  <c r="R8" i="2" s="1"/>
  <c r="Q12" i="2"/>
  <c r="R12" i="2" s="1"/>
  <c r="Q15" i="2"/>
  <c r="R15" i="2" s="1"/>
  <c r="C37" i="1"/>
  <c r="G38" i="1" l="1"/>
  <c r="H38" i="1"/>
  <c r="R5" i="2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F39" i="1" a="1"/>
  <c r="F39" i="1" s="1"/>
  <c r="H39" i="1" l="1"/>
  <c r="G39" i="1"/>
  <c r="J567" i="2"/>
  <c r="J555" i="2"/>
  <c r="J543" i="2"/>
  <c r="J531" i="2"/>
  <c r="J577" i="2"/>
  <c r="J564" i="2"/>
  <c r="J558" i="2"/>
  <c r="J551" i="2"/>
  <c r="J545" i="2"/>
  <c r="J538" i="2"/>
  <c r="J532" i="2"/>
  <c r="J522" i="2"/>
  <c r="J510" i="2"/>
  <c r="J637" i="2"/>
  <c r="J523" i="2"/>
  <c r="J588" i="2"/>
  <c r="J578" i="2"/>
  <c r="J560" i="2"/>
  <c r="J553" i="2"/>
  <c r="J547" i="2"/>
  <c r="J540" i="2"/>
  <c r="J619" i="2"/>
  <c r="J533" i="2"/>
  <c r="J525" i="2"/>
  <c r="J515" i="2"/>
  <c r="J508" i="2"/>
  <c r="J497" i="2"/>
  <c r="J485" i="2"/>
  <c r="J473" i="2"/>
  <c r="J614" i="2"/>
  <c r="J559" i="2"/>
  <c r="J556" i="2"/>
  <c r="J550" i="2"/>
  <c r="J539" i="2"/>
  <c r="J536" i="2"/>
  <c r="J529" i="2"/>
  <c r="J520" i="2"/>
  <c r="J509" i="2"/>
  <c r="J498" i="2"/>
  <c r="J486" i="2"/>
  <c r="J474" i="2"/>
  <c r="J649" i="2"/>
  <c r="J625" i="2"/>
  <c r="J592" i="2"/>
  <c r="J554" i="2"/>
  <c r="J534" i="2"/>
  <c r="J530" i="2"/>
  <c r="J517" i="2"/>
  <c r="J511" i="2"/>
  <c r="J501" i="2"/>
  <c r="J489" i="2"/>
  <c r="J477" i="2"/>
  <c r="J613" i="2"/>
  <c r="J601" i="2"/>
  <c r="J502" i="2"/>
  <c r="J636" i="2"/>
  <c r="J626" i="2"/>
  <c r="J616" i="2"/>
  <c r="J562" i="2"/>
  <c r="J505" i="2"/>
  <c r="J481" i="2"/>
  <c r="J478" i="2"/>
  <c r="J574" i="2"/>
  <c r="J568" i="2"/>
  <c r="J542" i="2"/>
  <c r="J535" i="2"/>
  <c r="J494" i="2"/>
  <c r="J548" i="2"/>
  <c r="J482" i="2"/>
  <c r="J479" i="2"/>
  <c r="J468" i="2"/>
  <c r="J464" i="2"/>
  <c r="J460" i="2"/>
  <c r="J456" i="2"/>
  <c r="J450" i="2"/>
  <c r="J604" i="2"/>
  <c r="J573" i="2"/>
  <c r="J570" i="2"/>
  <c r="J516" i="2"/>
  <c r="J506" i="2"/>
  <c r="J476" i="2"/>
  <c r="J472" i="2"/>
  <c r="J590" i="2"/>
  <c r="J565" i="2"/>
  <c r="J561" i="2"/>
  <c r="J552" i="2"/>
  <c r="J495" i="2"/>
  <c r="J490" i="2"/>
  <c r="J650" i="2"/>
  <c r="J544" i="2"/>
  <c r="J496" i="2"/>
  <c r="J493" i="2"/>
  <c r="J484" i="2"/>
  <c r="J366" i="2"/>
  <c r="J524" i="2"/>
  <c r="J519" i="2"/>
  <c r="J503" i="2"/>
  <c r="J488" i="2"/>
  <c r="J475" i="2"/>
  <c r="J563" i="2"/>
  <c r="J466" i="2"/>
  <c r="J624" i="2"/>
  <c r="J566" i="2"/>
  <c r="J526" i="2"/>
  <c r="J521" i="2"/>
  <c r="J513" i="2"/>
  <c r="J455" i="2"/>
  <c r="J445" i="2"/>
  <c r="J430" i="2"/>
  <c r="J426" i="2"/>
  <c r="J422" i="2"/>
  <c r="J418" i="2"/>
  <c r="J414" i="2"/>
  <c r="J410" i="2"/>
  <c r="J404" i="2"/>
  <c r="J398" i="2"/>
  <c r="J546" i="2"/>
  <c r="J518" i="2"/>
  <c r="J500" i="2"/>
  <c r="J492" i="2"/>
  <c r="J483" i="2"/>
  <c r="J569" i="2"/>
  <c r="J549" i="2"/>
  <c r="J512" i="2"/>
  <c r="J487" i="2"/>
  <c r="J471" i="2"/>
  <c r="J407" i="2"/>
  <c r="J401" i="2"/>
  <c r="J370" i="2"/>
  <c r="J355" i="2"/>
  <c r="J349" i="2"/>
  <c r="J337" i="2"/>
  <c r="J325" i="2"/>
  <c r="J541" i="2"/>
  <c r="J444" i="2"/>
  <c r="J452" i="2"/>
  <c r="J449" i="2"/>
  <c r="J433" i="2"/>
  <c r="J428" i="2"/>
  <c r="J416" i="2"/>
  <c r="J390" i="2"/>
  <c r="J378" i="2"/>
  <c r="J356" i="2"/>
  <c r="J350" i="2"/>
  <c r="J339" i="2"/>
  <c r="J600" i="2"/>
  <c r="J491" i="2"/>
  <c r="J368" i="2"/>
  <c r="J630" i="2"/>
  <c r="J557" i="2"/>
  <c r="J504" i="2"/>
  <c r="J469" i="2"/>
  <c r="J458" i="2"/>
  <c r="J443" i="2"/>
  <c r="J438" i="2"/>
  <c r="J406" i="2"/>
  <c r="J357" i="2"/>
  <c r="J351" i="2"/>
  <c r="J341" i="2"/>
  <c r="J329" i="2"/>
  <c r="J528" i="2"/>
  <c r="J514" i="2"/>
  <c r="J386" i="2"/>
  <c r="J374" i="2"/>
  <c r="J582" i="2"/>
  <c r="J499" i="2"/>
  <c r="J457" i="2"/>
  <c r="J435" i="2"/>
  <c r="J402" i="2"/>
  <c r="J365" i="2"/>
  <c r="J527" i="2"/>
  <c r="J384" i="2"/>
  <c r="J312" i="2"/>
  <c r="J309" i="2"/>
  <c r="J306" i="2"/>
  <c r="J303" i="2"/>
  <c r="J300" i="2"/>
  <c r="J324" i="2"/>
  <c r="J288" i="2"/>
  <c r="J408" i="2"/>
  <c r="J380" i="2"/>
  <c r="J336" i="2"/>
  <c r="J327" i="2"/>
  <c r="J322" i="2"/>
  <c r="J319" i="2"/>
  <c r="J316" i="2"/>
  <c r="J313" i="2"/>
  <c r="J310" i="2"/>
  <c r="J307" i="2"/>
  <c r="J304" i="2"/>
  <c r="J301" i="2"/>
  <c r="J298" i="2"/>
  <c r="J290" i="2"/>
  <c r="J348" i="2"/>
  <c r="J396" i="2"/>
  <c r="J363" i="2"/>
  <c r="J294" i="2"/>
  <c r="J392" i="2"/>
  <c r="J333" i="2"/>
  <c r="J323" i="2"/>
  <c r="J432" i="2"/>
  <c r="J372" i="2"/>
  <c r="J537" i="2"/>
  <c r="J296" i="2"/>
  <c r="J335" i="2"/>
  <c r="J148" i="2"/>
  <c r="J134" i="2"/>
  <c r="J130" i="2"/>
  <c r="J126" i="2"/>
  <c r="J360" i="2"/>
  <c r="J216" i="2"/>
  <c r="J204" i="2"/>
  <c r="J192" i="2"/>
  <c r="J180" i="2"/>
  <c r="J168" i="2"/>
  <c r="J146" i="2"/>
  <c r="J141" i="2"/>
  <c r="J138" i="2"/>
  <c r="J480" i="2"/>
  <c r="J359" i="2"/>
  <c r="J345" i="2"/>
  <c r="J218" i="2"/>
  <c r="J206" i="2"/>
  <c r="J194" i="2"/>
  <c r="J182" i="2"/>
  <c r="J170" i="2"/>
  <c r="J144" i="2"/>
  <c r="J439" i="2"/>
  <c r="J158" i="2"/>
  <c r="J200" i="2"/>
  <c r="J186" i="2"/>
  <c r="J154" i="2"/>
  <c r="J121" i="2"/>
  <c r="J109" i="2"/>
  <c r="J97" i="2"/>
  <c r="J53" i="2"/>
  <c r="J41" i="2"/>
  <c r="J28" i="2"/>
  <c r="J10" i="2"/>
  <c r="J424" i="2"/>
  <c r="J195" i="2"/>
  <c r="J164" i="2"/>
  <c r="J217" i="2"/>
  <c r="J203" i="2"/>
  <c r="J181" i="2"/>
  <c r="J167" i="2"/>
  <c r="J150" i="2"/>
  <c r="J140" i="2"/>
  <c r="J123" i="2"/>
  <c r="J111" i="2"/>
  <c r="J99" i="2"/>
  <c r="J92" i="2"/>
  <c r="J90" i="2"/>
  <c r="J88" i="2"/>
  <c r="J86" i="2"/>
  <c r="J84" i="2"/>
  <c r="J82" i="2"/>
  <c r="J80" i="2"/>
  <c r="J78" i="2"/>
  <c r="J76" i="2"/>
  <c r="J74" i="2"/>
  <c r="J72" i="2"/>
  <c r="J70" i="2"/>
  <c r="J68" i="2"/>
  <c r="J66" i="2"/>
  <c r="J64" i="2"/>
  <c r="J62" i="2"/>
  <c r="J60" i="2"/>
  <c r="J58" i="2"/>
  <c r="J51" i="2"/>
  <c r="J39" i="2"/>
  <c r="J36" i="2"/>
  <c r="J33" i="2"/>
  <c r="J29" i="2"/>
  <c r="J8" i="2"/>
  <c r="J160" i="2"/>
  <c r="J143" i="2"/>
  <c r="J13" i="2"/>
  <c r="J207" i="2"/>
  <c r="J171" i="2"/>
  <c r="J156" i="2"/>
  <c r="J125" i="2"/>
  <c r="J122" i="2"/>
  <c r="J117" i="2"/>
  <c r="J112" i="2"/>
  <c r="J77" i="2"/>
  <c r="J110" i="2"/>
  <c r="J105" i="2"/>
  <c r="J85" i="2"/>
  <c r="J52" i="2"/>
  <c r="J40" i="2"/>
  <c r="J25" i="2"/>
  <c r="J14" i="2"/>
  <c r="J11" i="2"/>
  <c r="J7" i="2"/>
  <c r="J210" i="2"/>
  <c r="J100" i="2"/>
  <c r="J61" i="2"/>
  <c r="J219" i="2"/>
  <c r="J152" i="2"/>
  <c r="J183" i="2"/>
  <c r="J22" i="2"/>
  <c r="J20" i="2"/>
  <c r="J18" i="2"/>
  <c r="J5" i="2"/>
  <c r="J507" i="2"/>
  <c r="J24" i="2"/>
  <c r="J103" i="2"/>
  <c r="J79" i="2"/>
  <c r="J47" i="2"/>
  <c r="J16" i="2"/>
  <c r="J9" i="2"/>
  <c r="J331" i="2"/>
  <c r="J73" i="2"/>
  <c r="J26" i="2"/>
  <c r="J162" i="2"/>
  <c r="J87" i="2"/>
  <c r="J63" i="2"/>
  <c r="J50" i="2"/>
  <c r="J34" i="2"/>
  <c r="J23" i="2"/>
  <c r="J21" i="2"/>
  <c r="J19" i="2"/>
  <c r="J37" i="2"/>
  <c r="J145" i="2"/>
  <c r="J89" i="2"/>
  <c r="J57" i="2"/>
  <c r="J249" i="2"/>
  <c r="J32" i="2"/>
  <c r="J94" i="2"/>
  <c r="J212" i="2"/>
  <c r="J147" i="2"/>
  <c r="J149" i="2"/>
  <c r="J199" i="2"/>
  <c r="J173" i="2"/>
  <c r="J262" i="2"/>
  <c r="J240" i="2"/>
  <c r="J235" i="2"/>
  <c r="J395" i="2"/>
  <c r="J230" i="2"/>
  <c r="J291" i="2"/>
  <c r="J263" i="2"/>
  <c r="J321" i="2"/>
  <c r="J376" i="2"/>
  <c r="J340" i="2"/>
  <c r="J606" i="2"/>
  <c r="J409" i="2"/>
  <c r="J632" i="2"/>
  <c r="J436" i="2"/>
  <c r="J640" i="2"/>
  <c r="J628" i="2"/>
  <c r="J575" i="2"/>
  <c r="J343" i="2"/>
  <c r="J383" i="2"/>
  <c r="J405" i="2"/>
  <c r="J411" i="2"/>
  <c r="J367" i="2"/>
  <c r="J638" i="2"/>
  <c r="J599" i="2"/>
  <c r="J633" i="2"/>
  <c r="J611" i="2"/>
  <c r="J166" i="2"/>
  <c r="J308" i="2"/>
  <c r="J246" i="2"/>
  <c r="J429" i="2"/>
  <c r="J434" i="2"/>
  <c r="J451" i="2"/>
  <c r="J403" i="2"/>
  <c r="J603" i="2"/>
  <c r="J593" i="2"/>
  <c r="J174" i="2"/>
  <c r="J388" i="2"/>
  <c r="J273" i="2"/>
  <c r="J648" i="2"/>
  <c r="J42" i="2"/>
  <c r="J193" i="2"/>
  <c r="J201" i="2"/>
  <c r="J211" i="2"/>
  <c r="J259" i="2"/>
  <c r="J320" i="2"/>
  <c r="J247" i="2"/>
  <c r="J241" i="2"/>
  <c r="J275" i="2"/>
  <c r="J440" i="2"/>
  <c r="J470" i="2"/>
  <c r="J653" i="2"/>
  <c r="J635" i="2"/>
  <c r="J623" i="2"/>
  <c r="J120" i="2"/>
  <c r="J214" i="2"/>
  <c r="J238" i="2"/>
  <c r="J281" i="2"/>
  <c r="J399" i="2"/>
  <c r="J415" i="2"/>
  <c r="J598" i="2"/>
  <c r="J627" i="2"/>
  <c r="J115" i="2"/>
  <c r="J118" i="2"/>
  <c r="J286" i="2"/>
  <c r="J330" i="2"/>
  <c r="J579" i="2"/>
  <c r="J102" i="2"/>
  <c r="J202" i="2"/>
  <c r="J107" i="2"/>
  <c r="J371" i="2"/>
  <c r="J227" i="2"/>
  <c r="J596" i="2"/>
  <c r="J302" i="2"/>
  <c r="J287" i="2"/>
  <c r="J257" i="2"/>
  <c r="J379" i="2"/>
  <c r="J454" i="2"/>
  <c r="J447" i="2"/>
  <c r="J595" i="2"/>
  <c r="J639" i="2"/>
  <c r="J45" i="2"/>
  <c r="J586" i="2"/>
  <c r="J98" i="2"/>
  <c r="J59" i="2"/>
  <c r="J69" i="2"/>
  <c r="J43" i="2"/>
  <c r="J108" i="2"/>
  <c r="J151" i="2"/>
  <c r="J27" i="2"/>
  <c r="J205" i="2"/>
  <c r="J185" i="2"/>
  <c r="J222" i="2"/>
  <c r="J177" i="2"/>
  <c r="J314" i="2"/>
  <c r="J244" i="2"/>
  <c r="J267" i="2"/>
  <c r="J261" i="2"/>
  <c r="J269" i="2"/>
  <c r="J266" i="2"/>
  <c r="J353" i="2"/>
  <c r="J652" i="2"/>
  <c r="J116" i="2"/>
  <c r="J56" i="2"/>
  <c r="J189" i="2"/>
  <c r="J209" i="2"/>
  <c r="J347" i="2"/>
  <c r="J317" i="2"/>
  <c r="J265" i="2"/>
  <c r="J271" i="2"/>
  <c r="J233" i="2"/>
  <c r="J400" i="2"/>
  <c r="J463" i="2"/>
  <c r="J421" i="2"/>
  <c r="J620" i="2"/>
  <c r="J647" i="2"/>
  <c r="J93" i="2"/>
  <c r="J119" i="2"/>
  <c r="J412" i="2"/>
  <c r="J615" i="2"/>
  <c r="J54" i="2"/>
  <c r="J198" i="2"/>
  <c r="J362" i="2"/>
  <c r="J239" i="2"/>
  <c r="J622" i="2"/>
  <c r="J585" i="2"/>
  <c r="J31" i="2"/>
  <c r="J129" i="2"/>
  <c r="J256" i="2"/>
  <c r="J142" i="2"/>
  <c r="J136" i="2"/>
  <c r="J382" i="2"/>
  <c r="J437" i="2"/>
  <c r="J270" i="2"/>
  <c r="J311" i="2"/>
  <c r="J377" i="2"/>
  <c r="J280" i="2"/>
  <c r="J242" i="2"/>
  <c r="J224" i="2"/>
  <c r="J223" i="2"/>
  <c r="J338" i="2"/>
  <c r="J589" i="2"/>
  <c r="J645" i="2"/>
  <c r="J608" i="2"/>
  <c r="J448" i="2"/>
  <c r="J642" i="2"/>
  <c r="J618" i="2"/>
  <c r="J597" i="2"/>
  <c r="J67" i="2"/>
  <c r="J197" i="2"/>
  <c r="J155" i="2"/>
  <c r="J35" i="2"/>
  <c r="J48" i="2"/>
  <c r="J17" i="2"/>
  <c r="J163" i="2"/>
  <c r="J178" i="2"/>
  <c r="J234" i="2"/>
  <c r="J284" i="2"/>
  <c r="J245" i="2"/>
  <c r="J358" i="2"/>
  <c r="J381" i="2"/>
  <c r="J580" i="2"/>
  <c r="J91" i="2"/>
  <c r="J179" i="2"/>
  <c r="J104" i="2"/>
  <c r="J190" i="2"/>
  <c r="J264" i="2"/>
  <c r="J375" i="2"/>
  <c r="J393" i="2"/>
  <c r="J594" i="2"/>
  <c r="J15" i="2"/>
  <c r="J250" i="2"/>
  <c r="J283" i="2"/>
  <c r="J646" i="2"/>
  <c r="J46" i="2"/>
  <c r="J208" i="2"/>
  <c r="J285" i="2"/>
  <c r="J297" i="2"/>
  <c r="J576" i="2"/>
  <c r="J634" i="2"/>
  <c r="J83" i="2"/>
  <c r="J431" i="2"/>
  <c r="J6" i="2"/>
  <c r="J153" i="2"/>
  <c r="J228" i="2"/>
  <c r="J225" i="2"/>
  <c r="J260" i="2"/>
  <c r="J605" i="2"/>
  <c r="J465" i="2"/>
  <c r="J629" i="2"/>
  <c r="J75" i="2"/>
  <c r="J65" i="2"/>
  <c r="J81" i="2"/>
  <c r="J124" i="2"/>
  <c r="J113" i="2"/>
  <c r="J344" i="2"/>
  <c r="J12" i="2"/>
  <c r="J191" i="2"/>
  <c r="J169" i="2"/>
  <c r="J95" i="2"/>
  <c r="J175" i="2"/>
  <c r="J221" i="2"/>
  <c r="J253" i="2"/>
  <c r="J213" i="2"/>
  <c r="J243" i="2"/>
  <c r="J237" i="2"/>
  <c r="J334" i="2"/>
  <c r="J272" i="2"/>
  <c r="J236" i="2"/>
  <c r="J467" i="2"/>
  <c r="J417" i="2"/>
  <c r="J326" i="2"/>
  <c r="J461" i="2"/>
  <c r="J423" i="2"/>
  <c r="J641" i="2"/>
  <c r="J610" i="2"/>
  <c r="J587" i="2"/>
  <c r="J71" i="2"/>
  <c r="J114" i="2"/>
  <c r="J346" i="2"/>
  <c r="J276" i="2"/>
  <c r="J419" i="2"/>
  <c r="J612" i="2"/>
  <c r="J342" i="2"/>
  <c r="J583" i="2"/>
  <c r="J135" i="2"/>
  <c r="J215" i="2"/>
  <c r="J389" i="2"/>
  <c r="J44" i="2"/>
  <c r="J159" i="2"/>
  <c r="J128" i="2"/>
  <c r="J274" i="2"/>
  <c r="J232" i="2"/>
  <c r="J279" i="2"/>
  <c r="J352" i="2"/>
  <c r="J354" i="2"/>
  <c r="J413" i="2"/>
  <c r="J631" i="2"/>
  <c r="J459" i="2"/>
  <c r="J644" i="2"/>
  <c r="J617" i="2"/>
  <c r="J38" i="2"/>
  <c r="J184" i="2"/>
  <c r="J131" i="2"/>
  <c r="J278" i="2"/>
  <c r="J453" i="2"/>
  <c r="J248" i="2"/>
  <c r="J361" i="2"/>
  <c r="J373" i="2"/>
  <c r="J654" i="2"/>
  <c r="J55" i="2"/>
  <c r="J137" i="2"/>
  <c r="J30" i="2"/>
  <c r="J96" i="2"/>
  <c r="J220" i="2"/>
  <c r="J252" i="2"/>
  <c r="J172" i="2"/>
  <c r="J282" i="2"/>
  <c r="J268" i="2"/>
  <c r="J251" i="2"/>
  <c r="J420" i="2"/>
  <c r="J425" i="2"/>
  <c r="J385" i="2"/>
  <c r="J442" i="2"/>
  <c r="J609" i="2"/>
  <c r="J277" i="2"/>
  <c r="J132" i="2"/>
  <c r="J161" i="2"/>
  <c r="J328" i="2"/>
  <c r="J226" i="2"/>
  <c r="J229" i="2"/>
  <c r="J364" i="2"/>
  <c r="J441" i="2"/>
  <c r="J602" i="2"/>
  <c r="J188" i="2"/>
  <c r="J394" i="2"/>
  <c r="J387" i="2"/>
  <c r="J571" i="2"/>
  <c r="J299" i="2"/>
  <c r="J106" i="2"/>
  <c r="J293" i="2"/>
  <c r="J572" i="2"/>
  <c r="J305" i="2"/>
  <c r="J391" i="2"/>
  <c r="J315" i="2"/>
  <c r="J462" i="2"/>
  <c r="J584" i="2"/>
  <c r="J621" i="2"/>
  <c r="J196" i="2"/>
  <c r="J133" i="2"/>
  <c r="J127" i="2"/>
  <c r="J139" i="2"/>
  <c r="J157" i="2"/>
  <c r="J255" i="2"/>
  <c r="J231" i="2"/>
  <c r="J369" i="2"/>
  <c r="J289" i="2"/>
  <c r="J318" i="2"/>
  <c r="J446" i="2"/>
  <c r="J591" i="2"/>
  <c r="J643" i="2"/>
  <c r="J581" i="2"/>
  <c r="J651" i="2"/>
  <c r="J165" i="2"/>
  <c r="J176" i="2"/>
  <c r="J49" i="2"/>
  <c r="J101" i="2"/>
  <c r="J258" i="2"/>
  <c r="J295" i="2"/>
  <c r="J187" i="2"/>
  <c r="J292" i="2"/>
  <c r="J332" i="2"/>
  <c r="J254" i="2"/>
  <c r="J427" i="2"/>
  <c r="J397" i="2"/>
  <c r="J607" i="2"/>
  <c r="F40" i="1" a="1"/>
  <c r="F40" i="1" s="1"/>
  <c r="M391" i="2" l="1"/>
  <c r="L391" i="2"/>
  <c r="K391" i="2"/>
  <c r="K326" i="2"/>
  <c r="L326" i="2"/>
  <c r="M326" i="2"/>
  <c r="M35" i="2"/>
  <c r="L35" i="2"/>
  <c r="K35" i="2"/>
  <c r="M56" i="2"/>
  <c r="L56" i="2"/>
  <c r="K56" i="2"/>
  <c r="M102" i="2"/>
  <c r="K102" i="2"/>
  <c r="L102" i="2"/>
  <c r="K263" i="2"/>
  <c r="M263" i="2"/>
  <c r="L263" i="2"/>
  <c r="M125" i="2"/>
  <c r="L125" i="2"/>
  <c r="K125" i="2"/>
  <c r="M360" i="2"/>
  <c r="L360" i="2"/>
  <c r="K360" i="2"/>
  <c r="L433" i="2"/>
  <c r="M433" i="2"/>
  <c r="K433" i="2"/>
  <c r="M614" i="2"/>
  <c r="K614" i="2"/>
  <c r="L614" i="2"/>
  <c r="K231" i="2"/>
  <c r="M231" i="2"/>
  <c r="L231" i="2"/>
  <c r="M417" i="2"/>
  <c r="L417" i="2"/>
  <c r="K417" i="2"/>
  <c r="K224" i="2"/>
  <c r="M224" i="2"/>
  <c r="L224" i="2"/>
  <c r="M579" i="2"/>
  <c r="L579" i="2"/>
  <c r="K579" i="2"/>
  <c r="M291" i="2"/>
  <c r="L291" i="2"/>
  <c r="K291" i="2"/>
  <c r="M82" i="2"/>
  <c r="L82" i="2"/>
  <c r="K82" i="2"/>
  <c r="K312" i="2"/>
  <c r="M312" i="2"/>
  <c r="L312" i="2"/>
  <c r="M133" i="2"/>
  <c r="L133" i="2"/>
  <c r="K133" i="2"/>
  <c r="M196" i="2"/>
  <c r="L196" i="2"/>
  <c r="K196" i="2"/>
  <c r="M591" i="2"/>
  <c r="L591" i="2"/>
  <c r="K591" i="2"/>
  <c r="M394" i="2"/>
  <c r="L394" i="2"/>
  <c r="K394" i="2"/>
  <c r="M442" i="2"/>
  <c r="K442" i="2"/>
  <c r="L442" i="2"/>
  <c r="M137" i="2"/>
  <c r="L137" i="2"/>
  <c r="K137" i="2"/>
  <c r="M389" i="2"/>
  <c r="L389" i="2"/>
  <c r="K389" i="2"/>
  <c r="M610" i="2"/>
  <c r="L610" i="2"/>
  <c r="K610" i="2"/>
  <c r="M213" i="2"/>
  <c r="L213" i="2"/>
  <c r="K213" i="2"/>
  <c r="M65" i="2"/>
  <c r="L65" i="2"/>
  <c r="K65" i="2"/>
  <c r="M634" i="2"/>
  <c r="L634" i="2"/>
  <c r="K634" i="2"/>
  <c r="M375" i="2"/>
  <c r="L375" i="2"/>
  <c r="K375" i="2"/>
  <c r="M178" i="2"/>
  <c r="L178" i="2"/>
  <c r="K178" i="2"/>
  <c r="M608" i="2"/>
  <c r="K608" i="2"/>
  <c r="L608" i="2"/>
  <c r="M382" i="2"/>
  <c r="L382" i="2"/>
  <c r="K382" i="2"/>
  <c r="M615" i="2"/>
  <c r="L615" i="2"/>
  <c r="K615" i="2"/>
  <c r="M317" i="2"/>
  <c r="L317" i="2"/>
  <c r="K317" i="2"/>
  <c r="K244" i="2"/>
  <c r="M244" i="2"/>
  <c r="L244" i="2"/>
  <c r="M98" i="2"/>
  <c r="L98" i="2"/>
  <c r="K98" i="2"/>
  <c r="K227" i="2"/>
  <c r="M227" i="2"/>
  <c r="L227" i="2"/>
  <c r="M415" i="2"/>
  <c r="L415" i="2"/>
  <c r="K415" i="2"/>
  <c r="K241" i="2"/>
  <c r="M241" i="2"/>
  <c r="L241" i="2"/>
  <c r="M593" i="2"/>
  <c r="K593" i="2"/>
  <c r="L593" i="2"/>
  <c r="M638" i="2"/>
  <c r="L638" i="2"/>
  <c r="K638" i="2"/>
  <c r="M606" i="2"/>
  <c r="L606" i="2"/>
  <c r="K606" i="2"/>
  <c r="M199" i="2"/>
  <c r="L199" i="2"/>
  <c r="K199" i="2"/>
  <c r="K21" i="2"/>
  <c r="L21" i="2"/>
  <c r="M21" i="2" s="1"/>
  <c r="M47" i="2"/>
  <c r="L47" i="2"/>
  <c r="K47" i="2"/>
  <c r="M61" i="2"/>
  <c r="L61" i="2"/>
  <c r="K61" i="2"/>
  <c r="M77" i="2"/>
  <c r="K77" i="2"/>
  <c r="L77" i="2"/>
  <c r="L29" i="2"/>
  <c r="K29" i="2"/>
  <c r="M29" i="2" s="1"/>
  <c r="M72" i="2"/>
  <c r="L72" i="2"/>
  <c r="K72" i="2"/>
  <c r="M111" i="2"/>
  <c r="L111" i="2"/>
  <c r="K111" i="2"/>
  <c r="L28" i="2"/>
  <c r="K28" i="2"/>
  <c r="M28" i="2"/>
  <c r="M170" i="2"/>
  <c r="L170" i="2"/>
  <c r="K170" i="2"/>
  <c r="M180" i="2"/>
  <c r="L180" i="2"/>
  <c r="K180" i="2"/>
  <c r="M372" i="2"/>
  <c r="L372" i="2"/>
  <c r="K372" i="2"/>
  <c r="M304" i="2"/>
  <c r="L304" i="2"/>
  <c r="K304" i="2"/>
  <c r="K324" i="2"/>
  <c r="M324" i="2"/>
  <c r="L324" i="2"/>
  <c r="L499" i="2"/>
  <c r="K499" i="2"/>
  <c r="M499" i="2"/>
  <c r="L443" i="2"/>
  <c r="K443" i="2"/>
  <c r="M443" i="2"/>
  <c r="M378" i="2"/>
  <c r="L378" i="2"/>
  <c r="K378" i="2"/>
  <c r="K355" i="2"/>
  <c r="M355" i="2"/>
  <c r="L355" i="2"/>
  <c r="M518" i="2"/>
  <c r="L518" i="2"/>
  <c r="K518" i="2"/>
  <c r="M513" i="2"/>
  <c r="L513" i="2"/>
  <c r="K513" i="2"/>
  <c r="M366" i="2"/>
  <c r="L366" i="2"/>
  <c r="K366" i="2"/>
  <c r="K472" i="2"/>
  <c r="M472" i="2"/>
  <c r="L472" i="2"/>
  <c r="L479" i="2"/>
  <c r="M479" i="2"/>
  <c r="K479" i="2"/>
  <c r="M616" i="2"/>
  <c r="L616" i="2"/>
  <c r="K616" i="2"/>
  <c r="M534" i="2"/>
  <c r="L534" i="2"/>
  <c r="K534" i="2"/>
  <c r="L539" i="2"/>
  <c r="K539" i="2"/>
  <c r="M539" i="2"/>
  <c r="M619" i="2"/>
  <c r="L619" i="2"/>
  <c r="K619" i="2"/>
  <c r="M538" i="2"/>
  <c r="L538" i="2"/>
  <c r="K538" i="2"/>
  <c r="M369" i="2"/>
  <c r="L369" i="2"/>
  <c r="K369" i="2"/>
  <c r="K342" i="2"/>
  <c r="M342" i="2"/>
  <c r="L342" i="2"/>
  <c r="M179" i="2"/>
  <c r="L179" i="2"/>
  <c r="K179" i="2"/>
  <c r="M595" i="2"/>
  <c r="K595" i="2"/>
  <c r="L595" i="2"/>
  <c r="M383" i="2"/>
  <c r="L383" i="2"/>
  <c r="K383" i="2"/>
  <c r="M63" i="2"/>
  <c r="K63" i="2"/>
  <c r="L63" i="2"/>
  <c r="M51" i="2"/>
  <c r="L51" i="2"/>
  <c r="K51" i="2"/>
  <c r="M218" i="2"/>
  <c r="L218" i="2"/>
  <c r="K218" i="2"/>
  <c r="M514" i="2"/>
  <c r="L514" i="2"/>
  <c r="K514" i="2"/>
  <c r="M624" i="2"/>
  <c r="L624" i="2"/>
  <c r="K624" i="2"/>
  <c r="M570" i="2"/>
  <c r="L570" i="2"/>
  <c r="K570" i="2"/>
  <c r="L535" i="2"/>
  <c r="K535" i="2"/>
  <c r="M535" i="2"/>
  <c r="M101" i="2"/>
  <c r="L101" i="2"/>
  <c r="K101" i="2"/>
  <c r="K268" i="2"/>
  <c r="L268" i="2"/>
  <c r="M268" i="2"/>
  <c r="M612" i="2"/>
  <c r="L612" i="2"/>
  <c r="K612" i="2"/>
  <c r="M91" i="2"/>
  <c r="K91" i="2"/>
  <c r="L91" i="2"/>
  <c r="M620" i="2"/>
  <c r="K620" i="2"/>
  <c r="L620" i="2"/>
  <c r="M429" i="2"/>
  <c r="L429" i="2"/>
  <c r="K429" i="2"/>
  <c r="K14" i="2"/>
  <c r="M14" i="2" s="1"/>
  <c r="L14" i="2"/>
  <c r="M121" i="2"/>
  <c r="L121" i="2"/>
  <c r="K121" i="2"/>
  <c r="M294" i="2"/>
  <c r="L294" i="2"/>
  <c r="K294" i="2"/>
  <c r="M427" i="2"/>
  <c r="L427" i="2"/>
  <c r="K427" i="2"/>
  <c r="K254" i="2"/>
  <c r="M254" i="2"/>
  <c r="L254" i="2"/>
  <c r="K332" i="2"/>
  <c r="M332" i="2"/>
  <c r="L332" i="2"/>
  <c r="M621" i="2"/>
  <c r="K621" i="2"/>
  <c r="L621" i="2"/>
  <c r="M644" i="2"/>
  <c r="K644" i="2"/>
  <c r="L644" i="2"/>
  <c r="M292" i="2"/>
  <c r="L292" i="2"/>
  <c r="K292" i="2"/>
  <c r="M446" i="2"/>
  <c r="L446" i="2"/>
  <c r="K446" i="2"/>
  <c r="M584" i="2"/>
  <c r="K584" i="2"/>
  <c r="L584" i="2"/>
  <c r="M188" i="2"/>
  <c r="L188" i="2"/>
  <c r="K188" i="2"/>
  <c r="M385" i="2"/>
  <c r="L385" i="2"/>
  <c r="K385" i="2"/>
  <c r="M55" i="2"/>
  <c r="L55" i="2"/>
  <c r="K55" i="2"/>
  <c r="K459" i="2"/>
  <c r="M459" i="2"/>
  <c r="L459" i="2"/>
  <c r="M215" i="2"/>
  <c r="L215" i="2"/>
  <c r="K215" i="2"/>
  <c r="M641" i="2"/>
  <c r="L641" i="2"/>
  <c r="K641" i="2"/>
  <c r="K253" i="2"/>
  <c r="M253" i="2"/>
  <c r="L253" i="2"/>
  <c r="M75" i="2"/>
  <c r="K75" i="2"/>
  <c r="L75" i="2"/>
  <c r="M576" i="2"/>
  <c r="L576" i="2"/>
  <c r="K576" i="2"/>
  <c r="K264" i="2"/>
  <c r="M264" i="2"/>
  <c r="L264" i="2"/>
  <c r="M163" i="2"/>
  <c r="L163" i="2"/>
  <c r="K163" i="2"/>
  <c r="M645" i="2"/>
  <c r="L645" i="2"/>
  <c r="K645" i="2"/>
  <c r="M136" i="2"/>
  <c r="L136" i="2"/>
  <c r="K136" i="2"/>
  <c r="M412" i="2"/>
  <c r="L412" i="2"/>
  <c r="K412" i="2"/>
  <c r="K347" i="2"/>
  <c r="M347" i="2"/>
  <c r="L347" i="2"/>
  <c r="M314" i="2"/>
  <c r="L314" i="2"/>
  <c r="K314" i="2"/>
  <c r="M586" i="2"/>
  <c r="L586" i="2"/>
  <c r="K586" i="2"/>
  <c r="M371" i="2"/>
  <c r="L371" i="2"/>
  <c r="K371" i="2"/>
  <c r="M399" i="2"/>
  <c r="L399" i="2"/>
  <c r="K399" i="2"/>
  <c r="K247" i="2"/>
  <c r="M247" i="2"/>
  <c r="L247" i="2"/>
  <c r="M603" i="2"/>
  <c r="L603" i="2"/>
  <c r="K603" i="2"/>
  <c r="M367" i="2"/>
  <c r="L367" i="2"/>
  <c r="K367" i="2"/>
  <c r="K340" i="2"/>
  <c r="M340" i="2"/>
  <c r="L340" i="2"/>
  <c r="M149" i="2"/>
  <c r="L149" i="2"/>
  <c r="K149" i="2"/>
  <c r="K23" i="2"/>
  <c r="M23" i="2"/>
  <c r="L23" i="2"/>
  <c r="M79" i="2"/>
  <c r="L79" i="2"/>
  <c r="K79" i="2"/>
  <c r="M100" i="2"/>
  <c r="L100" i="2"/>
  <c r="K100" i="2"/>
  <c r="M112" i="2"/>
  <c r="K112" i="2"/>
  <c r="L112" i="2"/>
  <c r="M33" i="2"/>
  <c r="L33" i="2"/>
  <c r="K33" i="2"/>
  <c r="M74" i="2"/>
  <c r="L74" i="2"/>
  <c r="K74" i="2"/>
  <c r="M123" i="2"/>
  <c r="L123" i="2"/>
  <c r="K123" i="2"/>
  <c r="L41" i="2"/>
  <c r="K41" i="2"/>
  <c r="M41" i="2"/>
  <c r="M182" i="2"/>
  <c r="L182" i="2"/>
  <c r="K182" i="2"/>
  <c r="M192" i="2"/>
  <c r="L192" i="2"/>
  <c r="K192" i="2"/>
  <c r="K432" i="2"/>
  <c r="M432" i="2"/>
  <c r="L432" i="2"/>
  <c r="M307" i="2"/>
  <c r="L307" i="2"/>
  <c r="K307" i="2"/>
  <c r="K300" i="2"/>
  <c r="M300" i="2"/>
  <c r="L300" i="2"/>
  <c r="M582" i="2"/>
  <c r="L582" i="2"/>
  <c r="K582" i="2"/>
  <c r="M458" i="2"/>
  <c r="L458" i="2"/>
  <c r="K458" i="2"/>
  <c r="M390" i="2"/>
  <c r="L390" i="2"/>
  <c r="K390" i="2"/>
  <c r="M370" i="2"/>
  <c r="L370" i="2"/>
  <c r="K370" i="2"/>
  <c r="M546" i="2"/>
  <c r="L546" i="2"/>
  <c r="K546" i="2"/>
  <c r="M521" i="2"/>
  <c r="L521" i="2"/>
  <c r="K521" i="2"/>
  <c r="K484" i="2"/>
  <c r="M484" i="2"/>
  <c r="L484" i="2"/>
  <c r="M476" i="2"/>
  <c r="L476" i="2"/>
  <c r="K476" i="2"/>
  <c r="M482" i="2"/>
  <c r="L482" i="2"/>
  <c r="K482" i="2"/>
  <c r="M626" i="2"/>
  <c r="L626" i="2"/>
  <c r="K626" i="2"/>
  <c r="K554" i="2"/>
  <c r="M554" i="2"/>
  <c r="L554" i="2"/>
  <c r="K550" i="2"/>
  <c r="M550" i="2"/>
  <c r="L550" i="2"/>
  <c r="M540" i="2"/>
  <c r="L540" i="2"/>
  <c r="K540" i="2"/>
  <c r="L545" i="2"/>
  <c r="M545" i="2"/>
  <c r="K545" i="2"/>
  <c r="M361" i="2"/>
  <c r="L361" i="2"/>
  <c r="K361" i="2"/>
  <c r="M647" i="2"/>
  <c r="L647" i="2"/>
  <c r="K647" i="2"/>
  <c r="M187" i="2"/>
  <c r="L187" i="2"/>
  <c r="K187" i="2"/>
  <c r="K318" i="2"/>
  <c r="L318" i="2"/>
  <c r="M318" i="2"/>
  <c r="M462" i="2"/>
  <c r="L462" i="2"/>
  <c r="K462" i="2"/>
  <c r="M602" i="2"/>
  <c r="K602" i="2"/>
  <c r="L602" i="2"/>
  <c r="M425" i="2"/>
  <c r="L425" i="2"/>
  <c r="K425" i="2"/>
  <c r="M654" i="2"/>
  <c r="L654" i="2"/>
  <c r="K654" i="2"/>
  <c r="M631" i="2"/>
  <c r="K631" i="2"/>
  <c r="L631" i="2"/>
  <c r="M135" i="2"/>
  <c r="L135" i="2"/>
  <c r="K135" i="2"/>
  <c r="M423" i="2"/>
  <c r="L423" i="2"/>
  <c r="K423" i="2"/>
  <c r="K221" i="2"/>
  <c r="M221" i="2"/>
  <c r="L221" i="2"/>
  <c r="M629" i="2"/>
  <c r="K629" i="2"/>
  <c r="L629" i="2"/>
  <c r="K297" i="2"/>
  <c r="L297" i="2"/>
  <c r="M297" i="2"/>
  <c r="M190" i="2"/>
  <c r="L190" i="2"/>
  <c r="K190" i="2"/>
  <c r="K17" i="2"/>
  <c r="L17" i="2"/>
  <c r="M589" i="2"/>
  <c r="L589" i="2"/>
  <c r="K589" i="2"/>
  <c r="M142" i="2"/>
  <c r="L142" i="2"/>
  <c r="K142" i="2"/>
  <c r="M119" i="2"/>
  <c r="L119" i="2"/>
  <c r="K119" i="2"/>
  <c r="M209" i="2"/>
  <c r="L209" i="2"/>
  <c r="K209" i="2"/>
  <c r="M177" i="2"/>
  <c r="L177" i="2"/>
  <c r="K177" i="2"/>
  <c r="M45" i="2"/>
  <c r="L45" i="2"/>
  <c r="K45" i="2"/>
  <c r="M107" i="2"/>
  <c r="L107" i="2"/>
  <c r="K107" i="2"/>
  <c r="K281" i="2"/>
  <c r="M281" i="2"/>
  <c r="L281" i="2"/>
  <c r="M320" i="2"/>
  <c r="L320" i="2"/>
  <c r="K320" i="2"/>
  <c r="M403" i="2"/>
  <c r="L403" i="2"/>
  <c r="K403" i="2"/>
  <c r="M411" i="2"/>
  <c r="L411" i="2"/>
  <c r="K411" i="2"/>
  <c r="M376" i="2"/>
  <c r="L376" i="2"/>
  <c r="K376" i="2"/>
  <c r="M147" i="2"/>
  <c r="L147" i="2"/>
  <c r="K147" i="2"/>
  <c r="M34" i="2"/>
  <c r="L34" i="2"/>
  <c r="K34" i="2"/>
  <c r="M103" i="2"/>
  <c r="L103" i="2"/>
  <c r="K103" i="2"/>
  <c r="M210" i="2"/>
  <c r="L210" i="2"/>
  <c r="K210" i="2"/>
  <c r="M117" i="2"/>
  <c r="L117" i="2"/>
  <c r="K117" i="2"/>
  <c r="M36" i="2"/>
  <c r="L36" i="2"/>
  <c r="K36" i="2"/>
  <c r="M76" i="2"/>
  <c r="L76" i="2"/>
  <c r="K76" i="2"/>
  <c r="M140" i="2"/>
  <c r="L140" i="2"/>
  <c r="K140" i="2"/>
  <c r="L53" i="2"/>
  <c r="K53" i="2"/>
  <c r="M53" i="2"/>
  <c r="M194" i="2"/>
  <c r="L194" i="2"/>
  <c r="K194" i="2"/>
  <c r="M204" i="2"/>
  <c r="L204" i="2"/>
  <c r="K204" i="2"/>
  <c r="K323" i="2"/>
  <c r="M323" i="2"/>
  <c r="L323" i="2"/>
  <c r="M310" i="2"/>
  <c r="L310" i="2"/>
  <c r="K310" i="2"/>
  <c r="K303" i="2"/>
  <c r="M303" i="2"/>
  <c r="L303" i="2"/>
  <c r="M374" i="2"/>
  <c r="L374" i="2"/>
  <c r="K374" i="2"/>
  <c r="M469" i="2"/>
  <c r="L469" i="2"/>
  <c r="K469" i="2"/>
  <c r="M416" i="2"/>
  <c r="L416" i="2"/>
  <c r="K416" i="2"/>
  <c r="M401" i="2"/>
  <c r="L401" i="2"/>
  <c r="K401" i="2"/>
  <c r="M398" i="2"/>
  <c r="L398" i="2"/>
  <c r="K398" i="2"/>
  <c r="M526" i="2"/>
  <c r="L526" i="2"/>
  <c r="K526" i="2"/>
  <c r="M493" i="2"/>
  <c r="L493" i="2"/>
  <c r="K493" i="2"/>
  <c r="K506" i="2"/>
  <c r="L506" i="2"/>
  <c r="M506" i="2"/>
  <c r="L548" i="2"/>
  <c r="M548" i="2"/>
  <c r="K548" i="2"/>
  <c r="M636" i="2"/>
  <c r="L636" i="2"/>
  <c r="K636" i="2"/>
  <c r="M592" i="2"/>
  <c r="L592" i="2"/>
  <c r="K592" i="2"/>
  <c r="K556" i="2"/>
  <c r="L556" i="2"/>
  <c r="M556" i="2"/>
  <c r="M547" i="2"/>
  <c r="L547" i="2"/>
  <c r="K547" i="2"/>
  <c r="K551" i="2"/>
  <c r="M551" i="2"/>
  <c r="L551" i="2"/>
  <c r="M295" i="2"/>
  <c r="L295" i="2"/>
  <c r="K295" i="2"/>
  <c r="M289" i="2"/>
  <c r="L289" i="2"/>
  <c r="K289" i="2"/>
  <c r="K315" i="2"/>
  <c r="M315" i="2"/>
  <c r="L315" i="2"/>
  <c r="M441" i="2"/>
  <c r="L441" i="2"/>
  <c r="K441" i="2"/>
  <c r="M420" i="2"/>
  <c r="L420" i="2"/>
  <c r="K420" i="2"/>
  <c r="M373" i="2"/>
  <c r="L373" i="2"/>
  <c r="K373" i="2"/>
  <c r="M413" i="2"/>
  <c r="L413" i="2"/>
  <c r="K413" i="2"/>
  <c r="M583" i="2"/>
  <c r="K583" i="2"/>
  <c r="L583" i="2"/>
  <c r="M461" i="2"/>
  <c r="L461" i="2"/>
  <c r="K461" i="2"/>
  <c r="M175" i="2"/>
  <c r="L175" i="2"/>
  <c r="K175" i="2"/>
  <c r="M465" i="2"/>
  <c r="L465" i="2"/>
  <c r="K465" i="2"/>
  <c r="K285" i="2"/>
  <c r="M285" i="2"/>
  <c r="L285" i="2"/>
  <c r="M104" i="2"/>
  <c r="L104" i="2"/>
  <c r="K104" i="2"/>
  <c r="K48" i="2"/>
  <c r="M48" i="2"/>
  <c r="L48" i="2"/>
  <c r="K338" i="2"/>
  <c r="L338" i="2"/>
  <c r="M338" i="2"/>
  <c r="K256" i="2"/>
  <c r="M256" i="2"/>
  <c r="L256" i="2"/>
  <c r="M93" i="2"/>
  <c r="L93" i="2"/>
  <c r="K93" i="2"/>
  <c r="M189" i="2"/>
  <c r="L189" i="2"/>
  <c r="K189" i="2"/>
  <c r="K222" i="2"/>
  <c r="M222" i="2"/>
  <c r="L222" i="2"/>
  <c r="M639" i="2"/>
  <c r="L639" i="2"/>
  <c r="K639" i="2"/>
  <c r="M202" i="2"/>
  <c r="L202" i="2"/>
  <c r="K202" i="2"/>
  <c r="K238" i="2"/>
  <c r="M238" i="2"/>
  <c r="L238" i="2"/>
  <c r="K259" i="2"/>
  <c r="M259" i="2"/>
  <c r="L259" i="2"/>
  <c r="L451" i="2"/>
  <c r="K451" i="2"/>
  <c r="M451" i="2"/>
  <c r="M405" i="2"/>
  <c r="L405" i="2"/>
  <c r="K405" i="2"/>
  <c r="K321" i="2"/>
  <c r="M321" i="2"/>
  <c r="L321" i="2"/>
  <c r="M212" i="2"/>
  <c r="L212" i="2"/>
  <c r="K212" i="2"/>
  <c r="K50" i="2"/>
  <c r="M50" i="2"/>
  <c r="L50" i="2"/>
  <c r="L24" i="2"/>
  <c r="K24" i="2"/>
  <c r="M24" i="2" s="1"/>
  <c r="K7" i="2"/>
  <c r="L7" i="2"/>
  <c r="M7" i="2"/>
  <c r="M122" i="2"/>
  <c r="L122" i="2"/>
  <c r="K122" i="2"/>
  <c r="M39" i="2"/>
  <c r="L39" i="2"/>
  <c r="K39" i="2"/>
  <c r="M78" i="2"/>
  <c r="L78" i="2"/>
  <c r="K78" i="2"/>
  <c r="M150" i="2"/>
  <c r="L150" i="2"/>
  <c r="K150" i="2"/>
  <c r="M97" i="2"/>
  <c r="L97" i="2"/>
  <c r="K97" i="2"/>
  <c r="M206" i="2"/>
  <c r="L206" i="2"/>
  <c r="K206" i="2"/>
  <c r="M216" i="2"/>
  <c r="L216" i="2"/>
  <c r="K216" i="2"/>
  <c r="K333" i="2"/>
  <c r="M333" i="2"/>
  <c r="L333" i="2"/>
  <c r="M313" i="2"/>
  <c r="L313" i="2"/>
  <c r="K313" i="2"/>
  <c r="K306" i="2"/>
  <c r="M306" i="2"/>
  <c r="L306" i="2"/>
  <c r="M386" i="2"/>
  <c r="L386" i="2"/>
  <c r="K386" i="2"/>
  <c r="M504" i="2"/>
  <c r="L504" i="2"/>
  <c r="K504" i="2"/>
  <c r="M428" i="2"/>
  <c r="L428" i="2"/>
  <c r="K428" i="2"/>
  <c r="M407" i="2"/>
  <c r="L407" i="2"/>
  <c r="K407" i="2"/>
  <c r="M404" i="2"/>
  <c r="L404" i="2"/>
  <c r="K404" i="2"/>
  <c r="M566" i="2"/>
  <c r="L566" i="2"/>
  <c r="K566" i="2"/>
  <c r="M496" i="2"/>
  <c r="L496" i="2"/>
  <c r="K496" i="2"/>
  <c r="L516" i="2"/>
  <c r="K516" i="2"/>
  <c r="M516" i="2"/>
  <c r="K494" i="2"/>
  <c r="M494" i="2"/>
  <c r="L494" i="2"/>
  <c r="K502" i="2"/>
  <c r="M502" i="2"/>
  <c r="L502" i="2"/>
  <c r="M625" i="2"/>
  <c r="L625" i="2"/>
  <c r="K625" i="2"/>
  <c r="L559" i="2"/>
  <c r="K559" i="2"/>
  <c r="M559" i="2"/>
  <c r="M553" i="2"/>
  <c r="K553" i="2"/>
  <c r="L553" i="2"/>
  <c r="M558" i="2"/>
  <c r="L558" i="2"/>
  <c r="K558" i="2"/>
  <c r="L564" i="2"/>
  <c r="K564" i="2"/>
  <c r="M564" i="2"/>
  <c r="L449" i="2"/>
  <c r="K449" i="2"/>
  <c r="M449" i="2"/>
  <c r="L487" i="2"/>
  <c r="K487" i="2"/>
  <c r="M487" i="2"/>
  <c r="M414" i="2"/>
  <c r="L414" i="2"/>
  <c r="K414" i="2"/>
  <c r="L466" i="2"/>
  <c r="K466" i="2"/>
  <c r="M466" i="2"/>
  <c r="M650" i="2"/>
  <c r="L650" i="2"/>
  <c r="K650" i="2"/>
  <c r="M573" i="2"/>
  <c r="L573" i="2"/>
  <c r="K573" i="2"/>
  <c r="M542" i="2"/>
  <c r="L542" i="2"/>
  <c r="K542" i="2"/>
  <c r="M613" i="2"/>
  <c r="L613" i="2"/>
  <c r="K613" i="2"/>
  <c r="K474" i="2"/>
  <c r="M474" i="2"/>
  <c r="L474" i="2"/>
  <c r="M473" i="2"/>
  <c r="L473" i="2"/>
  <c r="K473" i="2"/>
  <c r="M578" i="2"/>
  <c r="L578" i="2"/>
  <c r="K578" i="2"/>
  <c r="M577" i="2"/>
  <c r="L577" i="2"/>
  <c r="K577" i="2"/>
  <c r="H40" i="1"/>
  <c r="G40" i="1"/>
  <c r="M49" i="2"/>
  <c r="L49" i="2"/>
  <c r="K49" i="2"/>
  <c r="K255" i="2"/>
  <c r="M255" i="2"/>
  <c r="L255" i="2"/>
  <c r="M572" i="2"/>
  <c r="K572" i="2"/>
  <c r="L572" i="2"/>
  <c r="K226" i="2"/>
  <c r="M226" i="2"/>
  <c r="L226" i="2"/>
  <c r="K282" i="2"/>
  <c r="M282" i="2"/>
  <c r="L282" i="2"/>
  <c r="L453" i="2"/>
  <c r="K453" i="2"/>
  <c r="M453" i="2"/>
  <c r="K279" i="2"/>
  <c r="M279" i="2"/>
  <c r="L279" i="2"/>
  <c r="M419" i="2"/>
  <c r="L419" i="2"/>
  <c r="K419" i="2"/>
  <c r="K467" i="2"/>
  <c r="M467" i="2"/>
  <c r="L467" i="2"/>
  <c r="M191" i="2"/>
  <c r="L191" i="2"/>
  <c r="K191" i="2"/>
  <c r="K225" i="2"/>
  <c r="M225" i="2"/>
  <c r="L225" i="2"/>
  <c r="M646" i="2"/>
  <c r="L646" i="2"/>
  <c r="K646" i="2"/>
  <c r="M580" i="2"/>
  <c r="L580" i="2"/>
  <c r="K580" i="2"/>
  <c r="M197" i="2"/>
  <c r="L197" i="2"/>
  <c r="K197" i="2"/>
  <c r="K242" i="2"/>
  <c r="M242" i="2"/>
  <c r="L242" i="2"/>
  <c r="M585" i="2"/>
  <c r="K585" i="2"/>
  <c r="L585" i="2"/>
  <c r="M421" i="2"/>
  <c r="L421" i="2"/>
  <c r="K421" i="2"/>
  <c r="M652" i="2"/>
  <c r="L652" i="2"/>
  <c r="K652" i="2"/>
  <c r="M27" i="2"/>
  <c r="L27" i="2"/>
  <c r="K27" i="2"/>
  <c r="M454" i="2"/>
  <c r="L454" i="2"/>
  <c r="K454" i="2"/>
  <c r="K330" i="2"/>
  <c r="M330" i="2"/>
  <c r="L330" i="2"/>
  <c r="M623" i="2"/>
  <c r="L623" i="2"/>
  <c r="K623" i="2"/>
  <c r="M193" i="2"/>
  <c r="L193" i="2"/>
  <c r="K193" i="2"/>
  <c r="K246" i="2"/>
  <c r="M246" i="2"/>
  <c r="L246" i="2"/>
  <c r="M575" i="2"/>
  <c r="L575" i="2"/>
  <c r="K575" i="2"/>
  <c r="K230" i="2"/>
  <c r="M230" i="2"/>
  <c r="L230" i="2"/>
  <c r="K249" i="2"/>
  <c r="M249" i="2"/>
  <c r="L249" i="2"/>
  <c r="M162" i="2"/>
  <c r="L162" i="2"/>
  <c r="K162" i="2"/>
  <c r="K18" i="2"/>
  <c r="L18" i="2"/>
  <c r="K25" i="2"/>
  <c r="M25" i="2" s="1"/>
  <c r="L25" i="2"/>
  <c r="M171" i="2"/>
  <c r="L171" i="2"/>
  <c r="K171" i="2"/>
  <c r="M60" i="2"/>
  <c r="L60" i="2"/>
  <c r="K60" i="2"/>
  <c r="M84" i="2"/>
  <c r="L84" i="2"/>
  <c r="K84" i="2"/>
  <c r="M203" i="2"/>
  <c r="L203" i="2"/>
  <c r="K203" i="2"/>
  <c r="M154" i="2"/>
  <c r="L154" i="2"/>
  <c r="K154" i="2"/>
  <c r="M359" i="2"/>
  <c r="K359" i="2"/>
  <c r="L359" i="2"/>
  <c r="M130" i="2"/>
  <c r="L130" i="2"/>
  <c r="K130" i="2"/>
  <c r="M363" i="2"/>
  <c r="L363" i="2"/>
  <c r="K363" i="2"/>
  <c r="M322" i="2"/>
  <c r="L322" i="2"/>
  <c r="K322" i="2"/>
  <c r="M384" i="2"/>
  <c r="L384" i="2"/>
  <c r="K384" i="2"/>
  <c r="K329" i="2"/>
  <c r="L329" i="2"/>
  <c r="M329" i="2"/>
  <c r="M368" i="2"/>
  <c r="L368" i="2"/>
  <c r="K368" i="2"/>
  <c r="M452" i="2"/>
  <c r="L452" i="2"/>
  <c r="K452" i="2"/>
  <c r="L512" i="2"/>
  <c r="M512" i="2"/>
  <c r="K512" i="2"/>
  <c r="M418" i="2"/>
  <c r="L418" i="2"/>
  <c r="K418" i="2"/>
  <c r="M563" i="2"/>
  <c r="L563" i="2"/>
  <c r="K563" i="2"/>
  <c r="K490" i="2"/>
  <c r="M490" i="2"/>
  <c r="L490" i="2"/>
  <c r="M604" i="2"/>
  <c r="L604" i="2"/>
  <c r="K604" i="2"/>
  <c r="K568" i="2"/>
  <c r="M568" i="2"/>
  <c r="L568" i="2"/>
  <c r="M477" i="2"/>
  <c r="L477" i="2"/>
  <c r="K477" i="2"/>
  <c r="K486" i="2"/>
  <c r="L486" i="2"/>
  <c r="M486" i="2"/>
  <c r="L485" i="2"/>
  <c r="K485" i="2"/>
  <c r="M485" i="2"/>
  <c r="M588" i="2"/>
  <c r="L588" i="2"/>
  <c r="K588" i="2"/>
  <c r="M531" i="2"/>
  <c r="L531" i="2"/>
  <c r="K531" i="2"/>
  <c r="M176" i="2"/>
  <c r="L176" i="2"/>
  <c r="K176" i="2"/>
  <c r="M157" i="2"/>
  <c r="L157" i="2"/>
  <c r="K157" i="2"/>
  <c r="M293" i="2"/>
  <c r="L293" i="2"/>
  <c r="K293" i="2"/>
  <c r="K328" i="2"/>
  <c r="M328" i="2"/>
  <c r="L328" i="2"/>
  <c r="M172" i="2"/>
  <c r="L172" i="2"/>
  <c r="K172" i="2"/>
  <c r="K278" i="2"/>
  <c r="M278" i="2"/>
  <c r="L278" i="2"/>
  <c r="K232" i="2"/>
  <c r="L232" i="2"/>
  <c r="M232" i="2"/>
  <c r="K276" i="2"/>
  <c r="M276" i="2"/>
  <c r="L276" i="2"/>
  <c r="K236" i="2"/>
  <c r="M236" i="2"/>
  <c r="L236" i="2"/>
  <c r="L12" i="2"/>
  <c r="K12" i="2"/>
  <c r="M12" i="2" s="1"/>
  <c r="K228" i="2"/>
  <c r="M228" i="2"/>
  <c r="L228" i="2"/>
  <c r="K283" i="2"/>
  <c r="M283" i="2"/>
  <c r="L283" i="2"/>
  <c r="M381" i="2"/>
  <c r="L381" i="2"/>
  <c r="K381" i="2"/>
  <c r="M67" i="2"/>
  <c r="K67" i="2"/>
  <c r="L67" i="2"/>
  <c r="K280" i="2"/>
  <c r="M280" i="2"/>
  <c r="L280" i="2"/>
  <c r="M622" i="2"/>
  <c r="L622" i="2"/>
  <c r="K622" i="2"/>
  <c r="K463" i="2"/>
  <c r="M463" i="2"/>
  <c r="L463" i="2"/>
  <c r="K353" i="2"/>
  <c r="M353" i="2"/>
  <c r="L353" i="2"/>
  <c r="M151" i="2"/>
  <c r="L151" i="2"/>
  <c r="K151" i="2"/>
  <c r="M379" i="2"/>
  <c r="L379" i="2"/>
  <c r="K379" i="2"/>
  <c r="K286" i="2"/>
  <c r="M286" i="2"/>
  <c r="L286" i="2"/>
  <c r="M635" i="2"/>
  <c r="K635" i="2"/>
  <c r="L635" i="2"/>
  <c r="M42" i="2"/>
  <c r="L42" i="2"/>
  <c r="K42" i="2"/>
  <c r="M308" i="2"/>
  <c r="L308" i="2"/>
  <c r="K308" i="2"/>
  <c r="M628" i="2"/>
  <c r="L628" i="2"/>
  <c r="K628" i="2"/>
  <c r="M395" i="2"/>
  <c r="L395" i="2"/>
  <c r="K395" i="2"/>
  <c r="M57" i="2"/>
  <c r="L57" i="2"/>
  <c r="K57" i="2"/>
  <c r="L26" i="2"/>
  <c r="K26" i="2"/>
  <c r="M26" i="2" s="1"/>
  <c r="K20" i="2"/>
  <c r="M20" i="2" s="1"/>
  <c r="L20" i="2"/>
  <c r="M40" i="2"/>
  <c r="L40" i="2"/>
  <c r="K40" i="2"/>
  <c r="M207" i="2"/>
  <c r="L207" i="2"/>
  <c r="K207" i="2"/>
  <c r="M62" i="2"/>
  <c r="L62" i="2"/>
  <c r="K62" i="2"/>
  <c r="M86" i="2"/>
  <c r="L86" i="2"/>
  <c r="K86" i="2"/>
  <c r="M217" i="2"/>
  <c r="L217" i="2"/>
  <c r="K217" i="2"/>
  <c r="M186" i="2"/>
  <c r="L186" i="2"/>
  <c r="K186" i="2"/>
  <c r="M480" i="2"/>
  <c r="L480" i="2"/>
  <c r="K480" i="2"/>
  <c r="M134" i="2"/>
  <c r="L134" i="2"/>
  <c r="K134" i="2"/>
  <c r="M396" i="2"/>
  <c r="L396" i="2"/>
  <c r="K396" i="2"/>
  <c r="K327" i="2"/>
  <c r="M327" i="2"/>
  <c r="L327" i="2"/>
  <c r="L527" i="2"/>
  <c r="K527" i="2"/>
  <c r="M527" i="2"/>
  <c r="K341" i="2"/>
  <c r="M341" i="2"/>
  <c r="L341" i="2"/>
  <c r="L491" i="2"/>
  <c r="K491" i="2"/>
  <c r="M491" i="2"/>
  <c r="M444" i="2"/>
  <c r="K444" i="2"/>
  <c r="L444" i="2"/>
  <c r="M549" i="2"/>
  <c r="L549" i="2"/>
  <c r="K549" i="2"/>
  <c r="M422" i="2"/>
  <c r="L422" i="2"/>
  <c r="K422" i="2"/>
  <c r="L475" i="2"/>
  <c r="K475" i="2"/>
  <c r="M475" i="2"/>
  <c r="L495" i="2"/>
  <c r="K495" i="2"/>
  <c r="M495" i="2"/>
  <c r="M450" i="2"/>
  <c r="K450" i="2"/>
  <c r="L450" i="2"/>
  <c r="M574" i="2"/>
  <c r="K574" i="2"/>
  <c r="L574" i="2"/>
  <c r="M489" i="2"/>
  <c r="L489" i="2"/>
  <c r="K489" i="2"/>
  <c r="K498" i="2"/>
  <c r="M498" i="2"/>
  <c r="L498" i="2"/>
  <c r="L497" i="2"/>
  <c r="K497" i="2"/>
  <c r="M497" i="2"/>
  <c r="K523" i="2"/>
  <c r="M523" i="2"/>
  <c r="L523" i="2"/>
  <c r="M543" i="2"/>
  <c r="L543" i="2"/>
  <c r="K543" i="2"/>
  <c r="F41" i="1" a="1"/>
  <c r="F41" i="1" s="1"/>
  <c r="K251" i="2"/>
  <c r="M251" i="2"/>
  <c r="L251" i="2"/>
  <c r="M605" i="2"/>
  <c r="L605" i="2"/>
  <c r="K605" i="2"/>
  <c r="K223" i="2"/>
  <c r="M223" i="2"/>
  <c r="L223" i="2"/>
  <c r="M214" i="2"/>
  <c r="L214" i="2"/>
  <c r="K214" i="2"/>
  <c r="L11" i="2"/>
  <c r="K11" i="2"/>
  <c r="M11" i="2" s="1"/>
  <c r="M167" i="2"/>
  <c r="L167" i="2"/>
  <c r="K167" i="2"/>
  <c r="M316" i="2"/>
  <c r="L316" i="2"/>
  <c r="K316" i="2"/>
  <c r="L557" i="2"/>
  <c r="M557" i="2"/>
  <c r="K557" i="2"/>
  <c r="K544" i="2"/>
  <c r="M544" i="2"/>
  <c r="L544" i="2"/>
  <c r="M649" i="2"/>
  <c r="L649" i="2"/>
  <c r="K649" i="2"/>
  <c r="K248" i="2"/>
  <c r="M248" i="2"/>
  <c r="L248" i="2"/>
  <c r="M46" i="2"/>
  <c r="L46" i="2"/>
  <c r="K46" i="2"/>
  <c r="M116" i="2"/>
  <c r="L116" i="2"/>
  <c r="K116" i="2"/>
  <c r="K343" i="2"/>
  <c r="M343" i="2"/>
  <c r="L343" i="2"/>
  <c r="M156" i="2"/>
  <c r="L156" i="2"/>
  <c r="K156" i="2"/>
  <c r="M528" i="2"/>
  <c r="L528" i="2"/>
  <c r="K528" i="2"/>
  <c r="M165" i="2"/>
  <c r="L165" i="2"/>
  <c r="K165" i="2"/>
  <c r="M106" i="2"/>
  <c r="L106" i="2"/>
  <c r="K106" i="2"/>
  <c r="K252" i="2"/>
  <c r="M252" i="2"/>
  <c r="L252" i="2"/>
  <c r="K274" i="2"/>
  <c r="M274" i="2"/>
  <c r="L274" i="2"/>
  <c r="K346" i="2"/>
  <c r="M346" i="2"/>
  <c r="L346" i="2"/>
  <c r="K272" i="2"/>
  <c r="M272" i="2"/>
  <c r="L272" i="2"/>
  <c r="K344" i="2"/>
  <c r="M344" i="2"/>
  <c r="L344" i="2"/>
  <c r="M153" i="2"/>
  <c r="L153" i="2"/>
  <c r="K153" i="2"/>
  <c r="K250" i="2"/>
  <c r="M250" i="2"/>
  <c r="L250" i="2"/>
  <c r="K358" i="2"/>
  <c r="M358" i="2"/>
  <c r="L358" i="2"/>
  <c r="M597" i="2"/>
  <c r="K597" i="2"/>
  <c r="L597" i="2"/>
  <c r="M377" i="2"/>
  <c r="L377" i="2"/>
  <c r="K377" i="2"/>
  <c r="K239" i="2"/>
  <c r="M239" i="2"/>
  <c r="L239" i="2"/>
  <c r="M400" i="2"/>
  <c r="L400" i="2"/>
  <c r="K400" i="2"/>
  <c r="K266" i="2"/>
  <c r="M266" i="2"/>
  <c r="L266" i="2"/>
  <c r="M108" i="2"/>
  <c r="L108" i="2"/>
  <c r="K108" i="2"/>
  <c r="K257" i="2"/>
  <c r="M257" i="2"/>
  <c r="L257" i="2"/>
  <c r="M118" i="2"/>
  <c r="L118" i="2"/>
  <c r="K118" i="2"/>
  <c r="M653" i="2"/>
  <c r="L653" i="2"/>
  <c r="K653" i="2"/>
  <c r="M648" i="2"/>
  <c r="L648" i="2"/>
  <c r="K648" i="2"/>
  <c r="M166" i="2"/>
  <c r="L166" i="2"/>
  <c r="K166" i="2"/>
  <c r="M640" i="2"/>
  <c r="L640" i="2"/>
  <c r="K640" i="2"/>
  <c r="K235" i="2"/>
  <c r="M235" i="2"/>
  <c r="L235" i="2"/>
  <c r="M89" i="2"/>
  <c r="L89" i="2"/>
  <c r="K89" i="2"/>
  <c r="M73" i="2"/>
  <c r="L73" i="2"/>
  <c r="K73" i="2"/>
  <c r="K22" i="2"/>
  <c r="M22" i="2"/>
  <c r="L22" i="2"/>
  <c r="M52" i="2"/>
  <c r="L52" i="2"/>
  <c r="K52" i="2"/>
  <c r="L13" i="2"/>
  <c r="K13" i="2"/>
  <c r="M13" i="2" s="1"/>
  <c r="M64" i="2"/>
  <c r="L64" i="2"/>
  <c r="K64" i="2"/>
  <c r="M88" i="2"/>
  <c r="L88" i="2"/>
  <c r="K88" i="2"/>
  <c r="M164" i="2"/>
  <c r="L164" i="2"/>
  <c r="K164" i="2"/>
  <c r="M200" i="2"/>
  <c r="L200" i="2"/>
  <c r="K200" i="2"/>
  <c r="M138" i="2"/>
  <c r="L138" i="2"/>
  <c r="K138" i="2"/>
  <c r="M148" i="2"/>
  <c r="L148" i="2"/>
  <c r="K148" i="2"/>
  <c r="K348" i="2"/>
  <c r="M348" i="2"/>
  <c r="L348" i="2"/>
  <c r="K336" i="2"/>
  <c r="M336" i="2"/>
  <c r="L336" i="2"/>
  <c r="M365" i="2"/>
  <c r="L365" i="2"/>
  <c r="K365" i="2"/>
  <c r="K351" i="2"/>
  <c r="M351" i="2"/>
  <c r="L351" i="2"/>
  <c r="M600" i="2"/>
  <c r="L600" i="2"/>
  <c r="K600" i="2"/>
  <c r="L541" i="2"/>
  <c r="M541" i="2"/>
  <c r="K541" i="2"/>
  <c r="L569" i="2"/>
  <c r="M569" i="2"/>
  <c r="K569" i="2"/>
  <c r="M426" i="2"/>
  <c r="L426" i="2"/>
  <c r="K426" i="2"/>
  <c r="M488" i="2"/>
  <c r="L488" i="2"/>
  <c r="K488" i="2"/>
  <c r="L552" i="2"/>
  <c r="K552" i="2"/>
  <c r="M552" i="2"/>
  <c r="M456" i="2"/>
  <c r="L456" i="2"/>
  <c r="K456" i="2"/>
  <c r="K478" i="2"/>
  <c r="M478" i="2"/>
  <c r="L478" i="2"/>
  <c r="M501" i="2"/>
  <c r="L501" i="2"/>
  <c r="K501" i="2"/>
  <c r="K509" i="2"/>
  <c r="M509" i="2"/>
  <c r="L509" i="2"/>
  <c r="M508" i="2"/>
  <c r="L508" i="2"/>
  <c r="K508" i="2"/>
  <c r="M637" i="2"/>
  <c r="K637" i="2"/>
  <c r="L637" i="2"/>
  <c r="M555" i="2"/>
  <c r="K555" i="2"/>
  <c r="L555" i="2"/>
  <c r="K352" i="2"/>
  <c r="M352" i="2"/>
  <c r="L352" i="2"/>
  <c r="M155" i="2"/>
  <c r="L155" i="2"/>
  <c r="K155" i="2"/>
  <c r="M120" i="2"/>
  <c r="L120" i="2"/>
  <c r="K120" i="2"/>
  <c r="K5" i="2"/>
  <c r="M5" i="2" s="1"/>
  <c r="L5" i="2"/>
  <c r="M630" i="2"/>
  <c r="L630" i="2"/>
  <c r="K630" i="2"/>
  <c r="M607" i="2"/>
  <c r="K607" i="2"/>
  <c r="L607" i="2"/>
  <c r="M139" i="2"/>
  <c r="L139" i="2"/>
  <c r="K139" i="2"/>
  <c r="M161" i="2"/>
  <c r="L161" i="2"/>
  <c r="K161" i="2"/>
  <c r="M131" i="2"/>
  <c r="L131" i="2"/>
  <c r="K131" i="2"/>
  <c r="M397" i="2"/>
  <c r="L397" i="2"/>
  <c r="K397" i="2"/>
  <c r="M651" i="2"/>
  <c r="L651" i="2"/>
  <c r="K651" i="2"/>
  <c r="M127" i="2"/>
  <c r="L127" i="2"/>
  <c r="K127" i="2"/>
  <c r="M299" i="2"/>
  <c r="L299" i="2"/>
  <c r="K299" i="2"/>
  <c r="M132" i="2"/>
  <c r="L132" i="2"/>
  <c r="K132" i="2"/>
  <c r="M220" i="2"/>
  <c r="L220" i="2"/>
  <c r="K220" i="2"/>
  <c r="M184" i="2"/>
  <c r="L184" i="2"/>
  <c r="K184" i="2"/>
  <c r="M128" i="2"/>
  <c r="L128" i="2"/>
  <c r="K128" i="2"/>
  <c r="M114" i="2"/>
  <c r="K114" i="2"/>
  <c r="L114" i="2"/>
  <c r="K334" i="2"/>
  <c r="M334" i="2"/>
  <c r="L334" i="2"/>
  <c r="M113" i="2"/>
  <c r="L113" i="2"/>
  <c r="K113" i="2"/>
  <c r="L6" i="2"/>
  <c r="K6" i="2"/>
  <c r="M6" i="2" s="1"/>
  <c r="L15" i="2"/>
  <c r="K15" i="2"/>
  <c r="K245" i="2"/>
  <c r="M245" i="2"/>
  <c r="L245" i="2"/>
  <c r="M618" i="2"/>
  <c r="L618" i="2"/>
  <c r="K618" i="2"/>
  <c r="M311" i="2"/>
  <c r="L311" i="2"/>
  <c r="K311" i="2"/>
  <c r="M362" i="2"/>
  <c r="L362" i="2"/>
  <c r="K362" i="2"/>
  <c r="K233" i="2"/>
  <c r="M233" i="2"/>
  <c r="L233" i="2"/>
  <c r="K269" i="2"/>
  <c r="M269" i="2"/>
  <c r="L269" i="2"/>
  <c r="M43" i="2"/>
  <c r="L43" i="2"/>
  <c r="K43" i="2"/>
  <c r="K287" i="2"/>
  <c r="M287" i="2"/>
  <c r="L287" i="2"/>
  <c r="M115" i="2"/>
  <c r="L115" i="2"/>
  <c r="K115" i="2"/>
  <c r="M470" i="2"/>
  <c r="L470" i="2"/>
  <c r="K470" i="2"/>
  <c r="K273" i="2"/>
  <c r="M273" i="2"/>
  <c r="L273" i="2"/>
  <c r="M611" i="2"/>
  <c r="K611" i="2"/>
  <c r="L611" i="2"/>
  <c r="M436" i="2"/>
  <c r="L436" i="2"/>
  <c r="K436" i="2"/>
  <c r="K240" i="2"/>
  <c r="M240" i="2"/>
  <c r="L240" i="2"/>
  <c r="M145" i="2"/>
  <c r="L145" i="2"/>
  <c r="K145" i="2"/>
  <c r="K331" i="2"/>
  <c r="M331" i="2"/>
  <c r="L331" i="2"/>
  <c r="M183" i="2"/>
  <c r="L183" i="2"/>
  <c r="K183" i="2"/>
  <c r="M85" i="2"/>
  <c r="L85" i="2"/>
  <c r="K85" i="2"/>
  <c r="M143" i="2"/>
  <c r="L143" i="2"/>
  <c r="K143" i="2"/>
  <c r="M66" i="2"/>
  <c r="L66" i="2"/>
  <c r="K66" i="2"/>
  <c r="M90" i="2"/>
  <c r="L90" i="2"/>
  <c r="K90" i="2"/>
  <c r="M195" i="2"/>
  <c r="L195" i="2"/>
  <c r="K195" i="2"/>
  <c r="M158" i="2"/>
  <c r="L158" i="2"/>
  <c r="K158" i="2"/>
  <c r="M141" i="2"/>
  <c r="L141" i="2"/>
  <c r="K141" i="2"/>
  <c r="K335" i="2"/>
  <c r="M335" i="2"/>
  <c r="L335" i="2"/>
  <c r="M290" i="2"/>
  <c r="L290" i="2"/>
  <c r="K290" i="2"/>
  <c r="M380" i="2"/>
  <c r="L380" i="2"/>
  <c r="K380" i="2"/>
  <c r="M402" i="2"/>
  <c r="L402" i="2"/>
  <c r="K402" i="2"/>
  <c r="K357" i="2"/>
  <c r="M357" i="2"/>
  <c r="L357" i="2"/>
  <c r="K339" i="2"/>
  <c r="M339" i="2"/>
  <c r="L339" i="2"/>
  <c r="K325" i="2"/>
  <c r="M325" i="2"/>
  <c r="L325" i="2"/>
  <c r="M483" i="2"/>
  <c r="L483" i="2"/>
  <c r="K483" i="2"/>
  <c r="M430" i="2"/>
  <c r="L430" i="2"/>
  <c r="K430" i="2"/>
  <c r="L503" i="2"/>
  <c r="K503" i="2"/>
  <c r="M503" i="2"/>
  <c r="L561" i="2"/>
  <c r="M561" i="2"/>
  <c r="K561" i="2"/>
  <c r="M460" i="2"/>
  <c r="L460" i="2"/>
  <c r="K460" i="2"/>
  <c r="M481" i="2"/>
  <c r="L481" i="2"/>
  <c r="K481" i="2"/>
  <c r="K511" i="2"/>
  <c r="L511" i="2"/>
  <c r="M511" i="2"/>
  <c r="K520" i="2"/>
  <c r="M520" i="2"/>
  <c r="L520" i="2"/>
  <c r="K515" i="2"/>
  <c r="M515" i="2"/>
  <c r="L515" i="2"/>
  <c r="M510" i="2"/>
  <c r="L510" i="2"/>
  <c r="K510" i="2"/>
  <c r="K567" i="2"/>
  <c r="M567" i="2"/>
  <c r="L567" i="2"/>
  <c r="M364" i="2"/>
  <c r="L364" i="2"/>
  <c r="K364" i="2"/>
  <c r="M95" i="2"/>
  <c r="L95" i="2"/>
  <c r="K95" i="2"/>
  <c r="M129" i="2"/>
  <c r="L129" i="2"/>
  <c r="K129" i="2"/>
  <c r="M211" i="2"/>
  <c r="L211" i="2"/>
  <c r="K211" i="2"/>
  <c r="M507" i="2"/>
  <c r="L507" i="2"/>
  <c r="K507" i="2"/>
  <c r="M109" i="2"/>
  <c r="L109" i="2"/>
  <c r="K109" i="2"/>
  <c r="K309" i="2"/>
  <c r="M309" i="2"/>
  <c r="L309" i="2"/>
  <c r="L471" i="2"/>
  <c r="K471" i="2"/>
  <c r="M471" i="2"/>
  <c r="M601" i="2"/>
  <c r="L601" i="2"/>
  <c r="K601" i="2"/>
  <c r="M305" i="2"/>
  <c r="L305" i="2"/>
  <c r="K305" i="2"/>
  <c r="K260" i="2"/>
  <c r="M260" i="2"/>
  <c r="L260" i="2"/>
  <c r="K447" i="2"/>
  <c r="L447" i="2"/>
  <c r="M447" i="2"/>
  <c r="M32" i="2"/>
  <c r="L32" i="2"/>
  <c r="K32" i="2"/>
  <c r="M58" i="2"/>
  <c r="L58" i="2"/>
  <c r="K58" i="2"/>
  <c r="K345" i="2"/>
  <c r="M345" i="2"/>
  <c r="L345" i="2"/>
  <c r="M126" i="2"/>
  <c r="L126" i="2"/>
  <c r="K126" i="2"/>
  <c r="M581" i="2"/>
  <c r="L581" i="2"/>
  <c r="K581" i="2"/>
  <c r="K277" i="2"/>
  <c r="M277" i="2"/>
  <c r="L277" i="2"/>
  <c r="M96" i="2"/>
  <c r="L96" i="2"/>
  <c r="K96" i="2"/>
  <c r="M38" i="2"/>
  <c r="K38" i="2"/>
  <c r="L38" i="2"/>
  <c r="M159" i="2"/>
  <c r="L159" i="2"/>
  <c r="K159" i="2"/>
  <c r="M71" i="2"/>
  <c r="L71" i="2"/>
  <c r="K71" i="2"/>
  <c r="K237" i="2"/>
  <c r="M237" i="2"/>
  <c r="L237" i="2"/>
  <c r="M124" i="2"/>
  <c r="L124" i="2"/>
  <c r="K124" i="2"/>
  <c r="M431" i="2"/>
  <c r="L431" i="2"/>
  <c r="K431" i="2"/>
  <c r="M594" i="2"/>
  <c r="L594" i="2"/>
  <c r="K594" i="2"/>
  <c r="K284" i="2"/>
  <c r="M284" i="2"/>
  <c r="L284" i="2"/>
  <c r="M642" i="2"/>
  <c r="L642" i="2"/>
  <c r="K642" i="2"/>
  <c r="K270" i="2"/>
  <c r="M270" i="2"/>
  <c r="L270" i="2"/>
  <c r="M198" i="2"/>
  <c r="L198" i="2"/>
  <c r="K198" i="2"/>
  <c r="K271" i="2"/>
  <c r="M271" i="2"/>
  <c r="L271" i="2"/>
  <c r="K261" i="2"/>
  <c r="M261" i="2"/>
  <c r="L261" i="2"/>
  <c r="M69" i="2"/>
  <c r="L69" i="2"/>
  <c r="K69" i="2"/>
  <c r="M302" i="2"/>
  <c r="L302" i="2"/>
  <c r="K302" i="2"/>
  <c r="M627" i="2"/>
  <c r="K627" i="2"/>
  <c r="L627" i="2"/>
  <c r="M440" i="2"/>
  <c r="L440" i="2"/>
  <c r="K440" i="2"/>
  <c r="M388" i="2"/>
  <c r="L388" i="2"/>
  <c r="K388" i="2"/>
  <c r="M633" i="2"/>
  <c r="K633" i="2"/>
  <c r="L633" i="2"/>
  <c r="M632" i="2"/>
  <c r="L632" i="2"/>
  <c r="K632" i="2"/>
  <c r="K262" i="2"/>
  <c r="M262" i="2"/>
  <c r="L262" i="2"/>
  <c r="M37" i="2"/>
  <c r="L37" i="2"/>
  <c r="K37" i="2"/>
  <c r="L9" i="2"/>
  <c r="K9" i="2"/>
  <c r="M9" i="2" s="1"/>
  <c r="M152" i="2"/>
  <c r="L152" i="2"/>
  <c r="K152" i="2"/>
  <c r="M105" i="2"/>
  <c r="L105" i="2"/>
  <c r="K105" i="2"/>
  <c r="M160" i="2"/>
  <c r="L160" i="2"/>
  <c r="K160" i="2"/>
  <c r="M68" i="2"/>
  <c r="L68" i="2"/>
  <c r="K68" i="2"/>
  <c r="M92" i="2"/>
  <c r="L92" i="2"/>
  <c r="K92" i="2"/>
  <c r="M424" i="2"/>
  <c r="L424" i="2"/>
  <c r="K424" i="2"/>
  <c r="K439" i="2"/>
  <c r="M439" i="2"/>
  <c r="L439" i="2"/>
  <c r="M146" i="2"/>
  <c r="L146" i="2"/>
  <c r="K146" i="2"/>
  <c r="M296" i="2"/>
  <c r="L296" i="2"/>
  <c r="K296" i="2"/>
  <c r="M298" i="2"/>
  <c r="L298" i="2"/>
  <c r="K298" i="2"/>
  <c r="M408" i="2"/>
  <c r="L408" i="2"/>
  <c r="K408" i="2"/>
  <c r="M435" i="2"/>
  <c r="L435" i="2"/>
  <c r="K435" i="2"/>
  <c r="M406" i="2"/>
  <c r="L406" i="2"/>
  <c r="K406" i="2"/>
  <c r="K350" i="2"/>
  <c r="M350" i="2"/>
  <c r="L350" i="2"/>
  <c r="K337" i="2"/>
  <c r="M337" i="2"/>
  <c r="L337" i="2"/>
  <c r="M492" i="2"/>
  <c r="L492" i="2"/>
  <c r="K492" i="2"/>
  <c r="K445" i="2"/>
  <c r="M445" i="2"/>
  <c r="L445" i="2"/>
  <c r="K519" i="2"/>
  <c r="M519" i="2"/>
  <c r="L519" i="2"/>
  <c r="L565" i="2"/>
  <c r="K565" i="2"/>
  <c r="M565" i="2"/>
  <c r="M464" i="2"/>
  <c r="K464" i="2"/>
  <c r="L464" i="2"/>
  <c r="M505" i="2"/>
  <c r="L505" i="2"/>
  <c r="K505" i="2"/>
  <c r="M517" i="2"/>
  <c r="L517" i="2"/>
  <c r="K517" i="2"/>
  <c r="K529" i="2"/>
  <c r="M529" i="2"/>
  <c r="L529" i="2"/>
  <c r="M525" i="2"/>
  <c r="L525" i="2"/>
  <c r="K525" i="2"/>
  <c r="K522" i="2"/>
  <c r="M522" i="2"/>
  <c r="L522" i="2"/>
  <c r="K258" i="2"/>
  <c r="M258" i="2"/>
  <c r="L258" i="2"/>
  <c r="K354" i="2"/>
  <c r="M354" i="2"/>
  <c r="L354" i="2"/>
  <c r="M208" i="2"/>
  <c r="L208" i="2"/>
  <c r="K208" i="2"/>
  <c r="M185" i="2"/>
  <c r="L185" i="2"/>
  <c r="K185" i="2"/>
  <c r="M434" i="2"/>
  <c r="L434" i="2"/>
  <c r="K434" i="2"/>
  <c r="M94" i="2"/>
  <c r="L94" i="2"/>
  <c r="K94" i="2"/>
  <c r="M80" i="2"/>
  <c r="L80" i="2"/>
  <c r="K80" i="2"/>
  <c r="M392" i="2"/>
  <c r="L392" i="2"/>
  <c r="K392" i="2"/>
  <c r="M410" i="2"/>
  <c r="L410" i="2"/>
  <c r="K410" i="2"/>
  <c r="M560" i="2"/>
  <c r="L560" i="2"/>
  <c r="K560" i="2"/>
  <c r="K229" i="2"/>
  <c r="L229" i="2"/>
  <c r="M229" i="2"/>
  <c r="M169" i="2"/>
  <c r="L169" i="2"/>
  <c r="K169" i="2"/>
  <c r="L31" i="2"/>
  <c r="K31" i="2"/>
  <c r="M31" i="2" s="1"/>
  <c r="M205" i="2"/>
  <c r="L205" i="2"/>
  <c r="K205" i="2"/>
  <c r="M201" i="2"/>
  <c r="L201" i="2"/>
  <c r="K201" i="2"/>
  <c r="M87" i="2"/>
  <c r="K87" i="2"/>
  <c r="L87" i="2"/>
  <c r="M181" i="2"/>
  <c r="L181" i="2"/>
  <c r="K181" i="2"/>
  <c r="M319" i="2"/>
  <c r="L319" i="2"/>
  <c r="K319" i="2"/>
  <c r="M571" i="2"/>
  <c r="L571" i="2"/>
  <c r="K571" i="2"/>
  <c r="M643" i="2"/>
  <c r="K643" i="2"/>
  <c r="L643" i="2"/>
  <c r="M387" i="2"/>
  <c r="L387" i="2"/>
  <c r="K387" i="2"/>
  <c r="M609" i="2"/>
  <c r="K609" i="2"/>
  <c r="L609" i="2"/>
  <c r="M30" i="2"/>
  <c r="L30" i="2"/>
  <c r="K30" i="2"/>
  <c r="M617" i="2"/>
  <c r="L617" i="2"/>
  <c r="K617" i="2"/>
  <c r="M44" i="2"/>
  <c r="L44" i="2"/>
  <c r="K44" i="2"/>
  <c r="M587" i="2"/>
  <c r="K587" i="2"/>
  <c r="L587" i="2"/>
  <c r="K243" i="2"/>
  <c r="M243" i="2"/>
  <c r="L243" i="2"/>
  <c r="M81" i="2"/>
  <c r="L81" i="2"/>
  <c r="K81" i="2"/>
  <c r="M83" i="2"/>
  <c r="L83" i="2"/>
  <c r="K83" i="2"/>
  <c r="M393" i="2"/>
  <c r="L393" i="2"/>
  <c r="K393" i="2"/>
  <c r="K234" i="2"/>
  <c r="M234" i="2"/>
  <c r="L234" i="2"/>
  <c r="L448" i="2"/>
  <c r="K448" i="2"/>
  <c r="M448" i="2"/>
  <c r="L437" i="2"/>
  <c r="K437" i="2"/>
  <c r="M437" i="2"/>
  <c r="M54" i="2"/>
  <c r="L54" i="2"/>
  <c r="K54" i="2"/>
  <c r="K265" i="2"/>
  <c r="M265" i="2"/>
  <c r="L265" i="2"/>
  <c r="K267" i="2"/>
  <c r="M267" i="2"/>
  <c r="L267" i="2"/>
  <c r="M59" i="2"/>
  <c r="L59" i="2"/>
  <c r="K59" i="2"/>
  <c r="M596" i="2"/>
  <c r="L596" i="2"/>
  <c r="K596" i="2"/>
  <c r="M598" i="2"/>
  <c r="L598" i="2"/>
  <c r="K598" i="2"/>
  <c r="K275" i="2"/>
  <c r="M275" i="2"/>
  <c r="L275" i="2"/>
  <c r="M174" i="2"/>
  <c r="L174" i="2"/>
  <c r="K174" i="2"/>
  <c r="M599" i="2"/>
  <c r="L599" i="2"/>
  <c r="K599" i="2"/>
  <c r="M409" i="2"/>
  <c r="L409" i="2"/>
  <c r="K409" i="2"/>
  <c r="M173" i="2"/>
  <c r="L173" i="2"/>
  <c r="K173" i="2"/>
  <c r="K19" i="2"/>
  <c r="M19" i="2" s="1"/>
  <c r="L19" i="2"/>
  <c r="L16" i="2"/>
  <c r="K16" i="2"/>
  <c r="M16" i="2" s="1"/>
  <c r="M219" i="2"/>
  <c r="L219" i="2"/>
  <c r="K219" i="2"/>
  <c r="M110" i="2"/>
  <c r="L110" i="2"/>
  <c r="K110" i="2"/>
  <c r="L8" i="2"/>
  <c r="K8" i="2"/>
  <c r="M8" i="2" s="1"/>
  <c r="M70" i="2"/>
  <c r="L70" i="2"/>
  <c r="K70" i="2"/>
  <c r="M99" i="2"/>
  <c r="L99" i="2"/>
  <c r="K99" i="2"/>
  <c r="L10" i="2"/>
  <c r="K10" i="2"/>
  <c r="M10" i="2" s="1"/>
  <c r="M144" i="2"/>
  <c r="L144" i="2"/>
  <c r="K144" i="2"/>
  <c r="M168" i="2"/>
  <c r="L168" i="2"/>
  <c r="K168" i="2"/>
  <c r="L537" i="2"/>
  <c r="K537" i="2"/>
  <c r="M537" i="2"/>
  <c r="M301" i="2"/>
  <c r="L301" i="2"/>
  <c r="K301" i="2"/>
  <c r="L288" i="2"/>
  <c r="K288" i="2"/>
  <c r="M288" i="2"/>
  <c r="M457" i="2"/>
  <c r="L457" i="2"/>
  <c r="K457" i="2"/>
  <c r="M438" i="2"/>
  <c r="L438" i="2"/>
  <c r="K438" i="2"/>
  <c r="K356" i="2"/>
  <c r="M356" i="2"/>
  <c r="L356" i="2"/>
  <c r="K349" i="2"/>
  <c r="M349" i="2"/>
  <c r="L349" i="2"/>
  <c r="M500" i="2"/>
  <c r="L500" i="2"/>
  <c r="K500" i="2"/>
  <c r="L455" i="2"/>
  <c r="K455" i="2"/>
  <c r="M455" i="2"/>
  <c r="L524" i="2"/>
  <c r="K524" i="2"/>
  <c r="M524" i="2"/>
  <c r="M590" i="2"/>
  <c r="L590" i="2"/>
  <c r="K590" i="2"/>
  <c r="M468" i="2"/>
  <c r="L468" i="2"/>
  <c r="K468" i="2"/>
  <c r="M562" i="2"/>
  <c r="L562" i="2"/>
  <c r="K562" i="2"/>
  <c r="M530" i="2"/>
  <c r="L530" i="2"/>
  <c r="K530" i="2"/>
  <c r="K536" i="2"/>
  <c r="M536" i="2"/>
  <c r="L536" i="2"/>
  <c r="L533" i="2"/>
  <c r="M533" i="2"/>
  <c r="K533" i="2"/>
  <c r="K532" i="2"/>
  <c r="M532" i="2"/>
  <c r="L532" i="2"/>
  <c r="M15" i="2" l="1"/>
  <c r="M18" i="2"/>
  <c r="N18" i="2" s="1"/>
  <c r="E18" i="2" s="1"/>
  <c r="M17" i="2"/>
  <c r="N19" i="2"/>
  <c r="G19" i="2" s="1"/>
  <c r="D11" i="2"/>
  <c r="C11" i="2"/>
  <c r="B11" i="2"/>
  <c r="N11" i="2"/>
  <c r="G11" i="2"/>
  <c r="E11" i="2"/>
  <c r="F11" i="2"/>
  <c r="G14" i="2"/>
  <c r="F14" i="2"/>
  <c r="E14" i="2"/>
  <c r="D14" i="2"/>
  <c r="C14" i="2"/>
  <c r="B14" i="2"/>
  <c r="N14" i="2"/>
  <c r="G21" i="2"/>
  <c r="F21" i="2"/>
  <c r="E21" i="2"/>
  <c r="D21" i="2"/>
  <c r="C21" i="2"/>
  <c r="B21" i="2"/>
  <c r="N21" i="2"/>
  <c r="E29" i="2"/>
  <c r="N29" i="2"/>
  <c r="G29" i="2"/>
  <c r="F29" i="2"/>
  <c r="D29" i="2"/>
  <c r="C29" i="2"/>
  <c r="B29" i="2"/>
  <c r="G15" i="2"/>
  <c r="F15" i="2"/>
  <c r="N15" i="2"/>
  <c r="E15" i="2"/>
  <c r="D15" i="2"/>
  <c r="C15" i="2"/>
  <c r="B15" i="2"/>
  <c r="B13" i="2"/>
  <c r="N13" i="2"/>
  <c r="D13" i="2"/>
  <c r="C13" i="2"/>
  <c r="G13" i="2"/>
  <c r="E13" i="2"/>
  <c r="F13" i="2"/>
  <c r="C20" i="2"/>
  <c r="N20" i="2"/>
  <c r="G20" i="2" s="1"/>
  <c r="G24" i="2"/>
  <c r="F24" i="2"/>
  <c r="E24" i="2"/>
  <c r="D24" i="2"/>
  <c r="C24" i="2"/>
  <c r="B24" i="2"/>
  <c r="N24" i="2"/>
  <c r="C6" i="2"/>
  <c r="B6" i="2"/>
  <c r="N6" i="2"/>
  <c r="D6" i="2"/>
  <c r="F6" i="2"/>
  <c r="G6" i="2"/>
  <c r="E6" i="2"/>
  <c r="G26" i="2"/>
  <c r="N26" i="2"/>
  <c r="F26" i="2" s="1"/>
  <c r="G25" i="2"/>
  <c r="F25" i="2"/>
  <c r="E25" i="2"/>
  <c r="D25" i="2"/>
  <c r="C25" i="2"/>
  <c r="B25" i="2"/>
  <c r="N25" i="2"/>
  <c r="N8" i="2"/>
  <c r="G8" i="2" s="1"/>
  <c r="G10" i="2"/>
  <c r="F10" i="2"/>
  <c r="E10" i="2"/>
  <c r="D10" i="2"/>
  <c r="C10" i="2"/>
  <c r="B10" i="2"/>
  <c r="N10" i="2"/>
  <c r="E31" i="2"/>
  <c r="N31" i="2"/>
  <c r="D31" i="2"/>
  <c r="C31" i="2"/>
  <c r="B31" i="2"/>
  <c r="F31" i="2"/>
  <c r="G31" i="2"/>
  <c r="N17" i="2"/>
  <c r="G17" i="2" s="1"/>
  <c r="E173" i="2"/>
  <c r="D173" i="2"/>
  <c r="C173" i="2"/>
  <c r="B173" i="2"/>
  <c r="N173" i="2"/>
  <c r="G173" i="2"/>
  <c r="F173" i="2"/>
  <c r="D627" i="2"/>
  <c r="E627" i="2"/>
  <c r="N627" i="2"/>
  <c r="G627" i="2"/>
  <c r="B627" i="2"/>
  <c r="F627" i="2"/>
  <c r="C627" i="2"/>
  <c r="D129" i="2"/>
  <c r="B129" i="2"/>
  <c r="F129" i="2"/>
  <c r="E129" i="2"/>
  <c r="C129" i="2"/>
  <c r="N129" i="2"/>
  <c r="G129" i="2"/>
  <c r="F90" i="2"/>
  <c r="E90" i="2"/>
  <c r="D90" i="2"/>
  <c r="C90" i="2"/>
  <c r="B90" i="2"/>
  <c r="N90" i="2"/>
  <c r="G90" i="2"/>
  <c r="E139" i="2"/>
  <c r="D139" i="2"/>
  <c r="B139" i="2"/>
  <c r="N139" i="2"/>
  <c r="G139" i="2"/>
  <c r="F139" i="2"/>
  <c r="C139" i="2"/>
  <c r="G22" i="2"/>
  <c r="F22" i="2"/>
  <c r="E22" i="2"/>
  <c r="D22" i="2"/>
  <c r="C22" i="2"/>
  <c r="B22" i="2"/>
  <c r="N22" i="2"/>
  <c r="N27" i="2"/>
  <c r="B27" i="2" s="1"/>
  <c r="C27" i="2"/>
  <c r="G297" i="2"/>
  <c r="D297" i="2"/>
  <c r="F297" i="2"/>
  <c r="E297" i="2"/>
  <c r="C297" i="2"/>
  <c r="B297" i="2"/>
  <c r="N297" i="2"/>
  <c r="D539" i="2"/>
  <c r="E539" i="2"/>
  <c r="G539" i="2"/>
  <c r="C539" i="2"/>
  <c r="B539" i="2"/>
  <c r="N539" i="2"/>
  <c r="F539" i="2"/>
  <c r="F455" i="2"/>
  <c r="B455" i="2"/>
  <c r="G455" i="2"/>
  <c r="E455" i="2"/>
  <c r="D455" i="2"/>
  <c r="N455" i="2"/>
  <c r="C455" i="2"/>
  <c r="D537" i="2"/>
  <c r="B537" i="2"/>
  <c r="G537" i="2"/>
  <c r="F537" i="2"/>
  <c r="N537" i="2"/>
  <c r="E537" i="2"/>
  <c r="C537" i="2"/>
  <c r="E229" i="2"/>
  <c r="G229" i="2"/>
  <c r="F229" i="2"/>
  <c r="D229" i="2"/>
  <c r="C229" i="2"/>
  <c r="B229" i="2"/>
  <c r="N229" i="2"/>
  <c r="D637" i="2"/>
  <c r="E637" i="2"/>
  <c r="N637" i="2"/>
  <c r="F637" i="2"/>
  <c r="C637" i="2"/>
  <c r="G637" i="2"/>
  <c r="B637" i="2"/>
  <c r="G426" i="2"/>
  <c r="N426" i="2"/>
  <c r="F426" i="2"/>
  <c r="E426" i="2"/>
  <c r="D426" i="2"/>
  <c r="C426" i="2"/>
  <c r="B426" i="2"/>
  <c r="E148" i="2"/>
  <c r="D148" i="2"/>
  <c r="B148" i="2"/>
  <c r="N148" i="2"/>
  <c r="G148" i="2"/>
  <c r="F148" i="2"/>
  <c r="C148" i="2"/>
  <c r="F88" i="2"/>
  <c r="E88" i="2"/>
  <c r="D88" i="2"/>
  <c r="C88" i="2"/>
  <c r="B88" i="2"/>
  <c r="N88" i="2"/>
  <c r="G88" i="2"/>
  <c r="D640" i="2"/>
  <c r="G640" i="2"/>
  <c r="N640" i="2"/>
  <c r="F640" i="2"/>
  <c r="E640" i="2"/>
  <c r="C640" i="2"/>
  <c r="B640" i="2"/>
  <c r="F118" i="2"/>
  <c r="E118" i="2"/>
  <c r="D118" i="2"/>
  <c r="C118" i="2"/>
  <c r="B118" i="2"/>
  <c r="N118" i="2"/>
  <c r="G118" i="2"/>
  <c r="D400" i="2"/>
  <c r="C400" i="2"/>
  <c r="N400" i="2"/>
  <c r="G400" i="2"/>
  <c r="F400" i="2"/>
  <c r="E400" i="2"/>
  <c r="B400" i="2"/>
  <c r="F106" i="2"/>
  <c r="E106" i="2"/>
  <c r="D106" i="2"/>
  <c r="C106" i="2"/>
  <c r="B106" i="2"/>
  <c r="N106" i="2"/>
  <c r="G106" i="2"/>
  <c r="D649" i="2"/>
  <c r="E649" i="2"/>
  <c r="G649" i="2"/>
  <c r="B649" i="2"/>
  <c r="F649" i="2"/>
  <c r="C649" i="2"/>
  <c r="N649" i="2"/>
  <c r="E167" i="2"/>
  <c r="D167" i="2"/>
  <c r="C167" i="2"/>
  <c r="B167" i="2"/>
  <c r="N167" i="2"/>
  <c r="G167" i="2"/>
  <c r="F167" i="2"/>
  <c r="D605" i="2"/>
  <c r="N605" i="2"/>
  <c r="G605" i="2"/>
  <c r="F605" i="2"/>
  <c r="C605" i="2"/>
  <c r="B605" i="2"/>
  <c r="E605" i="2"/>
  <c r="G283" i="2"/>
  <c r="F283" i="2"/>
  <c r="E283" i="2"/>
  <c r="D283" i="2"/>
  <c r="N283" i="2"/>
  <c r="C283" i="2"/>
  <c r="B283" i="2"/>
  <c r="G276" i="2"/>
  <c r="F276" i="2"/>
  <c r="E276" i="2"/>
  <c r="D276" i="2"/>
  <c r="B276" i="2"/>
  <c r="C276" i="2"/>
  <c r="N276" i="2"/>
  <c r="N328" i="2"/>
  <c r="G328" i="2"/>
  <c r="D328" i="2"/>
  <c r="C328" i="2"/>
  <c r="B328" i="2"/>
  <c r="E328" i="2"/>
  <c r="F328" i="2"/>
  <c r="F453" i="2"/>
  <c r="B453" i="2"/>
  <c r="G453" i="2"/>
  <c r="E453" i="2"/>
  <c r="N453" i="2"/>
  <c r="D453" i="2"/>
  <c r="C453" i="2"/>
  <c r="D502" i="2"/>
  <c r="N502" i="2"/>
  <c r="F502" i="2"/>
  <c r="E502" i="2"/>
  <c r="B502" i="2"/>
  <c r="G502" i="2"/>
  <c r="C502" i="2"/>
  <c r="E333" i="2"/>
  <c r="D333" i="2"/>
  <c r="B333" i="2"/>
  <c r="N333" i="2"/>
  <c r="G333" i="2"/>
  <c r="F333" i="2"/>
  <c r="C333" i="2"/>
  <c r="G321" i="2"/>
  <c r="F321" i="2"/>
  <c r="D321" i="2"/>
  <c r="B321" i="2"/>
  <c r="E321" i="2"/>
  <c r="C321" i="2"/>
  <c r="N321" i="2"/>
  <c r="G238" i="2"/>
  <c r="E238" i="2"/>
  <c r="F238" i="2"/>
  <c r="D238" i="2"/>
  <c r="C238" i="2"/>
  <c r="B238" i="2"/>
  <c r="N238" i="2"/>
  <c r="E48" i="2"/>
  <c r="D48" i="2"/>
  <c r="C48" i="2"/>
  <c r="B48" i="2"/>
  <c r="N48" i="2"/>
  <c r="G48" i="2"/>
  <c r="F48" i="2"/>
  <c r="G303" i="2"/>
  <c r="F303" i="2"/>
  <c r="D303" i="2"/>
  <c r="B303" i="2"/>
  <c r="E303" i="2"/>
  <c r="C303" i="2"/>
  <c r="N303" i="2"/>
  <c r="D550" i="2"/>
  <c r="C550" i="2"/>
  <c r="G550" i="2"/>
  <c r="F550" i="2"/>
  <c r="B550" i="2"/>
  <c r="N550" i="2"/>
  <c r="E550" i="2"/>
  <c r="G300" i="2"/>
  <c r="F300" i="2"/>
  <c r="D300" i="2"/>
  <c r="B300" i="2"/>
  <c r="E300" i="2"/>
  <c r="C300" i="2"/>
  <c r="N300" i="2"/>
  <c r="G23" i="2"/>
  <c r="F23" i="2"/>
  <c r="E23" i="2"/>
  <c r="D23" i="2"/>
  <c r="C23" i="2"/>
  <c r="B23" i="2"/>
  <c r="N23" i="2"/>
  <c r="B342" i="2"/>
  <c r="N342" i="2"/>
  <c r="G342" i="2"/>
  <c r="F342" i="2"/>
  <c r="E342" i="2"/>
  <c r="D342" i="2"/>
  <c r="C342" i="2"/>
  <c r="D472" i="2"/>
  <c r="G472" i="2"/>
  <c r="C472" i="2"/>
  <c r="N472" i="2"/>
  <c r="F472" i="2"/>
  <c r="E472" i="2"/>
  <c r="B472" i="2"/>
  <c r="N355" i="2"/>
  <c r="G355" i="2"/>
  <c r="F355" i="2"/>
  <c r="E355" i="2"/>
  <c r="D355" i="2"/>
  <c r="C355" i="2"/>
  <c r="B355" i="2"/>
  <c r="G324" i="2"/>
  <c r="E324" i="2"/>
  <c r="D324" i="2"/>
  <c r="C324" i="2"/>
  <c r="F324" i="2"/>
  <c r="B324" i="2"/>
  <c r="N324" i="2"/>
  <c r="F452" i="2"/>
  <c r="B452" i="2"/>
  <c r="D452" i="2"/>
  <c r="C452" i="2"/>
  <c r="N452" i="2"/>
  <c r="G452" i="2"/>
  <c r="E452" i="2"/>
  <c r="E171" i="2"/>
  <c r="D171" i="2"/>
  <c r="C171" i="2"/>
  <c r="B171" i="2"/>
  <c r="N171" i="2"/>
  <c r="G171" i="2"/>
  <c r="F171" i="2"/>
  <c r="D506" i="2"/>
  <c r="F506" i="2"/>
  <c r="E506" i="2"/>
  <c r="N506" i="2"/>
  <c r="G506" i="2"/>
  <c r="C506" i="2"/>
  <c r="B506" i="2"/>
  <c r="D532" i="2"/>
  <c r="F532" i="2"/>
  <c r="E532" i="2"/>
  <c r="B532" i="2"/>
  <c r="N532" i="2"/>
  <c r="G532" i="2"/>
  <c r="C532" i="2"/>
  <c r="G265" i="2"/>
  <c r="E265" i="2"/>
  <c r="F265" i="2"/>
  <c r="D265" i="2"/>
  <c r="C265" i="2"/>
  <c r="B265" i="2"/>
  <c r="N265" i="2"/>
  <c r="G234" i="2"/>
  <c r="E234" i="2"/>
  <c r="N234" i="2"/>
  <c r="F234" i="2"/>
  <c r="D234" i="2"/>
  <c r="C234" i="2"/>
  <c r="B234" i="2"/>
  <c r="G243" i="2"/>
  <c r="E243" i="2"/>
  <c r="N243" i="2"/>
  <c r="F243" i="2"/>
  <c r="D243" i="2"/>
  <c r="C243" i="2"/>
  <c r="B243" i="2"/>
  <c r="G277" i="2"/>
  <c r="F277" i="2"/>
  <c r="E277" i="2"/>
  <c r="D277" i="2"/>
  <c r="N277" i="2"/>
  <c r="C277" i="2"/>
  <c r="B277" i="2"/>
  <c r="D515" i="2"/>
  <c r="E515" i="2"/>
  <c r="C515" i="2"/>
  <c r="B515" i="2"/>
  <c r="N515" i="2"/>
  <c r="G515" i="2"/>
  <c r="F515" i="2"/>
  <c r="C331" i="2"/>
  <c r="B331" i="2"/>
  <c r="N331" i="2"/>
  <c r="G331" i="2"/>
  <c r="F331" i="2"/>
  <c r="E331" i="2"/>
  <c r="D331" i="2"/>
  <c r="G287" i="2"/>
  <c r="F287" i="2"/>
  <c r="E287" i="2"/>
  <c r="D287" i="2"/>
  <c r="N287" i="2"/>
  <c r="C287" i="2"/>
  <c r="B287" i="2"/>
  <c r="F450" i="2"/>
  <c r="B450" i="2"/>
  <c r="N450" i="2"/>
  <c r="E450" i="2"/>
  <c r="D450" i="2"/>
  <c r="C450" i="2"/>
  <c r="G450" i="2"/>
  <c r="D549" i="2"/>
  <c r="B549" i="2"/>
  <c r="E549" i="2"/>
  <c r="C549" i="2"/>
  <c r="N549" i="2"/>
  <c r="G549" i="2"/>
  <c r="F549" i="2"/>
  <c r="D480" i="2"/>
  <c r="C480" i="2"/>
  <c r="B480" i="2"/>
  <c r="E480" i="2"/>
  <c r="N480" i="2"/>
  <c r="F480" i="2"/>
  <c r="G480" i="2"/>
  <c r="F62" i="2"/>
  <c r="E62" i="2"/>
  <c r="D62" i="2"/>
  <c r="C62" i="2"/>
  <c r="B62" i="2"/>
  <c r="N62" i="2"/>
  <c r="G62" i="2"/>
  <c r="G308" i="2"/>
  <c r="F308" i="2"/>
  <c r="D308" i="2"/>
  <c r="B308" i="2"/>
  <c r="N308" i="2"/>
  <c r="E308" i="2"/>
  <c r="C308" i="2"/>
  <c r="F379" i="2"/>
  <c r="E379" i="2"/>
  <c r="N379" i="2"/>
  <c r="G379" i="2"/>
  <c r="D379" i="2"/>
  <c r="C379" i="2"/>
  <c r="B379" i="2"/>
  <c r="D622" i="2"/>
  <c r="G622" i="2"/>
  <c r="C622" i="2"/>
  <c r="N622" i="2"/>
  <c r="F622" i="2"/>
  <c r="E622" i="2"/>
  <c r="B622" i="2"/>
  <c r="E230" i="2"/>
  <c r="N230" i="2"/>
  <c r="G230" i="2"/>
  <c r="F230" i="2"/>
  <c r="D230" i="2"/>
  <c r="C230" i="2"/>
  <c r="B230" i="2"/>
  <c r="G255" i="2"/>
  <c r="E255" i="2"/>
  <c r="N255" i="2"/>
  <c r="D255" i="2"/>
  <c r="C255" i="2"/>
  <c r="B255" i="2"/>
  <c r="F255" i="2"/>
  <c r="D578" i="2"/>
  <c r="G578" i="2"/>
  <c r="B578" i="2"/>
  <c r="N578" i="2"/>
  <c r="F578" i="2"/>
  <c r="E578" i="2"/>
  <c r="C578" i="2"/>
  <c r="D542" i="2"/>
  <c r="C542" i="2"/>
  <c r="B542" i="2"/>
  <c r="G542" i="2"/>
  <c r="F542" i="2"/>
  <c r="N542" i="2"/>
  <c r="E542" i="2"/>
  <c r="G414" i="2"/>
  <c r="N414" i="2"/>
  <c r="F414" i="2"/>
  <c r="E414" i="2"/>
  <c r="D414" i="2"/>
  <c r="C414" i="2"/>
  <c r="B414" i="2"/>
  <c r="D558" i="2"/>
  <c r="E558" i="2"/>
  <c r="F558" i="2"/>
  <c r="C558" i="2"/>
  <c r="B558" i="2"/>
  <c r="N558" i="2"/>
  <c r="G558" i="2"/>
  <c r="D566" i="2"/>
  <c r="B566" i="2"/>
  <c r="N566" i="2"/>
  <c r="G566" i="2"/>
  <c r="C566" i="2"/>
  <c r="F566" i="2"/>
  <c r="E566" i="2"/>
  <c r="D504" i="2"/>
  <c r="C504" i="2"/>
  <c r="B504" i="2"/>
  <c r="N504" i="2"/>
  <c r="E504" i="2"/>
  <c r="G504" i="2"/>
  <c r="F504" i="2"/>
  <c r="E150" i="2"/>
  <c r="D150" i="2"/>
  <c r="C150" i="2"/>
  <c r="B150" i="2"/>
  <c r="N150" i="2"/>
  <c r="G150" i="2"/>
  <c r="F150" i="2"/>
  <c r="E189" i="2"/>
  <c r="D189" i="2"/>
  <c r="C189" i="2"/>
  <c r="B189" i="2"/>
  <c r="N189" i="2"/>
  <c r="G189" i="2"/>
  <c r="F189" i="2"/>
  <c r="E175" i="2"/>
  <c r="D175" i="2"/>
  <c r="C175" i="2"/>
  <c r="B175" i="2"/>
  <c r="N175" i="2"/>
  <c r="G175" i="2"/>
  <c r="F175" i="2"/>
  <c r="F373" i="2"/>
  <c r="N373" i="2"/>
  <c r="G373" i="2"/>
  <c r="E373" i="2"/>
  <c r="D373" i="2"/>
  <c r="C373" i="2"/>
  <c r="B373" i="2"/>
  <c r="D289" i="2"/>
  <c r="G289" i="2"/>
  <c r="F289" i="2"/>
  <c r="N289" i="2"/>
  <c r="E289" i="2"/>
  <c r="C289" i="2"/>
  <c r="B289" i="2"/>
  <c r="F401" i="2"/>
  <c r="E401" i="2"/>
  <c r="C401" i="2"/>
  <c r="B401" i="2"/>
  <c r="G401" i="2"/>
  <c r="D401" i="2"/>
  <c r="N401" i="2"/>
  <c r="E194" i="2"/>
  <c r="D194" i="2"/>
  <c r="C194" i="2"/>
  <c r="B194" i="2"/>
  <c r="N194" i="2"/>
  <c r="G194" i="2"/>
  <c r="F194" i="2"/>
  <c r="E36" i="2"/>
  <c r="D36" i="2"/>
  <c r="C36" i="2"/>
  <c r="N36" i="2"/>
  <c r="G36" i="2"/>
  <c r="F36" i="2"/>
  <c r="B36" i="2"/>
  <c r="E34" i="2"/>
  <c r="D34" i="2"/>
  <c r="C34" i="2"/>
  <c r="N34" i="2"/>
  <c r="B34" i="2"/>
  <c r="G34" i="2"/>
  <c r="F34" i="2"/>
  <c r="G403" i="2"/>
  <c r="F403" i="2"/>
  <c r="E403" i="2"/>
  <c r="D403" i="2"/>
  <c r="C403" i="2"/>
  <c r="B403" i="2"/>
  <c r="N403" i="2"/>
  <c r="E45" i="2"/>
  <c r="D45" i="2"/>
  <c r="C45" i="2"/>
  <c r="B45" i="2"/>
  <c r="N45" i="2"/>
  <c r="G45" i="2"/>
  <c r="F45" i="2"/>
  <c r="E142" i="2"/>
  <c r="D142" i="2"/>
  <c r="B142" i="2"/>
  <c r="N142" i="2"/>
  <c r="G142" i="2"/>
  <c r="F142" i="2"/>
  <c r="C142" i="2"/>
  <c r="D135" i="2"/>
  <c r="B135" i="2"/>
  <c r="N135" i="2"/>
  <c r="G135" i="2"/>
  <c r="F135" i="2"/>
  <c r="C135" i="2"/>
  <c r="E135" i="2"/>
  <c r="D602" i="2"/>
  <c r="G602" i="2"/>
  <c r="B602" i="2"/>
  <c r="N602" i="2"/>
  <c r="C602" i="2"/>
  <c r="F602" i="2"/>
  <c r="E602" i="2"/>
  <c r="D647" i="2"/>
  <c r="N647" i="2"/>
  <c r="G647" i="2"/>
  <c r="F647" i="2"/>
  <c r="B647" i="2"/>
  <c r="E647" i="2"/>
  <c r="C647" i="2"/>
  <c r="D476" i="2"/>
  <c r="B476" i="2"/>
  <c r="N476" i="2"/>
  <c r="C476" i="2"/>
  <c r="G476" i="2"/>
  <c r="F476" i="2"/>
  <c r="E476" i="2"/>
  <c r="D370" i="2"/>
  <c r="C370" i="2"/>
  <c r="G370" i="2"/>
  <c r="F370" i="2"/>
  <c r="E370" i="2"/>
  <c r="B370" i="2"/>
  <c r="N370" i="2"/>
  <c r="E182" i="2"/>
  <c r="D182" i="2"/>
  <c r="C182" i="2"/>
  <c r="B182" i="2"/>
  <c r="N182" i="2"/>
  <c r="G182" i="2"/>
  <c r="F182" i="2"/>
  <c r="E33" i="2"/>
  <c r="D33" i="2"/>
  <c r="C33" i="2"/>
  <c r="N33" i="2"/>
  <c r="G33" i="2"/>
  <c r="F33" i="2"/>
  <c r="B33" i="2"/>
  <c r="D603" i="2"/>
  <c r="E603" i="2"/>
  <c r="G603" i="2"/>
  <c r="N603" i="2"/>
  <c r="F603" i="2"/>
  <c r="C603" i="2"/>
  <c r="B603" i="2"/>
  <c r="D586" i="2"/>
  <c r="G586" i="2"/>
  <c r="C586" i="2"/>
  <c r="B586" i="2"/>
  <c r="E586" i="2"/>
  <c r="F586" i="2"/>
  <c r="N586" i="2"/>
  <c r="D136" i="2"/>
  <c r="B136" i="2"/>
  <c r="N136" i="2"/>
  <c r="G136" i="2"/>
  <c r="F136" i="2"/>
  <c r="E136" i="2"/>
  <c r="C136" i="2"/>
  <c r="D576" i="2"/>
  <c r="B576" i="2"/>
  <c r="C576" i="2"/>
  <c r="N576" i="2"/>
  <c r="G576" i="2"/>
  <c r="F576" i="2"/>
  <c r="E576" i="2"/>
  <c r="E215" i="2"/>
  <c r="D215" i="2"/>
  <c r="C215" i="2"/>
  <c r="B215" i="2"/>
  <c r="N215" i="2"/>
  <c r="F215" i="2"/>
  <c r="G215" i="2"/>
  <c r="E188" i="2"/>
  <c r="D188" i="2"/>
  <c r="C188" i="2"/>
  <c r="B188" i="2"/>
  <c r="N188" i="2"/>
  <c r="G188" i="2"/>
  <c r="F188" i="2"/>
  <c r="D644" i="2"/>
  <c r="G644" i="2"/>
  <c r="B644" i="2"/>
  <c r="C644" i="2"/>
  <c r="F644" i="2"/>
  <c r="E644" i="2"/>
  <c r="N644" i="2"/>
  <c r="G427" i="2"/>
  <c r="B427" i="2"/>
  <c r="N427" i="2"/>
  <c r="F427" i="2"/>
  <c r="E427" i="2"/>
  <c r="D427" i="2"/>
  <c r="C427" i="2"/>
  <c r="G429" i="2"/>
  <c r="E429" i="2"/>
  <c r="D429" i="2"/>
  <c r="C429" i="2"/>
  <c r="B429" i="2"/>
  <c r="N429" i="2"/>
  <c r="F429" i="2"/>
  <c r="D624" i="2"/>
  <c r="B624" i="2"/>
  <c r="G624" i="2"/>
  <c r="F624" i="2"/>
  <c r="E624" i="2"/>
  <c r="C624" i="2"/>
  <c r="N624" i="2"/>
  <c r="F63" i="2"/>
  <c r="E63" i="2"/>
  <c r="D63" i="2"/>
  <c r="C63" i="2"/>
  <c r="B63" i="2"/>
  <c r="N63" i="2"/>
  <c r="G63" i="2"/>
  <c r="E170" i="2"/>
  <c r="D170" i="2"/>
  <c r="C170" i="2"/>
  <c r="B170" i="2"/>
  <c r="N170" i="2"/>
  <c r="G170" i="2"/>
  <c r="F170" i="2"/>
  <c r="D593" i="2"/>
  <c r="F593" i="2"/>
  <c r="E593" i="2"/>
  <c r="C593" i="2"/>
  <c r="N593" i="2"/>
  <c r="G593" i="2"/>
  <c r="B593" i="2"/>
  <c r="F98" i="2"/>
  <c r="E98" i="2"/>
  <c r="D98" i="2"/>
  <c r="C98" i="2"/>
  <c r="B98" i="2"/>
  <c r="N98" i="2"/>
  <c r="G98" i="2"/>
  <c r="D382" i="2"/>
  <c r="C382" i="2"/>
  <c r="N382" i="2"/>
  <c r="F382" i="2"/>
  <c r="E382" i="2"/>
  <c r="B382" i="2"/>
  <c r="G382" i="2"/>
  <c r="D634" i="2"/>
  <c r="G634" i="2"/>
  <c r="F634" i="2"/>
  <c r="B634" i="2"/>
  <c r="N634" i="2"/>
  <c r="E634" i="2"/>
  <c r="C634" i="2"/>
  <c r="F389" i="2"/>
  <c r="E389" i="2"/>
  <c r="B389" i="2"/>
  <c r="D389" i="2"/>
  <c r="C389" i="2"/>
  <c r="N389" i="2"/>
  <c r="G389" i="2"/>
  <c r="D591" i="2"/>
  <c r="E591" i="2"/>
  <c r="N591" i="2"/>
  <c r="G591" i="2"/>
  <c r="B591" i="2"/>
  <c r="F591" i="2"/>
  <c r="C591" i="2"/>
  <c r="F82" i="2"/>
  <c r="E82" i="2"/>
  <c r="D82" i="2"/>
  <c r="C82" i="2"/>
  <c r="B82" i="2"/>
  <c r="N82" i="2"/>
  <c r="G82" i="2"/>
  <c r="G417" i="2"/>
  <c r="E417" i="2"/>
  <c r="D417" i="2"/>
  <c r="C417" i="2"/>
  <c r="B417" i="2"/>
  <c r="N417" i="2"/>
  <c r="F417" i="2"/>
  <c r="B360" i="2"/>
  <c r="G360" i="2"/>
  <c r="F360" i="2"/>
  <c r="E360" i="2"/>
  <c r="D360" i="2"/>
  <c r="C360" i="2"/>
  <c r="N360" i="2"/>
  <c r="E56" i="2"/>
  <c r="D56" i="2"/>
  <c r="C56" i="2"/>
  <c r="B56" i="2"/>
  <c r="N56" i="2"/>
  <c r="G56" i="2"/>
  <c r="F56" i="2"/>
  <c r="D530" i="2"/>
  <c r="F530" i="2"/>
  <c r="E530" i="2"/>
  <c r="N530" i="2"/>
  <c r="B530" i="2"/>
  <c r="G530" i="2"/>
  <c r="C530" i="2"/>
  <c r="F81" i="2"/>
  <c r="E81" i="2"/>
  <c r="D81" i="2"/>
  <c r="C81" i="2"/>
  <c r="B81" i="2"/>
  <c r="N81" i="2"/>
  <c r="G81" i="2"/>
  <c r="N392" i="2"/>
  <c r="G392" i="2"/>
  <c r="F392" i="2"/>
  <c r="E392" i="2"/>
  <c r="D392" i="2"/>
  <c r="C392" i="2"/>
  <c r="B392" i="2"/>
  <c r="G296" i="2"/>
  <c r="D296" i="2"/>
  <c r="F296" i="2"/>
  <c r="E296" i="2"/>
  <c r="C296" i="2"/>
  <c r="B296" i="2"/>
  <c r="N296" i="2"/>
  <c r="D481" i="2"/>
  <c r="E481" i="2"/>
  <c r="C481" i="2"/>
  <c r="N481" i="2"/>
  <c r="B481" i="2"/>
  <c r="G481" i="2"/>
  <c r="F481" i="2"/>
  <c r="E183" i="2"/>
  <c r="D183" i="2"/>
  <c r="C183" i="2"/>
  <c r="B183" i="2"/>
  <c r="N183" i="2"/>
  <c r="G183" i="2"/>
  <c r="F183" i="2"/>
  <c r="F120" i="2"/>
  <c r="E120" i="2"/>
  <c r="D120" i="2"/>
  <c r="C120" i="2"/>
  <c r="B120" i="2"/>
  <c r="N120" i="2"/>
  <c r="G120" i="2"/>
  <c r="N358" i="2"/>
  <c r="C358" i="2"/>
  <c r="B358" i="2"/>
  <c r="G358" i="2"/>
  <c r="F358" i="2"/>
  <c r="E358" i="2"/>
  <c r="D358" i="2"/>
  <c r="C343" i="2"/>
  <c r="B343" i="2"/>
  <c r="N343" i="2"/>
  <c r="G343" i="2"/>
  <c r="F343" i="2"/>
  <c r="E343" i="2"/>
  <c r="D343" i="2"/>
  <c r="D497" i="2"/>
  <c r="E497" i="2"/>
  <c r="C497" i="2"/>
  <c r="F497" i="2"/>
  <c r="B497" i="2"/>
  <c r="N497" i="2"/>
  <c r="G497" i="2"/>
  <c r="D527" i="2"/>
  <c r="N527" i="2"/>
  <c r="B527" i="2"/>
  <c r="G527" i="2"/>
  <c r="F527" i="2"/>
  <c r="E527" i="2"/>
  <c r="C527" i="2"/>
  <c r="E154" i="2"/>
  <c r="D154" i="2"/>
  <c r="C154" i="2"/>
  <c r="B154" i="2"/>
  <c r="N154" i="2"/>
  <c r="G154" i="2"/>
  <c r="F154" i="2"/>
  <c r="G7" i="2"/>
  <c r="F7" i="2"/>
  <c r="E7" i="2"/>
  <c r="D7" i="2"/>
  <c r="C7" i="2"/>
  <c r="B7" i="2"/>
  <c r="N7" i="2"/>
  <c r="D556" i="2"/>
  <c r="E556" i="2"/>
  <c r="C556" i="2"/>
  <c r="F556" i="2"/>
  <c r="B556" i="2"/>
  <c r="N556" i="2"/>
  <c r="G556" i="2"/>
  <c r="E219" i="2"/>
  <c r="D219" i="2"/>
  <c r="C219" i="2"/>
  <c r="B219" i="2"/>
  <c r="N219" i="2"/>
  <c r="G219" i="2"/>
  <c r="F219" i="2"/>
  <c r="D598" i="2"/>
  <c r="G598" i="2"/>
  <c r="N598" i="2"/>
  <c r="C598" i="2"/>
  <c r="B598" i="2"/>
  <c r="F598" i="2"/>
  <c r="E598" i="2"/>
  <c r="E30" i="2"/>
  <c r="N30" i="2"/>
  <c r="B30" i="2"/>
  <c r="D30" i="2"/>
  <c r="G30" i="2"/>
  <c r="F30" i="2"/>
  <c r="C30" i="2"/>
  <c r="E201" i="2"/>
  <c r="D201" i="2"/>
  <c r="C201" i="2"/>
  <c r="B201" i="2"/>
  <c r="N201" i="2"/>
  <c r="F201" i="2"/>
  <c r="G201" i="2"/>
  <c r="F80" i="2"/>
  <c r="E80" i="2"/>
  <c r="D80" i="2"/>
  <c r="C80" i="2"/>
  <c r="B80" i="2"/>
  <c r="N80" i="2"/>
  <c r="G80" i="2"/>
  <c r="D525" i="2"/>
  <c r="E525" i="2"/>
  <c r="C525" i="2"/>
  <c r="G525" i="2"/>
  <c r="F525" i="2"/>
  <c r="B525" i="2"/>
  <c r="N525" i="2"/>
  <c r="F435" i="2"/>
  <c r="B435" i="2"/>
  <c r="G435" i="2"/>
  <c r="E435" i="2"/>
  <c r="D435" i="2"/>
  <c r="N435" i="2"/>
  <c r="C435" i="2"/>
  <c r="F9" i="2"/>
  <c r="E9" i="2"/>
  <c r="D9" i="2"/>
  <c r="C9" i="2"/>
  <c r="B9" i="2"/>
  <c r="N9" i="2"/>
  <c r="G9" i="2"/>
  <c r="D633" i="2"/>
  <c r="E633" i="2"/>
  <c r="C633" i="2"/>
  <c r="N633" i="2"/>
  <c r="G633" i="2"/>
  <c r="F633" i="2"/>
  <c r="B633" i="2"/>
  <c r="E198" i="2"/>
  <c r="D198" i="2"/>
  <c r="C198" i="2"/>
  <c r="B198" i="2"/>
  <c r="N198" i="2"/>
  <c r="G198" i="2"/>
  <c r="F198" i="2"/>
  <c r="D594" i="2"/>
  <c r="B594" i="2"/>
  <c r="F594" i="2"/>
  <c r="E594" i="2"/>
  <c r="C594" i="2"/>
  <c r="N594" i="2"/>
  <c r="G594" i="2"/>
  <c r="F71" i="2"/>
  <c r="E71" i="2"/>
  <c r="D71" i="2"/>
  <c r="C71" i="2"/>
  <c r="B71" i="2"/>
  <c r="N71" i="2"/>
  <c r="G71" i="2"/>
  <c r="F58" i="2"/>
  <c r="E58" i="2"/>
  <c r="D58" i="2"/>
  <c r="C58" i="2"/>
  <c r="B58" i="2"/>
  <c r="N58" i="2"/>
  <c r="G58" i="2"/>
  <c r="F109" i="2"/>
  <c r="E109" i="2"/>
  <c r="D109" i="2"/>
  <c r="C109" i="2"/>
  <c r="B109" i="2"/>
  <c r="N109" i="2"/>
  <c r="G109" i="2"/>
  <c r="F95" i="2"/>
  <c r="E95" i="2"/>
  <c r="D95" i="2"/>
  <c r="C95" i="2"/>
  <c r="B95" i="2"/>
  <c r="N95" i="2"/>
  <c r="G95" i="2"/>
  <c r="F460" i="2"/>
  <c r="E460" i="2"/>
  <c r="B460" i="2"/>
  <c r="N460" i="2"/>
  <c r="G460" i="2"/>
  <c r="D460" i="2"/>
  <c r="C460" i="2"/>
  <c r="D483" i="2"/>
  <c r="G483" i="2"/>
  <c r="F483" i="2"/>
  <c r="B483" i="2"/>
  <c r="N483" i="2"/>
  <c r="E483" i="2"/>
  <c r="C483" i="2"/>
  <c r="G402" i="2"/>
  <c r="E402" i="2"/>
  <c r="D402" i="2"/>
  <c r="C402" i="2"/>
  <c r="N402" i="2"/>
  <c r="B402" i="2"/>
  <c r="F402" i="2"/>
  <c r="E141" i="2"/>
  <c r="D141" i="2"/>
  <c r="B141" i="2"/>
  <c r="G141" i="2"/>
  <c r="F141" i="2"/>
  <c r="C141" i="2"/>
  <c r="N141" i="2"/>
  <c r="F66" i="2"/>
  <c r="E66" i="2"/>
  <c r="D66" i="2"/>
  <c r="C66" i="2"/>
  <c r="B66" i="2"/>
  <c r="N66" i="2"/>
  <c r="G66" i="2"/>
  <c r="D611" i="2"/>
  <c r="E611" i="2"/>
  <c r="C611" i="2"/>
  <c r="N611" i="2"/>
  <c r="G611" i="2"/>
  <c r="F611" i="2"/>
  <c r="B611" i="2"/>
  <c r="E362" i="2"/>
  <c r="D362" i="2"/>
  <c r="B362" i="2"/>
  <c r="N362" i="2"/>
  <c r="G362" i="2"/>
  <c r="F362" i="2"/>
  <c r="C362" i="2"/>
  <c r="F114" i="2"/>
  <c r="E114" i="2"/>
  <c r="D114" i="2"/>
  <c r="C114" i="2"/>
  <c r="B114" i="2"/>
  <c r="N114" i="2"/>
  <c r="G114" i="2"/>
  <c r="D132" i="2"/>
  <c r="B132" i="2"/>
  <c r="N132" i="2"/>
  <c r="F132" i="2"/>
  <c r="E132" i="2"/>
  <c r="C132" i="2"/>
  <c r="G132" i="2"/>
  <c r="F397" i="2"/>
  <c r="E397" i="2"/>
  <c r="N397" i="2"/>
  <c r="G397" i="2"/>
  <c r="D397" i="2"/>
  <c r="C397" i="2"/>
  <c r="B397" i="2"/>
  <c r="D607" i="2"/>
  <c r="E607" i="2"/>
  <c r="F607" i="2"/>
  <c r="C607" i="2"/>
  <c r="B607" i="2"/>
  <c r="N607" i="2"/>
  <c r="G607" i="2"/>
  <c r="E155" i="2"/>
  <c r="D155" i="2"/>
  <c r="C155" i="2"/>
  <c r="B155" i="2"/>
  <c r="N155" i="2"/>
  <c r="F155" i="2"/>
  <c r="G155" i="2"/>
  <c r="D569" i="2"/>
  <c r="E569" i="2"/>
  <c r="C569" i="2"/>
  <c r="N569" i="2"/>
  <c r="B569" i="2"/>
  <c r="F569" i="2"/>
  <c r="G569" i="2"/>
  <c r="G257" i="2"/>
  <c r="E257" i="2"/>
  <c r="N257" i="2"/>
  <c r="F257" i="2"/>
  <c r="D257" i="2"/>
  <c r="C257" i="2"/>
  <c r="B257" i="2"/>
  <c r="G239" i="2"/>
  <c r="E239" i="2"/>
  <c r="N239" i="2"/>
  <c r="F239" i="2"/>
  <c r="D239" i="2"/>
  <c r="C239" i="2"/>
  <c r="B239" i="2"/>
  <c r="G250" i="2"/>
  <c r="E250" i="2"/>
  <c r="F250" i="2"/>
  <c r="D250" i="2"/>
  <c r="C250" i="2"/>
  <c r="B250" i="2"/>
  <c r="N250" i="2"/>
  <c r="F346" i="2"/>
  <c r="E346" i="2"/>
  <c r="D346" i="2"/>
  <c r="C346" i="2"/>
  <c r="B346" i="2"/>
  <c r="N346" i="2"/>
  <c r="G346" i="2"/>
  <c r="D544" i="2"/>
  <c r="G544" i="2"/>
  <c r="F544" i="2"/>
  <c r="B544" i="2"/>
  <c r="E544" i="2"/>
  <c r="N544" i="2"/>
  <c r="C544" i="2"/>
  <c r="G251" i="2"/>
  <c r="E251" i="2"/>
  <c r="N251" i="2"/>
  <c r="F251" i="2"/>
  <c r="D251" i="2"/>
  <c r="C251" i="2"/>
  <c r="B251" i="2"/>
  <c r="D495" i="2"/>
  <c r="G495" i="2"/>
  <c r="F495" i="2"/>
  <c r="B495" i="2"/>
  <c r="N495" i="2"/>
  <c r="E495" i="2"/>
  <c r="C495" i="2"/>
  <c r="G232" i="2"/>
  <c r="E232" i="2"/>
  <c r="F232" i="2"/>
  <c r="D232" i="2"/>
  <c r="C232" i="2"/>
  <c r="B232" i="2"/>
  <c r="N232" i="2"/>
  <c r="D531" i="2"/>
  <c r="G531" i="2"/>
  <c r="F531" i="2"/>
  <c r="N531" i="2"/>
  <c r="E531" i="2"/>
  <c r="C531" i="2"/>
  <c r="B531" i="2"/>
  <c r="D477" i="2"/>
  <c r="N477" i="2"/>
  <c r="E477" i="2"/>
  <c r="C477" i="2"/>
  <c r="G477" i="2"/>
  <c r="F477" i="2"/>
  <c r="B477" i="2"/>
  <c r="D563" i="2"/>
  <c r="E563" i="2"/>
  <c r="G563" i="2"/>
  <c r="F563" i="2"/>
  <c r="N563" i="2"/>
  <c r="C563" i="2"/>
  <c r="B563" i="2"/>
  <c r="N368" i="2"/>
  <c r="G368" i="2"/>
  <c r="F368" i="2"/>
  <c r="D368" i="2"/>
  <c r="C368" i="2"/>
  <c r="B368" i="2"/>
  <c r="E368" i="2"/>
  <c r="F363" i="2"/>
  <c r="E363" i="2"/>
  <c r="B363" i="2"/>
  <c r="G363" i="2"/>
  <c r="D363" i="2"/>
  <c r="C363" i="2"/>
  <c r="N363" i="2"/>
  <c r="E203" i="2"/>
  <c r="D203" i="2"/>
  <c r="C203" i="2"/>
  <c r="B203" i="2"/>
  <c r="N203" i="2"/>
  <c r="G203" i="2"/>
  <c r="F203" i="2"/>
  <c r="D623" i="2"/>
  <c r="C623" i="2"/>
  <c r="N623" i="2"/>
  <c r="G623" i="2"/>
  <c r="F623" i="2"/>
  <c r="E623" i="2"/>
  <c r="B623" i="2"/>
  <c r="D652" i="2"/>
  <c r="G652" i="2"/>
  <c r="F652" i="2"/>
  <c r="E652" i="2"/>
  <c r="N652" i="2"/>
  <c r="B652" i="2"/>
  <c r="C652" i="2"/>
  <c r="E197" i="2"/>
  <c r="D197" i="2"/>
  <c r="C197" i="2"/>
  <c r="B197" i="2"/>
  <c r="N197" i="2"/>
  <c r="G197" i="2"/>
  <c r="F197" i="2"/>
  <c r="E191" i="2"/>
  <c r="D191" i="2"/>
  <c r="C191" i="2"/>
  <c r="B191" i="2"/>
  <c r="N191" i="2"/>
  <c r="G191" i="2"/>
  <c r="F191" i="2"/>
  <c r="D487" i="2"/>
  <c r="G487" i="2"/>
  <c r="C487" i="2"/>
  <c r="B487" i="2"/>
  <c r="N487" i="2"/>
  <c r="F487" i="2"/>
  <c r="E487" i="2"/>
  <c r="E53" i="2"/>
  <c r="D53" i="2"/>
  <c r="C53" i="2"/>
  <c r="B53" i="2"/>
  <c r="N53" i="2"/>
  <c r="G53" i="2"/>
  <c r="F53" i="2"/>
  <c r="E41" i="2"/>
  <c r="D41" i="2"/>
  <c r="C41" i="2"/>
  <c r="B41" i="2"/>
  <c r="N41" i="2"/>
  <c r="G41" i="2"/>
  <c r="F41" i="2"/>
  <c r="N28" i="2"/>
  <c r="E28" i="2" s="1"/>
  <c r="G28" i="2"/>
  <c r="F28" i="2"/>
  <c r="D28" i="2"/>
  <c r="C28" i="2"/>
  <c r="B28" i="2"/>
  <c r="E169" i="2"/>
  <c r="D169" i="2"/>
  <c r="C169" i="2"/>
  <c r="B169" i="2"/>
  <c r="N169" i="2"/>
  <c r="F169" i="2"/>
  <c r="G169" i="2"/>
  <c r="D505" i="2"/>
  <c r="E505" i="2"/>
  <c r="C505" i="2"/>
  <c r="N505" i="2"/>
  <c r="B505" i="2"/>
  <c r="G505" i="2"/>
  <c r="F505" i="2"/>
  <c r="D632" i="2"/>
  <c r="G632" i="2"/>
  <c r="B632" i="2"/>
  <c r="E632" i="2"/>
  <c r="F632" i="2"/>
  <c r="C632" i="2"/>
  <c r="N632" i="2"/>
  <c r="F115" i="2"/>
  <c r="E115" i="2"/>
  <c r="D115" i="2"/>
  <c r="C115" i="2"/>
  <c r="B115" i="2"/>
  <c r="N115" i="2"/>
  <c r="G115" i="2"/>
  <c r="D651" i="2"/>
  <c r="E651" i="2"/>
  <c r="N651" i="2"/>
  <c r="G651" i="2"/>
  <c r="B651" i="2"/>
  <c r="F651" i="2"/>
  <c r="C651" i="2"/>
  <c r="D478" i="2"/>
  <c r="N478" i="2"/>
  <c r="E478" i="2"/>
  <c r="C478" i="2"/>
  <c r="B478" i="2"/>
  <c r="G478" i="2"/>
  <c r="F478" i="2"/>
  <c r="G322" i="2"/>
  <c r="F322" i="2"/>
  <c r="D322" i="2"/>
  <c r="B322" i="2"/>
  <c r="N322" i="2"/>
  <c r="E322" i="2"/>
  <c r="C322" i="2"/>
  <c r="E193" i="2"/>
  <c r="D193" i="2"/>
  <c r="C193" i="2"/>
  <c r="B193" i="2"/>
  <c r="N193" i="2"/>
  <c r="F193" i="2"/>
  <c r="G193" i="2"/>
  <c r="F572" i="2"/>
  <c r="D572" i="2"/>
  <c r="N572" i="2"/>
  <c r="E572" i="2"/>
  <c r="C572" i="2"/>
  <c r="G572" i="2"/>
  <c r="B572" i="2"/>
  <c r="D562" i="2"/>
  <c r="C562" i="2"/>
  <c r="E562" i="2"/>
  <c r="B562" i="2"/>
  <c r="N562" i="2"/>
  <c r="G562" i="2"/>
  <c r="F562" i="2"/>
  <c r="F438" i="2"/>
  <c r="B438" i="2"/>
  <c r="N438" i="2"/>
  <c r="G438" i="2"/>
  <c r="E438" i="2"/>
  <c r="C438" i="2"/>
  <c r="D438" i="2"/>
  <c r="F99" i="2"/>
  <c r="E99" i="2"/>
  <c r="D99" i="2"/>
  <c r="C99" i="2"/>
  <c r="B99" i="2"/>
  <c r="N99" i="2"/>
  <c r="G99" i="2"/>
  <c r="G409" i="2"/>
  <c r="F409" i="2"/>
  <c r="E409" i="2"/>
  <c r="D409" i="2"/>
  <c r="N409" i="2"/>
  <c r="C409" i="2"/>
  <c r="B409" i="2"/>
  <c r="E571" i="2"/>
  <c r="F571" i="2"/>
  <c r="D571" i="2"/>
  <c r="N571" i="2"/>
  <c r="B571" i="2"/>
  <c r="G571" i="2"/>
  <c r="C571" i="2"/>
  <c r="E208" i="2"/>
  <c r="D208" i="2"/>
  <c r="C208" i="2"/>
  <c r="B208" i="2"/>
  <c r="N208" i="2"/>
  <c r="G208" i="2"/>
  <c r="F208" i="2"/>
  <c r="F464" i="2"/>
  <c r="E464" i="2"/>
  <c r="B464" i="2"/>
  <c r="N464" i="2"/>
  <c r="G464" i="2"/>
  <c r="C464" i="2"/>
  <c r="D464" i="2"/>
  <c r="D492" i="2"/>
  <c r="C492" i="2"/>
  <c r="B492" i="2"/>
  <c r="N492" i="2"/>
  <c r="G492" i="2"/>
  <c r="F492" i="2"/>
  <c r="E492" i="2"/>
  <c r="E146" i="2"/>
  <c r="D146" i="2"/>
  <c r="B146" i="2"/>
  <c r="N146" i="2"/>
  <c r="G146" i="2"/>
  <c r="F146" i="2"/>
  <c r="C146" i="2"/>
  <c r="F68" i="2"/>
  <c r="E68" i="2"/>
  <c r="D68" i="2"/>
  <c r="C68" i="2"/>
  <c r="B68" i="2"/>
  <c r="N68" i="2"/>
  <c r="G68" i="2"/>
  <c r="G302" i="2"/>
  <c r="F302" i="2"/>
  <c r="D302" i="2"/>
  <c r="B302" i="2"/>
  <c r="N302" i="2"/>
  <c r="E302" i="2"/>
  <c r="C302" i="2"/>
  <c r="G305" i="2"/>
  <c r="F305" i="2"/>
  <c r="D305" i="2"/>
  <c r="B305" i="2"/>
  <c r="N305" i="2"/>
  <c r="E305" i="2"/>
  <c r="C305" i="2"/>
  <c r="D565" i="2"/>
  <c r="G565" i="2"/>
  <c r="F565" i="2"/>
  <c r="N565" i="2"/>
  <c r="E565" i="2"/>
  <c r="B565" i="2"/>
  <c r="C565" i="2"/>
  <c r="D508" i="2"/>
  <c r="G508" i="2"/>
  <c r="C508" i="2"/>
  <c r="B508" i="2"/>
  <c r="F508" i="2"/>
  <c r="E508" i="2"/>
  <c r="N508" i="2"/>
  <c r="F456" i="2"/>
  <c r="B456" i="2"/>
  <c r="N456" i="2"/>
  <c r="G456" i="2"/>
  <c r="C456" i="2"/>
  <c r="D456" i="2"/>
  <c r="E456" i="2"/>
  <c r="G365" i="2"/>
  <c r="D365" i="2"/>
  <c r="N365" i="2"/>
  <c r="E365" i="2"/>
  <c r="C365" i="2"/>
  <c r="B365" i="2"/>
  <c r="F365" i="2"/>
  <c r="E138" i="2"/>
  <c r="D138" i="2"/>
  <c r="B138" i="2"/>
  <c r="G138" i="2"/>
  <c r="F138" i="2"/>
  <c r="C138" i="2"/>
  <c r="N138" i="2"/>
  <c r="F64" i="2"/>
  <c r="E64" i="2"/>
  <c r="D64" i="2"/>
  <c r="C64" i="2"/>
  <c r="B64" i="2"/>
  <c r="N64" i="2"/>
  <c r="G64" i="2"/>
  <c r="F73" i="2"/>
  <c r="E73" i="2"/>
  <c r="D73" i="2"/>
  <c r="C73" i="2"/>
  <c r="B73" i="2"/>
  <c r="N73" i="2"/>
  <c r="G73" i="2"/>
  <c r="E166" i="2"/>
  <c r="D166" i="2"/>
  <c r="C166" i="2"/>
  <c r="B166" i="2"/>
  <c r="N166" i="2"/>
  <c r="G166" i="2"/>
  <c r="F166" i="2"/>
  <c r="E165" i="2"/>
  <c r="D165" i="2"/>
  <c r="C165" i="2"/>
  <c r="B165" i="2"/>
  <c r="N165" i="2"/>
  <c r="F165" i="2"/>
  <c r="G165" i="2"/>
  <c r="F116" i="2"/>
  <c r="E116" i="2"/>
  <c r="D116" i="2"/>
  <c r="C116" i="2"/>
  <c r="B116" i="2"/>
  <c r="N116" i="2"/>
  <c r="G116" i="2"/>
  <c r="D498" i="2"/>
  <c r="F498" i="2"/>
  <c r="E498" i="2"/>
  <c r="N498" i="2"/>
  <c r="G498" i="2"/>
  <c r="C498" i="2"/>
  <c r="B498" i="2"/>
  <c r="G327" i="2"/>
  <c r="F327" i="2"/>
  <c r="N327" i="2"/>
  <c r="E327" i="2"/>
  <c r="D327" i="2"/>
  <c r="C327" i="2"/>
  <c r="B327" i="2"/>
  <c r="G280" i="2"/>
  <c r="F280" i="2"/>
  <c r="E280" i="2"/>
  <c r="D280" i="2"/>
  <c r="B280" i="2"/>
  <c r="C280" i="2"/>
  <c r="N280" i="2"/>
  <c r="F228" i="2"/>
  <c r="E228" i="2"/>
  <c r="D228" i="2"/>
  <c r="C228" i="2"/>
  <c r="B228" i="2"/>
  <c r="N228" i="2"/>
  <c r="G228" i="2"/>
  <c r="N329" i="2"/>
  <c r="G329" i="2"/>
  <c r="F329" i="2"/>
  <c r="E329" i="2"/>
  <c r="D329" i="2"/>
  <c r="C329" i="2"/>
  <c r="B329" i="2"/>
  <c r="D494" i="2"/>
  <c r="F494" i="2"/>
  <c r="E494" i="2"/>
  <c r="N494" i="2"/>
  <c r="C494" i="2"/>
  <c r="B494" i="2"/>
  <c r="G494" i="2"/>
  <c r="D554" i="2"/>
  <c r="N554" i="2"/>
  <c r="E554" i="2"/>
  <c r="C554" i="2"/>
  <c r="B554" i="2"/>
  <c r="F554" i="2"/>
  <c r="G554" i="2"/>
  <c r="D484" i="2"/>
  <c r="G484" i="2"/>
  <c r="C484" i="2"/>
  <c r="F484" i="2"/>
  <c r="E484" i="2"/>
  <c r="B484" i="2"/>
  <c r="N484" i="2"/>
  <c r="G247" i="2"/>
  <c r="E247" i="2"/>
  <c r="F247" i="2"/>
  <c r="D247" i="2"/>
  <c r="C247" i="2"/>
  <c r="B247" i="2"/>
  <c r="N247" i="2"/>
  <c r="F459" i="2"/>
  <c r="E459" i="2"/>
  <c r="B459" i="2"/>
  <c r="D459" i="2"/>
  <c r="C459" i="2"/>
  <c r="G459" i="2"/>
  <c r="N459" i="2"/>
  <c r="G241" i="2"/>
  <c r="E241" i="2"/>
  <c r="F241" i="2"/>
  <c r="D241" i="2"/>
  <c r="C241" i="2"/>
  <c r="B241" i="2"/>
  <c r="N241" i="2"/>
  <c r="G244" i="2"/>
  <c r="E244" i="2"/>
  <c r="F244" i="2"/>
  <c r="D244" i="2"/>
  <c r="C244" i="2"/>
  <c r="B244" i="2"/>
  <c r="N244" i="2"/>
  <c r="E231" i="2"/>
  <c r="B231" i="2"/>
  <c r="N231" i="2"/>
  <c r="G231" i="2"/>
  <c r="F231" i="2"/>
  <c r="D231" i="2"/>
  <c r="C231" i="2"/>
  <c r="H41" i="1"/>
  <c r="G41" i="1"/>
  <c r="F444" i="2"/>
  <c r="B444" i="2"/>
  <c r="N444" i="2"/>
  <c r="G444" i="2"/>
  <c r="D444" i="2"/>
  <c r="C444" i="2"/>
  <c r="E444" i="2"/>
  <c r="E186" i="2"/>
  <c r="D186" i="2"/>
  <c r="C186" i="2"/>
  <c r="B186" i="2"/>
  <c r="N186" i="2"/>
  <c r="G186" i="2"/>
  <c r="F186" i="2"/>
  <c r="E207" i="2"/>
  <c r="D207" i="2"/>
  <c r="C207" i="2"/>
  <c r="B207" i="2"/>
  <c r="N207" i="2"/>
  <c r="G207" i="2"/>
  <c r="F207" i="2"/>
  <c r="E57" i="2"/>
  <c r="D57" i="2"/>
  <c r="C57" i="2"/>
  <c r="B57" i="2"/>
  <c r="N57" i="2"/>
  <c r="G57" i="2"/>
  <c r="F57" i="2"/>
  <c r="E42" i="2"/>
  <c r="D42" i="2"/>
  <c r="C42" i="2"/>
  <c r="B42" i="2"/>
  <c r="N42" i="2"/>
  <c r="F42" i="2"/>
  <c r="G42" i="2"/>
  <c r="E151" i="2"/>
  <c r="D151" i="2"/>
  <c r="C151" i="2"/>
  <c r="B151" i="2"/>
  <c r="N151" i="2"/>
  <c r="G151" i="2"/>
  <c r="F151" i="2"/>
  <c r="D293" i="2"/>
  <c r="C293" i="2"/>
  <c r="B293" i="2"/>
  <c r="N293" i="2"/>
  <c r="E293" i="2"/>
  <c r="G293" i="2"/>
  <c r="F293" i="2"/>
  <c r="D568" i="2"/>
  <c r="B568" i="2"/>
  <c r="N568" i="2"/>
  <c r="G568" i="2"/>
  <c r="F568" i="2"/>
  <c r="C568" i="2"/>
  <c r="E568" i="2"/>
  <c r="B330" i="2"/>
  <c r="N330" i="2"/>
  <c r="G330" i="2"/>
  <c r="F330" i="2"/>
  <c r="E330" i="2"/>
  <c r="D330" i="2"/>
  <c r="C330" i="2"/>
  <c r="F467" i="2"/>
  <c r="E467" i="2"/>
  <c r="B467" i="2"/>
  <c r="D467" i="2"/>
  <c r="C467" i="2"/>
  <c r="N467" i="2"/>
  <c r="G467" i="2"/>
  <c r="G282" i="2"/>
  <c r="F282" i="2"/>
  <c r="E282" i="2"/>
  <c r="D282" i="2"/>
  <c r="B282" i="2"/>
  <c r="N282" i="2"/>
  <c r="C282" i="2"/>
  <c r="D473" i="2"/>
  <c r="E473" i="2"/>
  <c r="B473" i="2"/>
  <c r="N473" i="2"/>
  <c r="G473" i="2"/>
  <c r="F473" i="2"/>
  <c r="C473" i="2"/>
  <c r="G573" i="2"/>
  <c r="D573" i="2"/>
  <c r="C573" i="2"/>
  <c r="B573" i="2"/>
  <c r="N573" i="2"/>
  <c r="F573" i="2"/>
  <c r="E573" i="2"/>
  <c r="D553" i="2"/>
  <c r="G553" i="2"/>
  <c r="N553" i="2"/>
  <c r="C553" i="2"/>
  <c r="B553" i="2"/>
  <c r="F553" i="2"/>
  <c r="E553" i="2"/>
  <c r="N404" i="2"/>
  <c r="G404" i="2"/>
  <c r="F404" i="2"/>
  <c r="E404" i="2"/>
  <c r="D404" i="2"/>
  <c r="C404" i="2"/>
  <c r="B404" i="2"/>
  <c r="N386" i="2"/>
  <c r="G386" i="2"/>
  <c r="F386" i="2"/>
  <c r="E386" i="2"/>
  <c r="D386" i="2"/>
  <c r="C386" i="2"/>
  <c r="B386" i="2"/>
  <c r="E216" i="2"/>
  <c r="D216" i="2"/>
  <c r="C216" i="2"/>
  <c r="B216" i="2"/>
  <c r="N216" i="2"/>
  <c r="G216" i="2"/>
  <c r="F216" i="2"/>
  <c r="F78" i="2"/>
  <c r="E78" i="2"/>
  <c r="D78" i="2"/>
  <c r="C78" i="2"/>
  <c r="B78" i="2"/>
  <c r="N78" i="2"/>
  <c r="G78" i="2"/>
  <c r="B405" i="2"/>
  <c r="N405" i="2"/>
  <c r="F405" i="2"/>
  <c r="E405" i="2"/>
  <c r="D405" i="2"/>
  <c r="C405" i="2"/>
  <c r="G405" i="2"/>
  <c r="E202" i="2"/>
  <c r="D202" i="2"/>
  <c r="C202" i="2"/>
  <c r="B202" i="2"/>
  <c r="N202" i="2"/>
  <c r="G202" i="2"/>
  <c r="F202" i="2"/>
  <c r="F93" i="2"/>
  <c r="E93" i="2"/>
  <c r="D93" i="2"/>
  <c r="C93" i="2"/>
  <c r="B93" i="2"/>
  <c r="N93" i="2"/>
  <c r="G93" i="2"/>
  <c r="F104" i="2"/>
  <c r="E104" i="2"/>
  <c r="D104" i="2"/>
  <c r="C104" i="2"/>
  <c r="B104" i="2"/>
  <c r="N104" i="2"/>
  <c r="G104" i="2"/>
  <c r="F461" i="2"/>
  <c r="E461" i="2"/>
  <c r="B461" i="2"/>
  <c r="N461" i="2"/>
  <c r="G461" i="2"/>
  <c r="D461" i="2"/>
  <c r="C461" i="2"/>
  <c r="G420" i="2"/>
  <c r="E420" i="2"/>
  <c r="D420" i="2"/>
  <c r="B420" i="2"/>
  <c r="N420" i="2"/>
  <c r="F420" i="2"/>
  <c r="C420" i="2"/>
  <c r="D295" i="2"/>
  <c r="F295" i="2"/>
  <c r="E295" i="2"/>
  <c r="C295" i="2"/>
  <c r="B295" i="2"/>
  <c r="N295" i="2"/>
  <c r="G295" i="2"/>
  <c r="D592" i="2"/>
  <c r="G592" i="2"/>
  <c r="N592" i="2"/>
  <c r="F592" i="2"/>
  <c r="B592" i="2"/>
  <c r="E592" i="2"/>
  <c r="C592" i="2"/>
  <c r="D493" i="2"/>
  <c r="E493" i="2"/>
  <c r="C493" i="2"/>
  <c r="N493" i="2"/>
  <c r="B493" i="2"/>
  <c r="G493" i="2"/>
  <c r="F493" i="2"/>
  <c r="G416" i="2"/>
  <c r="E416" i="2"/>
  <c r="D416" i="2"/>
  <c r="B416" i="2"/>
  <c r="N416" i="2"/>
  <c r="F416" i="2"/>
  <c r="C416" i="2"/>
  <c r="G310" i="2"/>
  <c r="F310" i="2"/>
  <c r="D310" i="2"/>
  <c r="B310" i="2"/>
  <c r="N310" i="2"/>
  <c r="E310" i="2"/>
  <c r="C310" i="2"/>
  <c r="F117" i="2"/>
  <c r="E117" i="2"/>
  <c r="D117" i="2"/>
  <c r="C117" i="2"/>
  <c r="B117" i="2"/>
  <c r="N117" i="2"/>
  <c r="G117" i="2"/>
  <c r="E147" i="2"/>
  <c r="D147" i="2"/>
  <c r="B147" i="2"/>
  <c r="N147" i="2"/>
  <c r="G147" i="2"/>
  <c r="F147" i="2"/>
  <c r="C147" i="2"/>
  <c r="G320" i="2"/>
  <c r="F320" i="2"/>
  <c r="D320" i="2"/>
  <c r="B320" i="2"/>
  <c r="N320" i="2"/>
  <c r="E320" i="2"/>
  <c r="C320" i="2"/>
  <c r="E177" i="2"/>
  <c r="D177" i="2"/>
  <c r="C177" i="2"/>
  <c r="B177" i="2"/>
  <c r="N177" i="2"/>
  <c r="G177" i="2"/>
  <c r="F177" i="2"/>
  <c r="D589" i="2"/>
  <c r="E589" i="2"/>
  <c r="B589" i="2"/>
  <c r="N589" i="2"/>
  <c r="F589" i="2"/>
  <c r="C589" i="2"/>
  <c r="G589" i="2"/>
  <c r="D629" i="2"/>
  <c r="F629" i="2"/>
  <c r="G629" i="2"/>
  <c r="E629" i="2"/>
  <c r="N629" i="2"/>
  <c r="C629" i="2"/>
  <c r="B629" i="2"/>
  <c r="D631" i="2"/>
  <c r="E631" i="2"/>
  <c r="C631" i="2"/>
  <c r="B631" i="2"/>
  <c r="F631" i="2"/>
  <c r="N631" i="2"/>
  <c r="G631" i="2"/>
  <c r="F462" i="2"/>
  <c r="E462" i="2"/>
  <c r="B462" i="2"/>
  <c r="G462" i="2"/>
  <c r="D462" i="2"/>
  <c r="N462" i="2"/>
  <c r="C462" i="2"/>
  <c r="D361" i="2"/>
  <c r="C361" i="2"/>
  <c r="N361" i="2"/>
  <c r="G361" i="2"/>
  <c r="F361" i="2"/>
  <c r="E361" i="2"/>
  <c r="B361" i="2"/>
  <c r="G390" i="2"/>
  <c r="D390" i="2"/>
  <c r="C390" i="2"/>
  <c r="N390" i="2"/>
  <c r="F390" i="2"/>
  <c r="E390" i="2"/>
  <c r="B390" i="2"/>
  <c r="G307" i="2"/>
  <c r="F307" i="2"/>
  <c r="D307" i="2"/>
  <c r="B307" i="2"/>
  <c r="N307" i="2"/>
  <c r="E307" i="2"/>
  <c r="C307" i="2"/>
  <c r="F112" i="2"/>
  <c r="E112" i="2"/>
  <c r="D112" i="2"/>
  <c r="C112" i="2"/>
  <c r="B112" i="2"/>
  <c r="N112" i="2"/>
  <c r="G112" i="2"/>
  <c r="E149" i="2"/>
  <c r="D149" i="2"/>
  <c r="B149" i="2"/>
  <c r="N149" i="2"/>
  <c r="G149" i="2"/>
  <c r="F149" i="2"/>
  <c r="C149" i="2"/>
  <c r="G314" i="2"/>
  <c r="F314" i="2"/>
  <c r="D314" i="2"/>
  <c r="B314" i="2"/>
  <c r="N314" i="2"/>
  <c r="E314" i="2"/>
  <c r="C314" i="2"/>
  <c r="D645" i="2"/>
  <c r="E645" i="2"/>
  <c r="C645" i="2"/>
  <c r="F645" i="2"/>
  <c r="B645" i="2"/>
  <c r="N645" i="2"/>
  <c r="G645" i="2"/>
  <c r="F75" i="2"/>
  <c r="E75" i="2"/>
  <c r="D75" i="2"/>
  <c r="C75" i="2"/>
  <c r="B75" i="2"/>
  <c r="N75" i="2"/>
  <c r="G75" i="2"/>
  <c r="D584" i="2"/>
  <c r="G584" i="2"/>
  <c r="B584" i="2"/>
  <c r="E584" i="2"/>
  <c r="F584" i="2"/>
  <c r="C584" i="2"/>
  <c r="N584" i="2"/>
  <c r="D621" i="2"/>
  <c r="E621" i="2"/>
  <c r="C621" i="2"/>
  <c r="B621" i="2"/>
  <c r="N621" i="2"/>
  <c r="G621" i="2"/>
  <c r="F621" i="2"/>
  <c r="D294" i="2"/>
  <c r="E294" i="2"/>
  <c r="C294" i="2"/>
  <c r="B294" i="2"/>
  <c r="N294" i="2"/>
  <c r="G294" i="2"/>
  <c r="F294" i="2"/>
  <c r="D620" i="2"/>
  <c r="G620" i="2"/>
  <c r="B620" i="2"/>
  <c r="E620" i="2"/>
  <c r="N620" i="2"/>
  <c r="F620" i="2"/>
  <c r="C620" i="2"/>
  <c r="F101" i="2"/>
  <c r="E101" i="2"/>
  <c r="D101" i="2"/>
  <c r="C101" i="2"/>
  <c r="B101" i="2"/>
  <c r="N101" i="2"/>
  <c r="G101" i="2"/>
  <c r="D514" i="2"/>
  <c r="N514" i="2"/>
  <c r="G514" i="2"/>
  <c r="F514" i="2"/>
  <c r="B514" i="2"/>
  <c r="E514" i="2"/>
  <c r="C514" i="2"/>
  <c r="F383" i="2"/>
  <c r="E383" i="2"/>
  <c r="B383" i="2"/>
  <c r="N383" i="2"/>
  <c r="G383" i="2"/>
  <c r="D383" i="2"/>
  <c r="C383" i="2"/>
  <c r="B369" i="2"/>
  <c r="D369" i="2"/>
  <c r="C369" i="2"/>
  <c r="N369" i="2"/>
  <c r="G369" i="2"/>
  <c r="F369" i="2"/>
  <c r="E369" i="2"/>
  <c r="D534" i="2"/>
  <c r="N534" i="2"/>
  <c r="B534" i="2"/>
  <c r="C534" i="2"/>
  <c r="G534" i="2"/>
  <c r="F534" i="2"/>
  <c r="E534" i="2"/>
  <c r="E366" i="2"/>
  <c r="D366" i="2"/>
  <c r="C366" i="2"/>
  <c r="B366" i="2"/>
  <c r="N366" i="2"/>
  <c r="G366" i="2"/>
  <c r="F366" i="2"/>
  <c r="G378" i="2"/>
  <c r="D378" i="2"/>
  <c r="C378" i="2"/>
  <c r="N378" i="2"/>
  <c r="F378" i="2"/>
  <c r="E378" i="2"/>
  <c r="B378" i="2"/>
  <c r="G304" i="2"/>
  <c r="F304" i="2"/>
  <c r="D304" i="2"/>
  <c r="B304" i="2"/>
  <c r="N304" i="2"/>
  <c r="E304" i="2"/>
  <c r="C304" i="2"/>
  <c r="F77" i="2"/>
  <c r="E77" i="2"/>
  <c r="D77" i="2"/>
  <c r="C77" i="2"/>
  <c r="B77" i="2"/>
  <c r="N77" i="2"/>
  <c r="G77" i="2"/>
  <c r="E199" i="2"/>
  <c r="D199" i="2"/>
  <c r="C199" i="2"/>
  <c r="B199" i="2"/>
  <c r="N199" i="2"/>
  <c r="G199" i="2"/>
  <c r="F199" i="2"/>
  <c r="D608" i="2"/>
  <c r="G608" i="2"/>
  <c r="B608" i="2"/>
  <c r="N608" i="2"/>
  <c r="F608" i="2"/>
  <c r="E608" i="2"/>
  <c r="C608" i="2"/>
  <c r="F65" i="2"/>
  <c r="E65" i="2"/>
  <c r="D65" i="2"/>
  <c r="C65" i="2"/>
  <c r="B65" i="2"/>
  <c r="N65" i="2"/>
  <c r="G65" i="2"/>
  <c r="E137" i="2"/>
  <c r="D137" i="2"/>
  <c r="B137" i="2"/>
  <c r="G137" i="2"/>
  <c r="F137" i="2"/>
  <c r="C137" i="2"/>
  <c r="N137" i="2"/>
  <c r="E196" i="2"/>
  <c r="D196" i="2"/>
  <c r="C196" i="2"/>
  <c r="B196" i="2"/>
  <c r="N196" i="2"/>
  <c r="G196" i="2"/>
  <c r="F196" i="2"/>
  <c r="D291" i="2"/>
  <c r="N291" i="2"/>
  <c r="G291" i="2"/>
  <c r="F291" i="2"/>
  <c r="E291" i="2"/>
  <c r="C291" i="2"/>
  <c r="B291" i="2"/>
  <c r="B125" i="2"/>
  <c r="G125" i="2"/>
  <c r="F125" i="2"/>
  <c r="E125" i="2"/>
  <c r="D125" i="2"/>
  <c r="C125" i="2"/>
  <c r="N125" i="2"/>
  <c r="E35" i="2"/>
  <c r="D35" i="2"/>
  <c r="C35" i="2"/>
  <c r="N35" i="2"/>
  <c r="G35" i="2"/>
  <c r="F35" i="2"/>
  <c r="B35" i="2"/>
  <c r="F110" i="2"/>
  <c r="E110" i="2"/>
  <c r="D110" i="2"/>
  <c r="C110" i="2"/>
  <c r="B110" i="2"/>
  <c r="N110" i="2"/>
  <c r="G110" i="2"/>
  <c r="E185" i="2"/>
  <c r="D185" i="2"/>
  <c r="C185" i="2"/>
  <c r="B185" i="2"/>
  <c r="N185" i="2"/>
  <c r="G185" i="2"/>
  <c r="F185" i="2"/>
  <c r="F96" i="2"/>
  <c r="E96" i="2"/>
  <c r="D96" i="2"/>
  <c r="C96" i="2"/>
  <c r="B96" i="2"/>
  <c r="N96" i="2"/>
  <c r="G96" i="2"/>
  <c r="E220" i="2"/>
  <c r="D220" i="2"/>
  <c r="C220" i="2"/>
  <c r="B220" i="2"/>
  <c r="N220" i="2"/>
  <c r="G220" i="2"/>
  <c r="F220" i="2"/>
  <c r="D561" i="2"/>
  <c r="B561" i="2"/>
  <c r="G561" i="2"/>
  <c r="F561" i="2"/>
  <c r="C561" i="2"/>
  <c r="E561" i="2"/>
  <c r="N561" i="2"/>
  <c r="F325" i="2"/>
  <c r="E325" i="2"/>
  <c r="D325" i="2"/>
  <c r="N325" i="2"/>
  <c r="G325" i="2"/>
  <c r="C325" i="2"/>
  <c r="B325" i="2"/>
  <c r="G273" i="2"/>
  <c r="F273" i="2"/>
  <c r="E273" i="2"/>
  <c r="D273" i="2"/>
  <c r="N273" i="2"/>
  <c r="C273" i="2"/>
  <c r="B273" i="2"/>
  <c r="N352" i="2"/>
  <c r="C352" i="2"/>
  <c r="B352" i="2"/>
  <c r="G352" i="2"/>
  <c r="F352" i="2"/>
  <c r="E352" i="2"/>
  <c r="D352" i="2"/>
  <c r="D552" i="2"/>
  <c r="F552" i="2"/>
  <c r="G552" i="2"/>
  <c r="B552" i="2"/>
  <c r="N552" i="2"/>
  <c r="E552" i="2"/>
  <c r="C552" i="2"/>
  <c r="F468" i="2"/>
  <c r="E468" i="2"/>
  <c r="B468" i="2"/>
  <c r="N468" i="2"/>
  <c r="G468" i="2"/>
  <c r="D468" i="2"/>
  <c r="C468" i="2"/>
  <c r="D500" i="2"/>
  <c r="G500" i="2"/>
  <c r="N500" i="2"/>
  <c r="F500" i="2"/>
  <c r="E500" i="2"/>
  <c r="C500" i="2"/>
  <c r="B500" i="2"/>
  <c r="F457" i="2"/>
  <c r="E457" i="2"/>
  <c r="B457" i="2"/>
  <c r="N457" i="2"/>
  <c r="G457" i="2"/>
  <c r="D457" i="2"/>
  <c r="C457" i="2"/>
  <c r="E168" i="2"/>
  <c r="D168" i="2"/>
  <c r="C168" i="2"/>
  <c r="B168" i="2"/>
  <c r="N168" i="2"/>
  <c r="G168" i="2"/>
  <c r="F168" i="2"/>
  <c r="F70" i="2"/>
  <c r="E70" i="2"/>
  <c r="D70" i="2"/>
  <c r="C70" i="2"/>
  <c r="B70" i="2"/>
  <c r="N70" i="2"/>
  <c r="G70" i="2"/>
  <c r="C16" i="2"/>
  <c r="B16" i="2"/>
  <c r="N16" i="2"/>
  <c r="F16" i="2" s="1"/>
  <c r="D599" i="2"/>
  <c r="C599" i="2"/>
  <c r="G599" i="2"/>
  <c r="F599" i="2"/>
  <c r="E599" i="2"/>
  <c r="N599" i="2"/>
  <c r="B599" i="2"/>
  <c r="D596" i="2"/>
  <c r="G596" i="2"/>
  <c r="B596" i="2"/>
  <c r="E596" i="2"/>
  <c r="N596" i="2"/>
  <c r="C596" i="2"/>
  <c r="F596" i="2"/>
  <c r="E54" i="2"/>
  <c r="D54" i="2"/>
  <c r="C54" i="2"/>
  <c r="B54" i="2"/>
  <c r="N54" i="2"/>
  <c r="F54" i="2"/>
  <c r="G54" i="2"/>
  <c r="B393" i="2"/>
  <c r="N393" i="2"/>
  <c r="G393" i="2"/>
  <c r="F393" i="2"/>
  <c r="E393" i="2"/>
  <c r="D393" i="2"/>
  <c r="C393" i="2"/>
  <c r="D587" i="2"/>
  <c r="C587" i="2"/>
  <c r="E587" i="2"/>
  <c r="B587" i="2"/>
  <c r="N587" i="2"/>
  <c r="G587" i="2"/>
  <c r="F587" i="2"/>
  <c r="D609" i="2"/>
  <c r="E609" i="2"/>
  <c r="C609" i="2"/>
  <c r="G609" i="2"/>
  <c r="N609" i="2"/>
  <c r="F609" i="2"/>
  <c r="B609" i="2"/>
  <c r="G319" i="2"/>
  <c r="F319" i="2"/>
  <c r="D319" i="2"/>
  <c r="B319" i="2"/>
  <c r="N319" i="2"/>
  <c r="E319" i="2"/>
  <c r="C319" i="2"/>
  <c r="E205" i="2"/>
  <c r="D205" i="2"/>
  <c r="C205" i="2"/>
  <c r="B205" i="2"/>
  <c r="N205" i="2"/>
  <c r="F205" i="2"/>
  <c r="G205" i="2"/>
  <c r="D560" i="2"/>
  <c r="N560" i="2"/>
  <c r="F560" i="2"/>
  <c r="E560" i="2"/>
  <c r="G560" i="2"/>
  <c r="C560" i="2"/>
  <c r="B560" i="2"/>
  <c r="F94" i="2"/>
  <c r="E94" i="2"/>
  <c r="D94" i="2"/>
  <c r="C94" i="2"/>
  <c r="B94" i="2"/>
  <c r="N94" i="2"/>
  <c r="G94" i="2"/>
  <c r="G408" i="2"/>
  <c r="E408" i="2"/>
  <c r="D408" i="2"/>
  <c r="C408" i="2"/>
  <c r="B408" i="2"/>
  <c r="N408" i="2"/>
  <c r="F408" i="2"/>
  <c r="E160" i="2"/>
  <c r="D160" i="2"/>
  <c r="C160" i="2"/>
  <c r="B160" i="2"/>
  <c r="N160" i="2"/>
  <c r="G160" i="2"/>
  <c r="F160" i="2"/>
  <c r="E37" i="2"/>
  <c r="D37" i="2"/>
  <c r="C37" i="2"/>
  <c r="N37" i="2"/>
  <c r="B37" i="2"/>
  <c r="F37" i="2"/>
  <c r="G37" i="2"/>
  <c r="D388" i="2"/>
  <c r="C388" i="2"/>
  <c r="N388" i="2"/>
  <c r="G388" i="2"/>
  <c r="F388" i="2"/>
  <c r="B388" i="2"/>
  <c r="E388" i="2"/>
  <c r="F69" i="2"/>
  <c r="E69" i="2"/>
  <c r="D69" i="2"/>
  <c r="C69" i="2"/>
  <c r="B69" i="2"/>
  <c r="N69" i="2"/>
  <c r="G69" i="2"/>
  <c r="B431" i="2"/>
  <c r="N431" i="2"/>
  <c r="C431" i="2"/>
  <c r="F431" i="2"/>
  <c r="E431" i="2"/>
  <c r="D431" i="2"/>
  <c r="G431" i="2"/>
  <c r="E159" i="2"/>
  <c r="D159" i="2"/>
  <c r="C159" i="2"/>
  <c r="B159" i="2"/>
  <c r="N159" i="2"/>
  <c r="G159" i="2"/>
  <c r="F159" i="2"/>
  <c r="D581" i="2"/>
  <c r="F581" i="2"/>
  <c r="N581" i="2"/>
  <c r="G581" i="2"/>
  <c r="B581" i="2"/>
  <c r="E581" i="2"/>
  <c r="C581" i="2"/>
  <c r="E32" i="2"/>
  <c r="D32" i="2"/>
  <c r="C32" i="2"/>
  <c r="N32" i="2"/>
  <c r="G32" i="2"/>
  <c r="F32" i="2"/>
  <c r="B32" i="2"/>
  <c r="D601" i="2"/>
  <c r="E601" i="2"/>
  <c r="N601" i="2"/>
  <c r="B601" i="2"/>
  <c r="G601" i="2"/>
  <c r="F601" i="2"/>
  <c r="C601" i="2"/>
  <c r="D507" i="2"/>
  <c r="G507" i="2"/>
  <c r="F507" i="2"/>
  <c r="B507" i="2"/>
  <c r="E507" i="2"/>
  <c r="C507" i="2"/>
  <c r="N507" i="2"/>
  <c r="G364" i="2"/>
  <c r="F364" i="2"/>
  <c r="C364" i="2"/>
  <c r="N364" i="2"/>
  <c r="E364" i="2"/>
  <c r="D364" i="2"/>
  <c r="B364" i="2"/>
  <c r="N380" i="2"/>
  <c r="G380" i="2"/>
  <c r="F380" i="2"/>
  <c r="E380" i="2"/>
  <c r="D380" i="2"/>
  <c r="C380" i="2"/>
  <c r="B380" i="2"/>
  <c r="E158" i="2"/>
  <c r="D158" i="2"/>
  <c r="C158" i="2"/>
  <c r="B158" i="2"/>
  <c r="N158" i="2"/>
  <c r="G158" i="2"/>
  <c r="F158" i="2"/>
  <c r="E143" i="2"/>
  <c r="D143" i="2"/>
  <c r="B143" i="2"/>
  <c r="N143" i="2"/>
  <c r="G143" i="2"/>
  <c r="F143" i="2"/>
  <c r="C143" i="2"/>
  <c r="E145" i="2"/>
  <c r="D145" i="2"/>
  <c r="B145" i="2"/>
  <c r="N145" i="2"/>
  <c r="F145" i="2"/>
  <c r="C145" i="2"/>
  <c r="G145" i="2"/>
  <c r="E43" i="2"/>
  <c r="D43" i="2"/>
  <c r="C43" i="2"/>
  <c r="B43" i="2"/>
  <c r="N43" i="2"/>
  <c r="G43" i="2"/>
  <c r="F43" i="2"/>
  <c r="G311" i="2"/>
  <c r="F311" i="2"/>
  <c r="D311" i="2"/>
  <c r="B311" i="2"/>
  <c r="N311" i="2"/>
  <c r="E311" i="2"/>
  <c r="C311" i="2"/>
  <c r="D128" i="2"/>
  <c r="B128" i="2"/>
  <c r="N128" i="2"/>
  <c r="G128" i="2"/>
  <c r="F128" i="2"/>
  <c r="E128" i="2"/>
  <c r="C128" i="2"/>
  <c r="G299" i="2"/>
  <c r="F299" i="2"/>
  <c r="D299" i="2"/>
  <c r="B299" i="2"/>
  <c r="N299" i="2"/>
  <c r="E299" i="2"/>
  <c r="C299" i="2"/>
  <c r="D131" i="2"/>
  <c r="B131" i="2"/>
  <c r="N131" i="2"/>
  <c r="G131" i="2"/>
  <c r="F131" i="2"/>
  <c r="E131" i="2"/>
  <c r="C131" i="2"/>
  <c r="D630" i="2"/>
  <c r="B630" i="2"/>
  <c r="F630" i="2"/>
  <c r="G630" i="2"/>
  <c r="N630" i="2"/>
  <c r="E630" i="2"/>
  <c r="C630" i="2"/>
  <c r="D509" i="2"/>
  <c r="F509" i="2"/>
  <c r="E509" i="2"/>
  <c r="N509" i="2"/>
  <c r="B509" i="2"/>
  <c r="G509" i="2"/>
  <c r="C509" i="2"/>
  <c r="D541" i="2"/>
  <c r="G541" i="2"/>
  <c r="F541" i="2"/>
  <c r="E541" i="2"/>
  <c r="N541" i="2"/>
  <c r="B541" i="2"/>
  <c r="C541" i="2"/>
  <c r="G336" i="2"/>
  <c r="E336" i="2"/>
  <c r="D336" i="2"/>
  <c r="C336" i="2"/>
  <c r="N336" i="2"/>
  <c r="F336" i="2"/>
  <c r="B336" i="2"/>
  <c r="G274" i="2"/>
  <c r="F274" i="2"/>
  <c r="E274" i="2"/>
  <c r="D274" i="2"/>
  <c r="B274" i="2"/>
  <c r="N274" i="2"/>
  <c r="C274" i="2"/>
  <c r="D557" i="2"/>
  <c r="G557" i="2"/>
  <c r="F557" i="2"/>
  <c r="B557" i="2"/>
  <c r="N557" i="2"/>
  <c r="E557" i="2"/>
  <c r="C557" i="2"/>
  <c r="D475" i="2"/>
  <c r="G475" i="2"/>
  <c r="N475" i="2"/>
  <c r="F475" i="2"/>
  <c r="E475" i="2"/>
  <c r="C475" i="2"/>
  <c r="B475" i="2"/>
  <c r="D491" i="2"/>
  <c r="B491" i="2"/>
  <c r="G491" i="2"/>
  <c r="F491" i="2"/>
  <c r="E491" i="2"/>
  <c r="C491" i="2"/>
  <c r="N491" i="2"/>
  <c r="D588" i="2"/>
  <c r="B588" i="2"/>
  <c r="G588" i="2"/>
  <c r="C588" i="2"/>
  <c r="N588" i="2"/>
  <c r="F588" i="2"/>
  <c r="E588" i="2"/>
  <c r="G418" i="2"/>
  <c r="N418" i="2"/>
  <c r="F418" i="2"/>
  <c r="E418" i="2"/>
  <c r="D418" i="2"/>
  <c r="C418" i="2"/>
  <c r="B418" i="2"/>
  <c r="D130" i="2"/>
  <c r="B130" i="2"/>
  <c r="G130" i="2"/>
  <c r="F130" i="2"/>
  <c r="E130" i="2"/>
  <c r="C130" i="2"/>
  <c r="N130" i="2"/>
  <c r="F84" i="2"/>
  <c r="E84" i="2"/>
  <c r="D84" i="2"/>
  <c r="C84" i="2"/>
  <c r="B84" i="2"/>
  <c r="N84" i="2"/>
  <c r="G84" i="2"/>
  <c r="N575" i="2"/>
  <c r="G575" i="2"/>
  <c r="F575" i="2"/>
  <c r="B575" i="2"/>
  <c r="C575" i="2"/>
  <c r="E575" i="2"/>
  <c r="D575" i="2"/>
  <c r="G421" i="2"/>
  <c r="E421" i="2"/>
  <c r="D421" i="2"/>
  <c r="C421" i="2"/>
  <c r="B421" i="2"/>
  <c r="N421" i="2"/>
  <c r="F421" i="2"/>
  <c r="D580" i="2"/>
  <c r="G580" i="2"/>
  <c r="F580" i="2"/>
  <c r="N580" i="2"/>
  <c r="E580" i="2"/>
  <c r="C580" i="2"/>
  <c r="B580" i="2"/>
  <c r="E49" i="2"/>
  <c r="D49" i="2"/>
  <c r="C49" i="2"/>
  <c r="B49" i="2"/>
  <c r="N49" i="2"/>
  <c r="G49" i="2"/>
  <c r="F49" i="2"/>
  <c r="F449" i="2"/>
  <c r="B449" i="2"/>
  <c r="E449" i="2"/>
  <c r="C449" i="2"/>
  <c r="N449" i="2"/>
  <c r="G449" i="2"/>
  <c r="D449" i="2"/>
  <c r="D559" i="2"/>
  <c r="N559" i="2"/>
  <c r="G559" i="2"/>
  <c r="E559" i="2"/>
  <c r="C559" i="2"/>
  <c r="F559" i="2"/>
  <c r="B559" i="2"/>
  <c r="D516" i="2"/>
  <c r="B516" i="2"/>
  <c r="G516" i="2"/>
  <c r="F516" i="2"/>
  <c r="N516" i="2"/>
  <c r="E516" i="2"/>
  <c r="C516" i="2"/>
  <c r="F451" i="2"/>
  <c r="B451" i="2"/>
  <c r="N451" i="2"/>
  <c r="G451" i="2"/>
  <c r="E451" i="2"/>
  <c r="D451" i="2"/>
  <c r="C451" i="2"/>
  <c r="G318" i="2"/>
  <c r="F318" i="2"/>
  <c r="D318" i="2"/>
  <c r="B318" i="2"/>
  <c r="E318" i="2"/>
  <c r="C318" i="2"/>
  <c r="N318" i="2"/>
  <c r="D535" i="2"/>
  <c r="N535" i="2"/>
  <c r="B535" i="2"/>
  <c r="E535" i="2"/>
  <c r="C535" i="2"/>
  <c r="F535" i="2"/>
  <c r="G535" i="2"/>
  <c r="F443" i="2"/>
  <c r="B443" i="2"/>
  <c r="E443" i="2"/>
  <c r="N443" i="2"/>
  <c r="G443" i="2"/>
  <c r="D443" i="2"/>
  <c r="C443" i="2"/>
  <c r="G326" i="2"/>
  <c r="F326" i="2"/>
  <c r="E326" i="2"/>
  <c r="D326" i="2"/>
  <c r="C326" i="2"/>
  <c r="B326" i="2"/>
  <c r="N326" i="2"/>
  <c r="F42" i="1" a="1"/>
  <c r="F42" i="1" s="1"/>
  <c r="E200" i="2"/>
  <c r="D200" i="2"/>
  <c r="C200" i="2"/>
  <c r="B200" i="2"/>
  <c r="N200" i="2"/>
  <c r="G200" i="2"/>
  <c r="F200" i="2"/>
  <c r="F89" i="2"/>
  <c r="E89" i="2"/>
  <c r="D89" i="2"/>
  <c r="C89" i="2"/>
  <c r="B89" i="2"/>
  <c r="N89" i="2"/>
  <c r="G89" i="2"/>
  <c r="D648" i="2"/>
  <c r="B648" i="2"/>
  <c r="C648" i="2"/>
  <c r="E648" i="2"/>
  <c r="N648" i="2"/>
  <c r="F648" i="2"/>
  <c r="G648" i="2"/>
  <c r="F108" i="2"/>
  <c r="E108" i="2"/>
  <c r="D108" i="2"/>
  <c r="C108" i="2"/>
  <c r="B108" i="2"/>
  <c r="N108" i="2"/>
  <c r="G108" i="2"/>
  <c r="F377" i="2"/>
  <c r="E377" i="2"/>
  <c r="B377" i="2"/>
  <c r="D377" i="2"/>
  <c r="C377" i="2"/>
  <c r="G377" i="2"/>
  <c r="N377" i="2"/>
  <c r="E153" i="2"/>
  <c r="D153" i="2"/>
  <c r="C153" i="2"/>
  <c r="B153" i="2"/>
  <c r="N153" i="2"/>
  <c r="G153" i="2"/>
  <c r="F153" i="2"/>
  <c r="D528" i="2"/>
  <c r="B528" i="2"/>
  <c r="F528" i="2"/>
  <c r="E528" i="2"/>
  <c r="N528" i="2"/>
  <c r="C528" i="2"/>
  <c r="G528" i="2"/>
  <c r="E46" i="2"/>
  <c r="D46" i="2"/>
  <c r="C46" i="2"/>
  <c r="B46" i="2"/>
  <c r="N46" i="2"/>
  <c r="G46" i="2"/>
  <c r="F46" i="2"/>
  <c r="E214" i="2"/>
  <c r="D214" i="2"/>
  <c r="C214" i="2"/>
  <c r="B214" i="2"/>
  <c r="N214" i="2"/>
  <c r="G214" i="2"/>
  <c r="F214" i="2"/>
  <c r="N353" i="2"/>
  <c r="E353" i="2"/>
  <c r="D353" i="2"/>
  <c r="C353" i="2"/>
  <c r="B353" i="2"/>
  <c r="G353" i="2"/>
  <c r="F353" i="2"/>
  <c r="G278" i="2"/>
  <c r="F278" i="2"/>
  <c r="E278" i="2"/>
  <c r="D278" i="2"/>
  <c r="B278" i="2"/>
  <c r="N278" i="2"/>
  <c r="C278" i="2"/>
  <c r="D485" i="2"/>
  <c r="E485" i="2"/>
  <c r="F485" i="2"/>
  <c r="C485" i="2"/>
  <c r="B485" i="2"/>
  <c r="N485" i="2"/>
  <c r="G485" i="2"/>
  <c r="D474" i="2"/>
  <c r="F474" i="2"/>
  <c r="G474" i="2"/>
  <c r="E474" i="2"/>
  <c r="N474" i="2"/>
  <c r="C474" i="2"/>
  <c r="B474" i="2"/>
  <c r="G306" i="2"/>
  <c r="F306" i="2"/>
  <c r="D306" i="2"/>
  <c r="B306" i="2"/>
  <c r="E306" i="2"/>
  <c r="C306" i="2"/>
  <c r="N306" i="2"/>
  <c r="E50" i="2"/>
  <c r="D50" i="2"/>
  <c r="C50" i="2"/>
  <c r="B50" i="2"/>
  <c r="N50" i="2"/>
  <c r="G50" i="2"/>
  <c r="F50" i="2"/>
  <c r="G256" i="2"/>
  <c r="E256" i="2"/>
  <c r="F256" i="2"/>
  <c r="D256" i="2"/>
  <c r="C256" i="2"/>
  <c r="B256" i="2"/>
  <c r="N256" i="2"/>
  <c r="G285" i="2"/>
  <c r="F285" i="2"/>
  <c r="E285" i="2"/>
  <c r="D285" i="2"/>
  <c r="N285" i="2"/>
  <c r="C285" i="2"/>
  <c r="B285" i="2"/>
  <c r="D551" i="2"/>
  <c r="E551" i="2"/>
  <c r="C551" i="2"/>
  <c r="N551" i="2"/>
  <c r="G551" i="2"/>
  <c r="F551" i="2"/>
  <c r="B551" i="2"/>
  <c r="G323" i="2"/>
  <c r="F323" i="2"/>
  <c r="D323" i="2"/>
  <c r="C323" i="2"/>
  <c r="B323" i="2"/>
  <c r="N323" i="2"/>
  <c r="E323" i="2"/>
  <c r="G281" i="2"/>
  <c r="F281" i="2"/>
  <c r="E281" i="2"/>
  <c r="D281" i="2"/>
  <c r="N281" i="2"/>
  <c r="C281" i="2"/>
  <c r="B281" i="2"/>
  <c r="E221" i="2"/>
  <c r="D221" i="2"/>
  <c r="C221" i="2"/>
  <c r="B221" i="2"/>
  <c r="N221" i="2"/>
  <c r="G221" i="2"/>
  <c r="F221" i="2"/>
  <c r="D545" i="2"/>
  <c r="E545" i="2"/>
  <c r="N545" i="2"/>
  <c r="G545" i="2"/>
  <c r="F545" i="2"/>
  <c r="C545" i="2"/>
  <c r="B545" i="2"/>
  <c r="B432" i="2"/>
  <c r="C432" i="2"/>
  <c r="G432" i="2"/>
  <c r="F432" i="2"/>
  <c r="D432" i="2"/>
  <c r="N432" i="2"/>
  <c r="E432" i="2"/>
  <c r="N340" i="2"/>
  <c r="G340" i="2"/>
  <c r="F340" i="2"/>
  <c r="E340" i="2"/>
  <c r="D340" i="2"/>
  <c r="C340" i="2"/>
  <c r="B340" i="2"/>
  <c r="G347" i="2"/>
  <c r="F347" i="2"/>
  <c r="E347" i="2"/>
  <c r="D347" i="2"/>
  <c r="C347" i="2"/>
  <c r="B347" i="2"/>
  <c r="N347" i="2"/>
  <c r="G253" i="2"/>
  <c r="E253" i="2"/>
  <c r="F253" i="2"/>
  <c r="D253" i="2"/>
  <c r="C253" i="2"/>
  <c r="B253" i="2"/>
  <c r="N253" i="2"/>
  <c r="D332" i="2"/>
  <c r="C332" i="2"/>
  <c r="N332" i="2"/>
  <c r="G332" i="2"/>
  <c r="F332" i="2"/>
  <c r="E332" i="2"/>
  <c r="B332" i="2"/>
  <c r="G263" i="2"/>
  <c r="E263" i="2"/>
  <c r="N263" i="2"/>
  <c r="F263" i="2"/>
  <c r="D263" i="2"/>
  <c r="C263" i="2"/>
  <c r="B263" i="2"/>
  <c r="D643" i="2"/>
  <c r="E643" i="2"/>
  <c r="F643" i="2"/>
  <c r="N643" i="2"/>
  <c r="B643" i="2"/>
  <c r="C643" i="2"/>
  <c r="G643" i="2"/>
  <c r="D406" i="2"/>
  <c r="C406" i="2"/>
  <c r="N406" i="2"/>
  <c r="G406" i="2"/>
  <c r="B406" i="2"/>
  <c r="F406" i="2"/>
  <c r="E406" i="2"/>
  <c r="D533" i="2"/>
  <c r="E533" i="2"/>
  <c r="C533" i="2"/>
  <c r="N533" i="2"/>
  <c r="F533" i="2"/>
  <c r="B533" i="2"/>
  <c r="G533" i="2"/>
  <c r="G337" i="2"/>
  <c r="F337" i="2"/>
  <c r="E337" i="2"/>
  <c r="D337" i="2"/>
  <c r="B337" i="2"/>
  <c r="C337" i="2"/>
  <c r="N337" i="2"/>
  <c r="D520" i="2"/>
  <c r="G520" i="2"/>
  <c r="F520" i="2"/>
  <c r="C520" i="2"/>
  <c r="B520" i="2"/>
  <c r="N520" i="2"/>
  <c r="E520" i="2"/>
  <c r="G261" i="2"/>
  <c r="E261" i="2"/>
  <c r="N261" i="2"/>
  <c r="F261" i="2"/>
  <c r="D261" i="2"/>
  <c r="C261" i="2"/>
  <c r="B261" i="2"/>
  <c r="D567" i="2"/>
  <c r="N567" i="2"/>
  <c r="F567" i="2"/>
  <c r="E567" i="2"/>
  <c r="G567" i="2"/>
  <c r="C567" i="2"/>
  <c r="B567" i="2"/>
  <c r="G339" i="2"/>
  <c r="F339" i="2"/>
  <c r="B339" i="2"/>
  <c r="N339" i="2"/>
  <c r="E339" i="2"/>
  <c r="D339" i="2"/>
  <c r="C339" i="2"/>
  <c r="G240" i="2"/>
  <c r="E240" i="2"/>
  <c r="N240" i="2"/>
  <c r="F240" i="2"/>
  <c r="D240" i="2"/>
  <c r="C240" i="2"/>
  <c r="B240" i="2"/>
  <c r="G269" i="2"/>
  <c r="E269" i="2"/>
  <c r="D269" i="2"/>
  <c r="N269" i="2"/>
  <c r="F269" i="2"/>
  <c r="C269" i="2"/>
  <c r="B269" i="2"/>
  <c r="G5" i="2"/>
  <c r="F5" i="2"/>
  <c r="E5" i="2"/>
  <c r="D5" i="2"/>
  <c r="C5" i="2"/>
  <c r="B5" i="2"/>
  <c r="N5" i="2"/>
  <c r="D543" i="2"/>
  <c r="E543" i="2"/>
  <c r="C543" i="2"/>
  <c r="N543" i="2"/>
  <c r="G543" i="2"/>
  <c r="F543" i="2"/>
  <c r="B543" i="2"/>
  <c r="D489" i="2"/>
  <c r="N489" i="2"/>
  <c r="G489" i="2"/>
  <c r="F489" i="2"/>
  <c r="E489" i="2"/>
  <c r="C489" i="2"/>
  <c r="B489" i="2"/>
  <c r="G396" i="2"/>
  <c r="D396" i="2"/>
  <c r="C396" i="2"/>
  <c r="B396" i="2"/>
  <c r="N396" i="2"/>
  <c r="E396" i="2"/>
  <c r="F396" i="2"/>
  <c r="E217" i="2"/>
  <c r="D217" i="2"/>
  <c r="C217" i="2"/>
  <c r="B217" i="2"/>
  <c r="N217" i="2"/>
  <c r="F217" i="2"/>
  <c r="G217" i="2"/>
  <c r="E40" i="2"/>
  <c r="D40" i="2"/>
  <c r="C40" i="2"/>
  <c r="B40" i="2"/>
  <c r="N40" i="2"/>
  <c r="F40" i="2"/>
  <c r="G40" i="2"/>
  <c r="F395" i="2"/>
  <c r="E395" i="2"/>
  <c r="B395" i="2"/>
  <c r="N395" i="2"/>
  <c r="G395" i="2"/>
  <c r="D395" i="2"/>
  <c r="C395" i="2"/>
  <c r="D635" i="2"/>
  <c r="C635" i="2"/>
  <c r="E635" i="2"/>
  <c r="B635" i="2"/>
  <c r="G635" i="2"/>
  <c r="F635" i="2"/>
  <c r="N635" i="2"/>
  <c r="F67" i="2"/>
  <c r="E67" i="2"/>
  <c r="D67" i="2"/>
  <c r="C67" i="2"/>
  <c r="B67" i="2"/>
  <c r="N67" i="2"/>
  <c r="G67" i="2"/>
  <c r="G12" i="2"/>
  <c r="F12" i="2"/>
  <c r="E12" i="2"/>
  <c r="D12" i="2"/>
  <c r="C12" i="2"/>
  <c r="N12" i="2"/>
  <c r="B12" i="2"/>
  <c r="E157" i="2"/>
  <c r="D157" i="2"/>
  <c r="C157" i="2"/>
  <c r="B157" i="2"/>
  <c r="N157" i="2"/>
  <c r="G157" i="2"/>
  <c r="F157" i="2"/>
  <c r="D512" i="2"/>
  <c r="B512" i="2"/>
  <c r="E512" i="2"/>
  <c r="C512" i="2"/>
  <c r="N512" i="2"/>
  <c r="G512" i="2"/>
  <c r="F512" i="2"/>
  <c r="G246" i="2"/>
  <c r="E246" i="2"/>
  <c r="N246" i="2"/>
  <c r="F246" i="2"/>
  <c r="D246" i="2"/>
  <c r="C246" i="2"/>
  <c r="B246" i="2"/>
  <c r="B226" i="2"/>
  <c r="N226" i="2"/>
  <c r="G226" i="2"/>
  <c r="F226" i="2"/>
  <c r="E226" i="2"/>
  <c r="D226" i="2"/>
  <c r="C226" i="2"/>
  <c r="D650" i="2"/>
  <c r="G650" i="2"/>
  <c r="B650" i="2"/>
  <c r="N650" i="2"/>
  <c r="F650" i="2"/>
  <c r="E650" i="2"/>
  <c r="C650" i="2"/>
  <c r="F407" i="2"/>
  <c r="E407" i="2"/>
  <c r="C407" i="2"/>
  <c r="B407" i="2"/>
  <c r="G407" i="2"/>
  <c r="D407" i="2"/>
  <c r="N407" i="2"/>
  <c r="E206" i="2"/>
  <c r="D206" i="2"/>
  <c r="C206" i="2"/>
  <c r="B206" i="2"/>
  <c r="N206" i="2"/>
  <c r="G206" i="2"/>
  <c r="F206" i="2"/>
  <c r="E39" i="2"/>
  <c r="D39" i="2"/>
  <c r="C39" i="2"/>
  <c r="N39" i="2"/>
  <c r="G39" i="2"/>
  <c r="F39" i="2"/>
  <c r="B39" i="2"/>
  <c r="D639" i="2"/>
  <c r="E639" i="2"/>
  <c r="G639" i="2"/>
  <c r="F639" i="2"/>
  <c r="C639" i="2"/>
  <c r="B639" i="2"/>
  <c r="N639" i="2"/>
  <c r="D583" i="2"/>
  <c r="E583" i="2"/>
  <c r="F583" i="2"/>
  <c r="N583" i="2"/>
  <c r="C583" i="2"/>
  <c r="B583" i="2"/>
  <c r="G583" i="2"/>
  <c r="F441" i="2"/>
  <c r="B441" i="2"/>
  <c r="G441" i="2"/>
  <c r="E441" i="2"/>
  <c r="C441" i="2"/>
  <c r="N441" i="2"/>
  <c r="D441" i="2"/>
  <c r="D636" i="2"/>
  <c r="B636" i="2"/>
  <c r="C636" i="2"/>
  <c r="F636" i="2"/>
  <c r="E636" i="2"/>
  <c r="N636" i="2"/>
  <c r="G636" i="2"/>
  <c r="D526" i="2"/>
  <c r="N526" i="2"/>
  <c r="G526" i="2"/>
  <c r="E526" i="2"/>
  <c r="C526" i="2"/>
  <c r="F526" i="2"/>
  <c r="B526" i="2"/>
  <c r="F469" i="2"/>
  <c r="E469" i="2"/>
  <c r="B469" i="2"/>
  <c r="C469" i="2"/>
  <c r="N469" i="2"/>
  <c r="G469" i="2"/>
  <c r="D469" i="2"/>
  <c r="E140" i="2"/>
  <c r="D140" i="2"/>
  <c r="B140" i="2"/>
  <c r="G140" i="2"/>
  <c r="F140" i="2"/>
  <c r="C140" i="2"/>
  <c r="N140" i="2"/>
  <c r="E210" i="2"/>
  <c r="D210" i="2"/>
  <c r="C210" i="2"/>
  <c r="B210" i="2"/>
  <c r="N210" i="2"/>
  <c r="G210" i="2"/>
  <c r="F210" i="2"/>
  <c r="D376" i="2"/>
  <c r="C376" i="2"/>
  <c r="N376" i="2"/>
  <c r="G376" i="2"/>
  <c r="F376" i="2"/>
  <c r="E376" i="2"/>
  <c r="B376" i="2"/>
  <c r="E209" i="2"/>
  <c r="D209" i="2"/>
  <c r="C209" i="2"/>
  <c r="B209" i="2"/>
  <c r="N209" i="2"/>
  <c r="G209" i="2"/>
  <c r="F209" i="2"/>
  <c r="D654" i="2"/>
  <c r="B654" i="2"/>
  <c r="G654" i="2"/>
  <c r="F654" i="2"/>
  <c r="E654" i="2"/>
  <c r="C654" i="2"/>
  <c r="N654" i="2"/>
  <c r="D626" i="2"/>
  <c r="G626" i="2"/>
  <c r="B626" i="2"/>
  <c r="C626" i="2"/>
  <c r="N626" i="2"/>
  <c r="F626" i="2"/>
  <c r="E626" i="2"/>
  <c r="D521" i="2"/>
  <c r="G521" i="2"/>
  <c r="F521" i="2"/>
  <c r="B521" i="2"/>
  <c r="N521" i="2"/>
  <c r="E521" i="2"/>
  <c r="C521" i="2"/>
  <c r="F458" i="2"/>
  <c r="E458" i="2"/>
  <c r="B458" i="2"/>
  <c r="G458" i="2"/>
  <c r="D458" i="2"/>
  <c r="N458" i="2"/>
  <c r="C458" i="2"/>
  <c r="F123" i="2"/>
  <c r="E123" i="2"/>
  <c r="D123" i="2"/>
  <c r="C123" i="2"/>
  <c r="B123" i="2"/>
  <c r="N123" i="2"/>
  <c r="G123" i="2"/>
  <c r="F100" i="2"/>
  <c r="E100" i="2"/>
  <c r="D100" i="2"/>
  <c r="C100" i="2"/>
  <c r="B100" i="2"/>
  <c r="N100" i="2"/>
  <c r="G100" i="2"/>
  <c r="B399" i="2"/>
  <c r="N399" i="2"/>
  <c r="G399" i="2"/>
  <c r="F399" i="2"/>
  <c r="E399" i="2"/>
  <c r="D399" i="2"/>
  <c r="C399" i="2"/>
  <c r="E163" i="2"/>
  <c r="D163" i="2"/>
  <c r="C163" i="2"/>
  <c r="B163" i="2"/>
  <c r="N163" i="2"/>
  <c r="G163" i="2"/>
  <c r="F163" i="2"/>
  <c r="E55" i="2"/>
  <c r="D55" i="2"/>
  <c r="C55" i="2"/>
  <c r="B55" i="2"/>
  <c r="N55" i="2"/>
  <c r="G55" i="2"/>
  <c r="F55" i="2"/>
  <c r="F446" i="2"/>
  <c r="B446" i="2"/>
  <c r="D446" i="2"/>
  <c r="C446" i="2"/>
  <c r="N446" i="2"/>
  <c r="G446" i="2"/>
  <c r="E446" i="2"/>
  <c r="F121" i="2"/>
  <c r="E121" i="2"/>
  <c r="D121" i="2"/>
  <c r="C121" i="2"/>
  <c r="B121" i="2"/>
  <c r="N121" i="2"/>
  <c r="G121" i="2"/>
  <c r="F91" i="2"/>
  <c r="E91" i="2"/>
  <c r="D91" i="2"/>
  <c r="C91" i="2"/>
  <c r="B91" i="2"/>
  <c r="N91" i="2"/>
  <c r="G91" i="2"/>
  <c r="E218" i="2"/>
  <c r="D218" i="2"/>
  <c r="C218" i="2"/>
  <c r="B218" i="2"/>
  <c r="N218" i="2"/>
  <c r="G218" i="2"/>
  <c r="F218" i="2"/>
  <c r="D595" i="2"/>
  <c r="E595" i="2"/>
  <c r="N595" i="2"/>
  <c r="G595" i="2"/>
  <c r="F595" i="2"/>
  <c r="C595" i="2"/>
  <c r="B595" i="2"/>
  <c r="D538" i="2"/>
  <c r="C538" i="2"/>
  <c r="E538" i="2"/>
  <c r="F538" i="2"/>
  <c r="B538" i="2"/>
  <c r="G538" i="2"/>
  <c r="N538" i="2"/>
  <c r="D616" i="2"/>
  <c r="G616" i="2"/>
  <c r="F616" i="2"/>
  <c r="B616" i="2"/>
  <c r="N616" i="2"/>
  <c r="E616" i="2"/>
  <c r="C616" i="2"/>
  <c r="D513" i="2"/>
  <c r="E513" i="2"/>
  <c r="C513" i="2"/>
  <c r="N513" i="2"/>
  <c r="G513" i="2"/>
  <c r="F513" i="2"/>
  <c r="B513" i="2"/>
  <c r="G372" i="2"/>
  <c r="D372" i="2"/>
  <c r="E372" i="2"/>
  <c r="C372" i="2"/>
  <c r="B372" i="2"/>
  <c r="N372" i="2"/>
  <c r="F372" i="2"/>
  <c r="F111" i="2"/>
  <c r="E111" i="2"/>
  <c r="D111" i="2"/>
  <c r="C111" i="2"/>
  <c r="B111" i="2"/>
  <c r="N111" i="2"/>
  <c r="G111" i="2"/>
  <c r="F61" i="2"/>
  <c r="E61" i="2"/>
  <c r="D61" i="2"/>
  <c r="C61" i="2"/>
  <c r="B61" i="2"/>
  <c r="N61" i="2"/>
  <c r="G61" i="2"/>
  <c r="D606" i="2"/>
  <c r="B606" i="2"/>
  <c r="F606" i="2"/>
  <c r="C606" i="2"/>
  <c r="E606" i="2"/>
  <c r="N606" i="2"/>
  <c r="G606" i="2"/>
  <c r="G415" i="2"/>
  <c r="B415" i="2"/>
  <c r="N415" i="2"/>
  <c r="C415" i="2"/>
  <c r="D415" i="2"/>
  <c r="F415" i="2"/>
  <c r="E415" i="2"/>
  <c r="G317" i="2"/>
  <c r="F317" i="2"/>
  <c r="D317" i="2"/>
  <c r="B317" i="2"/>
  <c r="N317" i="2"/>
  <c r="E317" i="2"/>
  <c r="C317" i="2"/>
  <c r="E178" i="2"/>
  <c r="D178" i="2"/>
  <c r="C178" i="2"/>
  <c r="B178" i="2"/>
  <c r="N178" i="2"/>
  <c r="G178" i="2"/>
  <c r="F178" i="2"/>
  <c r="E213" i="2"/>
  <c r="D213" i="2"/>
  <c r="C213" i="2"/>
  <c r="B213" i="2"/>
  <c r="N213" i="2"/>
  <c r="G213" i="2"/>
  <c r="F213" i="2"/>
  <c r="F442" i="2"/>
  <c r="B442" i="2"/>
  <c r="C442" i="2"/>
  <c r="N442" i="2"/>
  <c r="G442" i="2"/>
  <c r="E442" i="2"/>
  <c r="D442" i="2"/>
  <c r="D133" i="2"/>
  <c r="B133" i="2"/>
  <c r="F133" i="2"/>
  <c r="E133" i="2"/>
  <c r="C133" i="2"/>
  <c r="N133" i="2"/>
  <c r="G133" i="2"/>
  <c r="D579" i="2"/>
  <c r="E579" i="2"/>
  <c r="N579" i="2"/>
  <c r="C579" i="2"/>
  <c r="B579" i="2"/>
  <c r="F579" i="2"/>
  <c r="G579" i="2"/>
  <c r="D614" i="2"/>
  <c r="G614" i="2"/>
  <c r="B614" i="2"/>
  <c r="N614" i="2"/>
  <c r="F614" i="2"/>
  <c r="E614" i="2"/>
  <c r="C614" i="2"/>
  <c r="F87" i="2"/>
  <c r="E87" i="2"/>
  <c r="D87" i="2"/>
  <c r="C87" i="2"/>
  <c r="B87" i="2"/>
  <c r="N87" i="2"/>
  <c r="G87" i="2"/>
  <c r="E152" i="2"/>
  <c r="D152" i="2"/>
  <c r="C152" i="2"/>
  <c r="B152" i="2"/>
  <c r="N152" i="2"/>
  <c r="G152" i="2"/>
  <c r="F152" i="2"/>
  <c r="D510" i="2"/>
  <c r="G510" i="2"/>
  <c r="F510" i="2"/>
  <c r="E510" i="2"/>
  <c r="N510" i="2"/>
  <c r="C510" i="2"/>
  <c r="B510" i="2"/>
  <c r="F436" i="2"/>
  <c r="B436" i="2"/>
  <c r="C436" i="2"/>
  <c r="G436" i="2"/>
  <c r="E436" i="2"/>
  <c r="D436" i="2"/>
  <c r="N436" i="2"/>
  <c r="G272" i="2"/>
  <c r="F272" i="2"/>
  <c r="E272" i="2"/>
  <c r="D272" i="2"/>
  <c r="B272" i="2"/>
  <c r="C272" i="2"/>
  <c r="N272" i="2"/>
  <c r="D529" i="2"/>
  <c r="G529" i="2"/>
  <c r="C529" i="2"/>
  <c r="B529" i="2"/>
  <c r="E529" i="2"/>
  <c r="N529" i="2"/>
  <c r="F529" i="2"/>
  <c r="D471" i="2"/>
  <c r="G471" i="2"/>
  <c r="F471" i="2"/>
  <c r="B471" i="2"/>
  <c r="E471" i="2"/>
  <c r="C471" i="2"/>
  <c r="N471" i="2"/>
  <c r="D536" i="2"/>
  <c r="E536" i="2"/>
  <c r="C536" i="2"/>
  <c r="N536" i="2"/>
  <c r="F536" i="2"/>
  <c r="B536" i="2"/>
  <c r="G536" i="2"/>
  <c r="D519" i="2"/>
  <c r="F519" i="2"/>
  <c r="E519" i="2"/>
  <c r="G519" i="2"/>
  <c r="C519" i="2"/>
  <c r="B519" i="2"/>
  <c r="N519" i="2"/>
  <c r="G262" i="2"/>
  <c r="E262" i="2"/>
  <c r="F262" i="2"/>
  <c r="D262" i="2"/>
  <c r="C262" i="2"/>
  <c r="B262" i="2"/>
  <c r="N262" i="2"/>
  <c r="D590" i="2"/>
  <c r="G590" i="2"/>
  <c r="B590" i="2"/>
  <c r="F590" i="2"/>
  <c r="E590" i="2"/>
  <c r="N590" i="2"/>
  <c r="C590" i="2"/>
  <c r="E144" i="2"/>
  <c r="D144" i="2"/>
  <c r="B144" i="2"/>
  <c r="N144" i="2"/>
  <c r="G144" i="2"/>
  <c r="F144" i="2"/>
  <c r="C144" i="2"/>
  <c r="E174" i="2"/>
  <c r="D174" i="2"/>
  <c r="C174" i="2"/>
  <c r="B174" i="2"/>
  <c r="N174" i="2"/>
  <c r="G174" i="2"/>
  <c r="F174" i="2"/>
  <c r="F59" i="2"/>
  <c r="E59" i="2"/>
  <c r="D59" i="2"/>
  <c r="C59" i="2"/>
  <c r="B59" i="2"/>
  <c r="N59" i="2"/>
  <c r="G59" i="2"/>
  <c r="F83" i="2"/>
  <c r="E83" i="2"/>
  <c r="D83" i="2"/>
  <c r="C83" i="2"/>
  <c r="B83" i="2"/>
  <c r="N83" i="2"/>
  <c r="G83" i="2"/>
  <c r="E44" i="2"/>
  <c r="D44" i="2"/>
  <c r="C44" i="2"/>
  <c r="B44" i="2"/>
  <c r="N44" i="2"/>
  <c r="G44" i="2"/>
  <c r="F44" i="2"/>
  <c r="B387" i="2"/>
  <c r="F387" i="2"/>
  <c r="E387" i="2"/>
  <c r="D387" i="2"/>
  <c r="C387" i="2"/>
  <c r="N387" i="2"/>
  <c r="G387" i="2"/>
  <c r="E181" i="2"/>
  <c r="D181" i="2"/>
  <c r="C181" i="2"/>
  <c r="B181" i="2"/>
  <c r="N181" i="2"/>
  <c r="F181" i="2"/>
  <c r="G181" i="2"/>
  <c r="N410" i="2"/>
  <c r="G410" i="2"/>
  <c r="F410" i="2"/>
  <c r="B410" i="2"/>
  <c r="D410" i="2"/>
  <c r="C410" i="2"/>
  <c r="E410" i="2"/>
  <c r="B434" i="2"/>
  <c r="E434" i="2"/>
  <c r="D434" i="2"/>
  <c r="N434" i="2"/>
  <c r="C434" i="2"/>
  <c r="G434" i="2"/>
  <c r="F434" i="2"/>
  <c r="D517" i="2"/>
  <c r="C517" i="2"/>
  <c r="N517" i="2"/>
  <c r="F517" i="2"/>
  <c r="E517" i="2"/>
  <c r="G517" i="2"/>
  <c r="B517" i="2"/>
  <c r="G298" i="2"/>
  <c r="F298" i="2"/>
  <c r="D298" i="2"/>
  <c r="N298" i="2"/>
  <c r="E298" i="2"/>
  <c r="C298" i="2"/>
  <c r="B298" i="2"/>
  <c r="G424" i="2"/>
  <c r="E424" i="2"/>
  <c r="D424" i="2"/>
  <c r="B424" i="2"/>
  <c r="F424" i="2"/>
  <c r="C424" i="2"/>
  <c r="N424" i="2"/>
  <c r="F105" i="2"/>
  <c r="E105" i="2"/>
  <c r="D105" i="2"/>
  <c r="C105" i="2"/>
  <c r="B105" i="2"/>
  <c r="N105" i="2"/>
  <c r="G105" i="2"/>
  <c r="F440" i="2"/>
  <c r="B440" i="2"/>
  <c r="D440" i="2"/>
  <c r="C440" i="2"/>
  <c r="N440" i="2"/>
  <c r="G440" i="2"/>
  <c r="E440" i="2"/>
  <c r="D642" i="2"/>
  <c r="B642" i="2"/>
  <c r="F642" i="2"/>
  <c r="N642" i="2"/>
  <c r="G642" i="2"/>
  <c r="E642" i="2"/>
  <c r="C642" i="2"/>
  <c r="B124" i="2"/>
  <c r="G124" i="2"/>
  <c r="F124" i="2"/>
  <c r="E124" i="2"/>
  <c r="D124" i="2"/>
  <c r="C124" i="2"/>
  <c r="N124" i="2"/>
  <c r="E38" i="2"/>
  <c r="D38" i="2"/>
  <c r="C38" i="2"/>
  <c r="N38" i="2"/>
  <c r="G38" i="2"/>
  <c r="F38" i="2"/>
  <c r="B38" i="2"/>
  <c r="B126" i="2"/>
  <c r="G126" i="2"/>
  <c r="F126" i="2"/>
  <c r="E126" i="2"/>
  <c r="D126" i="2"/>
  <c r="C126" i="2"/>
  <c r="N126" i="2"/>
  <c r="E211" i="2"/>
  <c r="D211" i="2"/>
  <c r="C211" i="2"/>
  <c r="B211" i="2"/>
  <c r="N211" i="2"/>
  <c r="G211" i="2"/>
  <c r="F211" i="2"/>
  <c r="D290" i="2"/>
  <c r="N290" i="2"/>
  <c r="G290" i="2"/>
  <c r="E290" i="2"/>
  <c r="C290" i="2"/>
  <c r="B290" i="2"/>
  <c r="F290" i="2"/>
  <c r="E195" i="2"/>
  <c r="D195" i="2"/>
  <c r="C195" i="2"/>
  <c r="B195" i="2"/>
  <c r="N195" i="2"/>
  <c r="G195" i="2"/>
  <c r="F195" i="2"/>
  <c r="F85" i="2"/>
  <c r="E85" i="2"/>
  <c r="D85" i="2"/>
  <c r="C85" i="2"/>
  <c r="B85" i="2"/>
  <c r="N85" i="2"/>
  <c r="G85" i="2"/>
  <c r="F470" i="2"/>
  <c r="E470" i="2"/>
  <c r="B470" i="2"/>
  <c r="G470" i="2"/>
  <c r="D470" i="2"/>
  <c r="N470" i="2"/>
  <c r="C470" i="2"/>
  <c r="D618" i="2"/>
  <c r="B618" i="2"/>
  <c r="N618" i="2"/>
  <c r="G618" i="2"/>
  <c r="F618" i="2"/>
  <c r="E618" i="2"/>
  <c r="C618" i="2"/>
  <c r="F113" i="2"/>
  <c r="E113" i="2"/>
  <c r="D113" i="2"/>
  <c r="C113" i="2"/>
  <c r="B113" i="2"/>
  <c r="N113" i="2"/>
  <c r="G113" i="2"/>
  <c r="E184" i="2"/>
  <c r="D184" i="2"/>
  <c r="C184" i="2"/>
  <c r="B184" i="2"/>
  <c r="N184" i="2"/>
  <c r="G184" i="2"/>
  <c r="F184" i="2"/>
  <c r="D127" i="2"/>
  <c r="B127" i="2"/>
  <c r="N127" i="2"/>
  <c r="G127" i="2"/>
  <c r="F127" i="2"/>
  <c r="E127" i="2"/>
  <c r="C127" i="2"/>
  <c r="E161" i="2"/>
  <c r="D161" i="2"/>
  <c r="C161" i="2"/>
  <c r="B161" i="2"/>
  <c r="N161" i="2"/>
  <c r="G161" i="2"/>
  <c r="F161" i="2"/>
  <c r="G348" i="2"/>
  <c r="F348" i="2"/>
  <c r="E348" i="2"/>
  <c r="D348" i="2"/>
  <c r="C348" i="2"/>
  <c r="B348" i="2"/>
  <c r="N348" i="2"/>
  <c r="G235" i="2"/>
  <c r="E235" i="2"/>
  <c r="F235" i="2"/>
  <c r="D235" i="2"/>
  <c r="C235" i="2"/>
  <c r="B235" i="2"/>
  <c r="N235" i="2"/>
  <c r="G266" i="2"/>
  <c r="E266" i="2"/>
  <c r="N266" i="2"/>
  <c r="F266" i="2"/>
  <c r="D266" i="2"/>
  <c r="C266" i="2"/>
  <c r="B266" i="2"/>
  <c r="D344" i="2"/>
  <c r="C344" i="2"/>
  <c r="B344" i="2"/>
  <c r="N344" i="2"/>
  <c r="G344" i="2"/>
  <c r="F344" i="2"/>
  <c r="E344" i="2"/>
  <c r="G252" i="2"/>
  <c r="E252" i="2"/>
  <c r="N252" i="2"/>
  <c r="C252" i="2"/>
  <c r="B252" i="2"/>
  <c r="F252" i="2"/>
  <c r="D252" i="2"/>
  <c r="G248" i="2"/>
  <c r="E248" i="2"/>
  <c r="N248" i="2"/>
  <c r="F248" i="2"/>
  <c r="D248" i="2"/>
  <c r="C248" i="2"/>
  <c r="B248" i="2"/>
  <c r="G223" i="2"/>
  <c r="F223" i="2"/>
  <c r="E223" i="2"/>
  <c r="D223" i="2"/>
  <c r="C223" i="2"/>
  <c r="B223" i="2"/>
  <c r="N223" i="2"/>
  <c r="D604" i="2"/>
  <c r="G604" i="2"/>
  <c r="N604" i="2"/>
  <c r="F604" i="2"/>
  <c r="E604" i="2"/>
  <c r="C604" i="2"/>
  <c r="B604" i="2"/>
  <c r="G384" i="2"/>
  <c r="D384" i="2"/>
  <c r="C384" i="2"/>
  <c r="B384" i="2"/>
  <c r="N384" i="2"/>
  <c r="F384" i="2"/>
  <c r="E384" i="2"/>
  <c r="E359" i="2"/>
  <c r="D359" i="2"/>
  <c r="C359" i="2"/>
  <c r="B359" i="2"/>
  <c r="N359" i="2"/>
  <c r="G359" i="2"/>
  <c r="F359" i="2"/>
  <c r="F60" i="2"/>
  <c r="E60" i="2"/>
  <c r="D60" i="2"/>
  <c r="C60" i="2"/>
  <c r="B60" i="2"/>
  <c r="N60" i="2"/>
  <c r="G60" i="2"/>
  <c r="E162" i="2"/>
  <c r="D162" i="2"/>
  <c r="C162" i="2"/>
  <c r="B162" i="2"/>
  <c r="N162" i="2"/>
  <c r="G162" i="2"/>
  <c r="F162" i="2"/>
  <c r="F454" i="2"/>
  <c r="B454" i="2"/>
  <c r="D454" i="2"/>
  <c r="C454" i="2"/>
  <c r="E454" i="2"/>
  <c r="N454" i="2"/>
  <c r="G454" i="2"/>
  <c r="D585" i="2"/>
  <c r="E585" i="2"/>
  <c r="N585" i="2"/>
  <c r="G585" i="2"/>
  <c r="F585" i="2"/>
  <c r="C585" i="2"/>
  <c r="B585" i="2"/>
  <c r="D646" i="2"/>
  <c r="G646" i="2"/>
  <c r="C646" i="2"/>
  <c r="F646" i="2"/>
  <c r="E646" i="2"/>
  <c r="N646" i="2"/>
  <c r="B646" i="2"/>
  <c r="G419" i="2"/>
  <c r="B419" i="2"/>
  <c r="N419" i="2"/>
  <c r="E419" i="2"/>
  <c r="D419" i="2"/>
  <c r="C419" i="2"/>
  <c r="F419" i="2"/>
  <c r="F466" i="2"/>
  <c r="E466" i="2"/>
  <c r="B466" i="2"/>
  <c r="G466" i="2"/>
  <c r="D466" i="2"/>
  <c r="N466" i="2"/>
  <c r="C466" i="2"/>
  <c r="D564" i="2"/>
  <c r="F564" i="2"/>
  <c r="C564" i="2"/>
  <c r="G564" i="2"/>
  <c r="B564" i="2"/>
  <c r="E564" i="2"/>
  <c r="N564" i="2"/>
  <c r="G338" i="2"/>
  <c r="F338" i="2"/>
  <c r="E338" i="2"/>
  <c r="N338" i="2"/>
  <c r="D338" i="2"/>
  <c r="C338" i="2"/>
  <c r="B338" i="2"/>
  <c r="D499" i="2"/>
  <c r="G499" i="2"/>
  <c r="F499" i="2"/>
  <c r="E499" i="2"/>
  <c r="C499" i="2"/>
  <c r="N499" i="2"/>
  <c r="B499" i="2"/>
  <c r="G268" i="2"/>
  <c r="E268" i="2"/>
  <c r="F268" i="2"/>
  <c r="D268" i="2"/>
  <c r="C268" i="2"/>
  <c r="B268" i="2"/>
  <c r="N268" i="2"/>
  <c r="F437" i="2"/>
  <c r="B437" i="2"/>
  <c r="E437" i="2"/>
  <c r="N437" i="2"/>
  <c r="G437" i="2"/>
  <c r="D437" i="2"/>
  <c r="C437" i="2"/>
  <c r="F447" i="2"/>
  <c r="B447" i="2"/>
  <c r="G447" i="2"/>
  <c r="E447" i="2"/>
  <c r="D447" i="2"/>
  <c r="C447" i="2"/>
  <c r="N447" i="2"/>
  <c r="D511" i="2"/>
  <c r="N511" i="2"/>
  <c r="G511" i="2"/>
  <c r="F511" i="2"/>
  <c r="E511" i="2"/>
  <c r="C511" i="2"/>
  <c r="B511" i="2"/>
  <c r="G258" i="2"/>
  <c r="E258" i="2"/>
  <c r="N258" i="2"/>
  <c r="F258" i="2"/>
  <c r="D258" i="2"/>
  <c r="C258" i="2"/>
  <c r="B258" i="2"/>
  <c r="N350" i="2"/>
  <c r="G350" i="2"/>
  <c r="F350" i="2"/>
  <c r="E350" i="2"/>
  <c r="D350" i="2"/>
  <c r="C350" i="2"/>
  <c r="B350" i="2"/>
  <c r="D524" i="2"/>
  <c r="F524" i="2"/>
  <c r="E524" i="2"/>
  <c r="G524" i="2"/>
  <c r="C524" i="2"/>
  <c r="B524" i="2"/>
  <c r="N524" i="2"/>
  <c r="F448" i="2"/>
  <c r="B448" i="2"/>
  <c r="C448" i="2"/>
  <c r="N448" i="2"/>
  <c r="G448" i="2"/>
  <c r="E448" i="2"/>
  <c r="D448" i="2"/>
  <c r="D555" i="2"/>
  <c r="B555" i="2"/>
  <c r="E555" i="2"/>
  <c r="C555" i="2"/>
  <c r="N555" i="2"/>
  <c r="G555" i="2"/>
  <c r="F555" i="2"/>
  <c r="D501" i="2"/>
  <c r="N501" i="2"/>
  <c r="F501" i="2"/>
  <c r="E501" i="2"/>
  <c r="C501" i="2"/>
  <c r="B501" i="2"/>
  <c r="G501" i="2"/>
  <c r="D488" i="2"/>
  <c r="G488" i="2"/>
  <c r="C488" i="2"/>
  <c r="B488" i="2"/>
  <c r="F488" i="2"/>
  <c r="E488" i="2"/>
  <c r="N488" i="2"/>
  <c r="D600" i="2"/>
  <c r="B600" i="2"/>
  <c r="C600" i="2"/>
  <c r="N600" i="2"/>
  <c r="G600" i="2"/>
  <c r="F600" i="2"/>
  <c r="E600" i="2"/>
  <c r="E164" i="2"/>
  <c r="D164" i="2"/>
  <c r="C164" i="2"/>
  <c r="B164" i="2"/>
  <c r="N164" i="2"/>
  <c r="G164" i="2"/>
  <c r="F164" i="2"/>
  <c r="E52" i="2"/>
  <c r="D52" i="2"/>
  <c r="C52" i="2"/>
  <c r="B52" i="2"/>
  <c r="N52" i="2"/>
  <c r="F52" i="2"/>
  <c r="G52" i="2"/>
  <c r="D653" i="2"/>
  <c r="F653" i="2"/>
  <c r="G653" i="2"/>
  <c r="E653" i="2"/>
  <c r="B653" i="2"/>
  <c r="N653" i="2"/>
  <c r="C653" i="2"/>
  <c r="D597" i="2"/>
  <c r="E597" i="2"/>
  <c r="C597" i="2"/>
  <c r="B597" i="2"/>
  <c r="G597" i="2"/>
  <c r="F597" i="2"/>
  <c r="N597" i="2"/>
  <c r="E156" i="2"/>
  <c r="D156" i="2"/>
  <c r="C156" i="2"/>
  <c r="B156" i="2"/>
  <c r="N156" i="2"/>
  <c r="G156" i="2"/>
  <c r="F156" i="2"/>
  <c r="G316" i="2"/>
  <c r="F316" i="2"/>
  <c r="D316" i="2"/>
  <c r="B316" i="2"/>
  <c r="N316" i="2"/>
  <c r="E316" i="2"/>
  <c r="C316" i="2"/>
  <c r="D523" i="2"/>
  <c r="B523" i="2"/>
  <c r="N523" i="2"/>
  <c r="G523" i="2"/>
  <c r="F523" i="2"/>
  <c r="E523" i="2"/>
  <c r="C523" i="2"/>
  <c r="N341" i="2"/>
  <c r="B341" i="2"/>
  <c r="F341" i="2"/>
  <c r="E341" i="2"/>
  <c r="D341" i="2"/>
  <c r="C341" i="2"/>
  <c r="G341" i="2"/>
  <c r="G286" i="2"/>
  <c r="F286" i="2"/>
  <c r="E286" i="2"/>
  <c r="D286" i="2"/>
  <c r="B286" i="2"/>
  <c r="N286" i="2"/>
  <c r="C286" i="2"/>
  <c r="F463" i="2"/>
  <c r="E463" i="2"/>
  <c r="B463" i="2"/>
  <c r="D463" i="2"/>
  <c r="C463" i="2"/>
  <c r="N463" i="2"/>
  <c r="G463" i="2"/>
  <c r="G236" i="2"/>
  <c r="E236" i="2"/>
  <c r="N236" i="2"/>
  <c r="F236" i="2"/>
  <c r="D236" i="2"/>
  <c r="C236" i="2"/>
  <c r="B236" i="2"/>
  <c r="D486" i="2"/>
  <c r="F486" i="2"/>
  <c r="G486" i="2"/>
  <c r="E486" i="2"/>
  <c r="C486" i="2"/>
  <c r="B486" i="2"/>
  <c r="N486" i="2"/>
  <c r="G259" i="2"/>
  <c r="E259" i="2"/>
  <c r="F259" i="2"/>
  <c r="D259" i="2"/>
  <c r="C259" i="2"/>
  <c r="B259" i="2"/>
  <c r="N259" i="2"/>
  <c r="F222" i="2"/>
  <c r="E222" i="2"/>
  <c r="D222" i="2"/>
  <c r="C222" i="2"/>
  <c r="B222" i="2"/>
  <c r="N222" i="2"/>
  <c r="G222" i="2"/>
  <c r="G315" i="2"/>
  <c r="F315" i="2"/>
  <c r="D315" i="2"/>
  <c r="B315" i="2"/>
  <c r="E315" i="2"/>
  <c r="C315" i="2"/>
  <c r="N315" i="2"/>
  <c r="D548" i="2"/>
  <c r="B548" i="2"/>
  <c r="N548" i="2"/>
  <c r="G548" i="2"/>
  <c r="F548" i="2"/>
  <c r="C548" i="2"/>
  <c r="E548" i="2"/>
  <c r="G264" i="2"/>
  <c r="E264" i="2"/>
  <c r="N264" i="2"/>
  <c r="F264" i="2"/>
  <c r="D264" i="2"/>
  <c r="C264" i="2"/>
  <c r="B264" i="2"/>
  <c r="G254" i="2"/>
  <c r="E254" i="2"/>
  <c r="N254" i="2"/>
  <c r="F254" i="2"/>
  <c r="D254" i="2"/>
  <c r="C254" i="2"/>
  <c r="B254" i="2"/>
  <c r="D479" i="2"/>
  <c r="B479" i="2"/>
  <c r="N479" i="2"/>
  <c r="G479" i="2"/>
  <c r="F479" i="2"/>
  <c r="E479" i="2"/>
  <c r="C479" i="2"/>
  <c r="D227" i="2"/>
  <c r="C227" i="2"/>
  <c r="B227" i="2"/>
  <c r="N227" i="2"/>
  <c r="G227" i="2"/>
  <c r="F227" i="2"/>
  <c r="E227" i="2"/>
  <c r="G312" i="2"/>
  <c r="F312" i="2"/>
  <c r="D312" i="2"/>
  <c r="B312" i="2"/>
  <c r="E312" i="2"/>
  <c r="C312" i="2"/>
  <c r="N312" i="2"/>
  <c r="G224" i="2"/>
  <c r="F224" i="2"/>
  <c r="E224" i="2"/>
  <c r="D224" i="2"/>
  <c r="C224" i="2"/>
  <c r="B224" i="2"/>
  <c r="N224" i="2"/>
  <c r="B433" i="2"/>
  <c r="D433" i="2"/>
  <c r="C433" i="2"/>
  <c r="G433" i="2"/>
  <c r="F433" i="2"/>
  <c r="E433" i="2"/>
  <c r="N433" i="2"/>
  <c r="G301" i="2"/>
  <c r="F301" i="2"/>
  <c r="D301" i="2"/>
  <c r="B301" i="2"/>
  <c r="N301" i="2"/>
  <c r="E301" i="2"/>
  <c r="C301" i="2"/>
  <c r="D617" i="2"/>
  <c r="F617" i="2"/>
  <c r="C617" i="2"/>
  <c r="B617" i="2"/>
  <c r="E617" i="2"/>
  <c r="N617" i="2"/>
  <c r="G617" i="2"/>
  <c r="F92" i="2"/>
  <c r="E92" i="2"/>
  <c r="D92" i="2"/>
  <c r="C92" i="2"/>
  <c r="B92" i="2"/>
  <c r="N92" i="2"/>
  <c r="G92" i="2"/>
  <c r="B430" i="2"/>
  <c r="N430" i="2"/>
  <c r="G430" i="2"/>
  <c r="F430" i="2"/>
  <c r="E430" i="2"/>
  <c r="D430" i="2"/>
  <c r="C430" i="2"/>
  <c r="N351" i="2"/>
  <c r="G351" i="2"/>
  <c r="F351" i="2"/>
  <c r="E351" i="2"/>
  <c r="D351" i="2"/>
  <c r="C351" i="2"/>
  <c r="B351" i="2"/>
  <c r="N354" i="2"/>
  <c r="G354" i="2"/>
  <c r="F354" i="2"/>
  <c r="E354" i="2"/>
  <c r="D354" i="2"/>
  <c r="C354" i="2"/>
  <c r="B354" i="2"/>
  <c r="F439" i="2"/>
  <c r="B439" i="2"/>
  <c r="G439" i="2"/>
  <c r="E439" i="2"/>
  <c r="D439" i="2"/>
  <c r="C439" i="2"/>
  <c r="N439" i="2"/>
  <c r="G270" i="2"/>
  <c r="F270" i="2"/>
  <c r="E270" i="2"/>
  <c r="D270" i="2"/>
  <c r="B270" i="2"/>
  <c r="N270" i="2"/>
  <c r="C270" i="2"/>
  <c r="D288" i="2"/>
  <c r="G288" i="2"/>
  <c r="F288" i="2"/>
  <c r="E288" i="2"/>
  <c r="B288" i="2"/>
  <c r="C288" i="2"/>
  <c r="N288" i="2"/>
  <c r="D503" i="2"/>
  <c r="B503" i="2"/>
  <c r="N503" i="2"/>
  <c r="G503" i="2"/>
  <c r="F503" i="2"/>
  <c r="E503" i="2"/>
  <c r="C503" i="2"/>
  <c r="N349" i="2"/>
  <c r="G349" i="2"/>
  <c r="F349" i="2"/>
  <c r="E349" i="2"/>
  <c r="D349" i="2"/>
  <c r="C349" i="2"/>
  <c r="B349" i="2"/>
  <c r="N356" i="2"/>
  <c r="G356" i="2"/>
  <c r="F356" i="2"/>
  <c r="E356" i="2"/>
  <c r="D356" i="2"/>
  <c r="C356" i="2"/>
  <c r="B356" i="2"/>
  <c r="G275" i="2"/>
  <c r="F275" i="2"/>
  <c r="E275" i="2"/>
  <c r="D275" i="2"/>
  <c r="N275" i="2"/>
  <c r="C275" i="2"/>
  <c r="B275" i="2"/>
  <c r="G267" i="2"/>
  <c r="E267" i="2"/>
  <c r="N267" i="2"/>
  <c r="F267" i="2"/>
  <c r="D267" i="2"/>
  <c r="C267" i="2"/>
  <c r="B267" i="2"/>
  <c r="D522" i="2"/>
  <c r="N522" i="2"/>
  <c r="G522" i="2"/>
  <c r="C522" i="2"/>
  <c r="B522" i="2"/>
  <c r="F522" i="2"/>
  <c r="E522" i="2"/>
  <c r="F445" i="2"/>
  <c r="B445" i="2"/>
  <c r="N445" i="2"/>
  <c r="G445" i="2"/>
  <c r="E445" i="2"/>
  <c r="D445" i="2"/>
  <c r="C445" i="2"/>
  <c r="G271" i="2"/>
  <c r="F271" i="2"/>
  <c r="E271" i="2"/>
  <c r="D271" i="2"/>
  <c r="N271" i="2"/>
  <c r="C271" i="2"/>
  <c r="B271" i="2"/>
  <c r="G284" i="2"/>
  <c r="F284" i="2"/>
  <c r="E284" i="2"/>
  <c r="D284" i="2"/>
  <c r="B284" i="2"/>
  <c r="C284" i="2"/>
  <c r="N284" i="2"/>
  <c r="G237" i="2"/>
  <c r="E237" i="2"/>
  <c r="N237" i="2"/>
  <c r="F237" i="2"/>
  <c r="D237" i="2"/>
  <c r="C237" i="2"/>
  <c r="B237" i="2"/>
  <c r="E345" i="2"/>
  <c r="D345" i="2"/>
  <c r="C345" i="2"/>
  <c r="B345" i="2"/>
  <c r="N345" i="2"/>
  <c r="G345" i="2"/>
  <c r="F345" i="2"/>
  <c r="G260" i="2"/>
  <c r="E260" i="2"/>
  <c r="N260" i="2"/>
  <c r="F260" i="2"/>
  <c r="D260" i="2"/>
  <c r="C260" i="2"/>
  <c r="B260" i="2"/>
  <c r="G309" i="2"/>
  <c r="F309" i="2"/>
  <c r="D309" i="2"/>
  <c r="B309" i="2"/>
  <c r="E309" i="2"/>
  <c r="C309" i="2"/>
  <c r="N309" i="2"/>
  <c r="N357" i="2"/>
  <c r="G357" i="2"/>
  <c r="C357" i="2"/>
  <c r="B357" i="2"/>
  <c r="F357" i="2"/>
  <c r="E357" i="2"/>
  <c r="D357" i="2"/>
  <c r="G335" i="2"/>
  <c r="F335" i="2"/>
  <c r="D335" i="2"/>
  <c r="C335" i="2"/>
  <c r="B335" i="2"/>
  <c r="E335" i="2"/>
  <c r="N335" i="2"/>
  <c r="G233" i="2"/>
  <c r="E233" i="2"/>
  <c r="N233" i="2"/>
  <c r="F233" i="2"/>
  <c r="D233" i="2"/>
  <c r="C233" i="2"/>
  <c r="B233" i="2"/>
  <c r="G245" i="2"/>
  <c r="E245" i="2"/>
  <c r="N245" i="2"/>
  <c r="F245" i="2"/>
  <c r="D245" i="2"/>
  <c r="C245" i="2"/>
  <c r="B245" i="2"/>
  <c r="F334" i="2"/>
  <c r="E334" i="2"/>
  <c r="C334" i="2"/>
  <c r="B334" i="2"/>
  <c r="N334" i="2"/>
  <c r="G334" i="2"/>
  <c r="D334" i="2"/>
  <c r="N574" i="2"/>
  <c r="F574" i="2"/>
  <c r="G574" i="2"/>
  <c r="C574" i="2"/>
  <c r="B574" i="2"/>
  <c r="E574" i="2"/>
  <c r="D574" i="2"/>
  <c r="G422" i="2"/>
  <c r="N422" i="2"/>
  <c r="F422" i="2"/>
  <c r="E422" i="2"/>
  <c r="D422" i="2"/>
  <c r="C422" i="2"/>
  <c r="B422" i="2"/>
  <c r="D134" i="2"/>
  <c r="B134" i="2"/>
  <c r="G134" i="2"/>
  <c r="F134" i="2"/>
  <c r="E134" i="2"/>
  <c r="C134" i="2"/>
  <c r="N134" i="2"/>
  <c r="F86" i="2"/>
  <c r="E86" i="2"/>
  <c r="D86" i="2"/>
  <c r="C86" i="2"/>
  <c r="B86" i="2"/>
  <c r="N86" i="2"/>
  <c r="G86" i="2"/>
  <c r="D628" i="2"/>
  <c r="G628" i="2"/>
  <c r="N628" i="2"/>
  <c r="F628" i="2"/>
  <c r="B628" i="2"/>
  <c r="E628" i="2"/>
  <c r="C628" i="2"/>
  <c r="B381" i="2"/>
  <c r="N381" i="2"/>
  <c r="G381" i="2"/>
  <c r="F381" i="2"/>
  <c r="D381" i="2"/>
  <c r="C381" i="2"/>
  <c r="E381" i="2"/>
  <c r="E172" i="2"/>
  <c r="D172" i="2"/>
  <c r="C172" i="2"/>
  <c r="B172" i="2"/>
  <c r="N172" i="2"/>
  <c r="G172" i="2"/>
  <c r="F172" i="2"/>
  <c r="E176" i="2"/>
  <c r="D176" i="2"/>
  <c r="C176" i="2"/>
  <c r="B176" i="2"/>
  <c r="N176" i="2"/>
  <c r="G176" i="2"/>
  <c r="F176" i="2"/>
  <c r="D490" i="2"/>
  <c r="N490" i="2"/>
  <c r="B490" i="2"/>
  <c r="G490" i="2"/>
  <c r="F490" i="2"/>
  <c r="E490" i="2"/>
  <c r="C490" i="2"/>
  <c r="G249" i="2"/>
  <c r="E249" i="2"/>
  <c r="N249" i="2"/>
  <c r="B249" i="2"/>
  <c r="D249" i="2"/>
  <c r="C249" i="2"/>
  <c r="F249" i="2"/>
  <c r="G242" i="2"/>
  <c r="E242" i="2"/>
  <c r="N242" i="2"/>
  <c r="F242" i="2"/>
  <c r="D242" i="2"/>
  <c r="C242" i="2"/>
  <c r="B242" i="2"/>
  <c r="N225" i="2"/>
  <c r="G225" i="2"/>
  <c r="F225" i="2"/>
  <c r="E225" i="2"/>
  <c r="D225" i="2"/>
  <c r="C225" i="2"/>
  <c r="B225" i="2"/>
  <c r="G279" i="2"/>
  <c r="F279" i="2"/>
  <c r="E279" i="2"/>
  <c r="D279" i="2"/>
  <c r="N279" i="2"/>
  <c r="C279" i="2"/>
  <c r="B279" i="2"/>
  <c r="D577" i="2"/>
  <c r="E577" i="2"/>
  <c r="B577" i="2"/>
  <c r="C577" i="2"/>
  <c r="F577" i="2"/>
  <c r="N577" i="2"/>
  <c r="G577" i="2"/>
  <c r="D613" i="2"/>
  <c r="E613" i="2"/>
  <c r="B613" i="2"/>
  <c r="N613" i="2"/>
  <c r="C613" i="2"/>
  <c r="G613" i="2"/>
  <c r="F613" i="2"/>
  <c r="D625" i="2"/>
  <c r="E625" i="2"/>
  <c r="B625" i="2"/>
  <c r="N625" i="2"/>
  <c r="G625" i="2"/>
  <c r="F625" i="2"/>
  <c r="C625" i="2"/>
  <c r="D496" i="2"/>
  <c r="G496" i="2"/>
  <c r="C496" i="2"/>
  <c r="B496" i="2"/>
  <c r="F496" i="2"/>
  <c r="E496" i="2"/>
  <c r="N496" i="2"/>
  <c r="G428" i="2"/>
  <c r="E428" i="2"/>
  <c r="D428" i="2"/>
  <c r="B428" i="2"/>
  <c r="N428" i="2"/>
  <c r="F428" i="2"/>
  <c r="C428" i="2"/>
  <c r="G313" i="2"/>
  <c r="F313" i="2"/>
  <c r="D313" i="2"/>
  <c r="B313" i="2"/>
  <c r="N313" i="2"/>
  <c r="E313" i="2"/>
  <c r="C313" i="2"/>
  <c r="F97" i="2"/>
  <c r="E97" i="2"/>
  <c r="D97" i="2"/>
  <c r="C97" i="2"/>
  <c r="B97" i="2"/>
  <c r="N97" i="2"/>
  <c r="G97" i="2"/>
  <c r="F122" i="2"/>
  <c r="E122" i="2"/>
  <c r="D122" i="2"/>
  <c r="C122" i="2"/>
  <c r="B122" i="2"/>
  <c r="N122" i="2"/>
  <c r="G122" i="2"/>
  <c r="E212" i="2"/>
  <c r="D212" i="2"/>
  <c r="C212" i="2"/>
  <c r="B212" i="2"/>
  <c r="N212" i="2"/>
  <c r="G212" i="2"/>
  <c r="F212" i="2"/>
  <c r="F465" i="2"/>
  <c r="E465" i="2"/>
  <c r="B465" i="2"/>
  <c r="N465" i="2"/>
  <c r="G465" i="2"/>
  <c r="D465" i="2"/>
  <c r="C465" i="2"/>
  <c r="G413" i="2"/>
  <c r="E413" i="2"/>
  <c r="D413" i="2"/>
  <c r="C413" i="2"/>
  <c r="B413" i="2"/>
  <c r="N413" i="2"/>
  <c r="F413" i="2"/>
  <c r="D547" i="2"/>
  <c r="N547" i="2"/>
  <c r="G547" i="2"/>
  <c r="F547" i="2"/>
  <c r="B547" i="2"/>
  <c r="E547" i="2"/>
  <c r="C547" i="2"/>
  <c r="N398" i="2"/>
  <c r="G398" i="2"/>
  <c r="E398" i="2"/>
  <c r="D398" i="2"/>
  <c r="C398" i="2"/>
  <c r="B398" i="2"/>
  <c r="F398" i="2"/>
  <c r="N374" i="2"/>
  <c r="G374" i="2"/>
  <c r="E374" i="2"/>
  <c r="D374" i="2"/>
  <c r="C374" i="2"/>
  <c r="B374" i="2"/>
  <c r="F374" i="2"/>
  <c r="E204" i="2"/>
  <c r="D204" i="2"/>
  <c r="C204" i="2"/>
  <c r="B204" i="2"/>
  <c r="N204" i="2"/>
  <c r="G204" i="2"/>
  <c r="F204" i="2"/>
  <c r="F76" i="2"/>
  <c r="E76" i="2"/>
  <c r="D76" i="2"/>
  <c r="C76" i="2"/>
  <c r="B76" i="2"/>
  <c r="N76" i="2"/>
  <c r="G76" i="2"/>
  <c r="F103" i="2"/>
  <c r="E103" i="2"/>
  <c r="D103" i="2"/>
  <c r="C103" i="2"/>
  <c r="B103" i="2"/>
  <c r="N103" i="2"/>
  <c r="G103" i="2"/>
  <c r="G411" i="2"/>
  <c r="B411" i="2"/>
  <c r="N411" i="2"/>
  <c r="F411" i="2"/>
  <c r="E411" i="2"/>
  <c r="D411" i="2"/>
  <c r="C411" i="2"/>
  <c r="F107" i="2"/>
  <c r="E107" i="2"/>
  <c r="D107" i="2"/>
  <c r="C107" i="2"/>
  <c r="B107" i="2"/>
  <c r="N107" i="2"/>
  <c r="G107" i="2"/>
  <c r="F119" i="2"/>
  <c r="E119" i="2"/>
  <c r="D119" i="2"/>
  <c r="C119" i="2"/>
  <c r="B119" i="2"/>
  <c r="N119" i="2"/>
  <c r="G119" i="2"/>
  <c r="E190" i="2"/>
  <c r="D190" i="2"/>
  <c r="C190" i="2"/>
  <c r="B190" i="2"/>
  <c r="N190" i="2"/>
  <c r="G190" i="2"/>
  <c r="F190" i="2"/>
  <c r="G423" i="2"/>
  <c r="B423" i="2"/>
  <c r="N423" i="2"/>
  <c r="F423" i="2"/>
  <c r="E423" i="2"/>
  <c r="D423" i="2"/>
  <c r="C423" i="2"/>
  <c r="G425" i="2"/>
  <c r="E425" i="2"/>
  <c r="D425" i="2"/>
  <c r="C425" i="2"/>
  <c r="B425" i="2"/>
  <c r="N425" i="2"/>
  <c r="F425" i="2"/>
  <c r="E187" i="2"/>
  <c r="D187" i="2"/>
  <c r="C187" i="2"/>
  <c r="B187" i="2"/>
  <c r="N187" i="2"/>
  <c r="G187" i="2"/>
  <c r="F187" i="2"/>
  <c r="D540" i="2"/>
  <c r="F540" i="2"/>
  <c r="N540" i="2"/>
  <c r="G540" i="2"/>
  <c r="E540" i="2"/>
  <c r="C540" i="2"/>
  <c r="B540" i="2"/>
  <c r="D482" i="2"/>
  <c r="F482" i="2"/>
  <c r="E482" i="2"/>
  <c r="N482" i="2"/>
  <c r="G482" i="2"/>
  <c r="C482" i="2"/>
  <c r="B482" i="2"/>
  <c r="D546" i="2"/>
  <c r="G546" i="2"/>
  <c r="N546" i="2"/>
  <c r="F546" i="2"/>
  <c r="E546" i="2"/>
  <c r="C546" i="2"/>
  <c r="B546" i="2"/>
  <c r="D582" i="2"/>
  <c r="B582" i="2"/>
  <c r="G582" i="2"/>
  <c r="C582" i="2"/>
  <c r="N582" i="2"/>
  <c r="F582" i="2"/>
  <c r="E582" i="2"/>
  <c r="E192" i="2"/>
  <c r="D192" i="2"/>
  <c r="C192" i="2"/>
  <c r="B192" i="2"/>
  <c r="N192" i="2"/>
  <c r="G192" i="2"/>
  <c r="F192" i="2"/>
  <c r="F74" i="2"/>
  <c r="E74" i="2"/>
  <c r="D74" i="2"/>
  <c r="C74" i="2"/>
  <c r="B74" i="2"/>
  <c r="N74" i="2"/>
  <c r="G74" i="2"/>
  <c r="F79" i="2"/>
  <c r="E79" i="2"/>
  <c r="D79" i="2"/>
  <c r="C79" i="2"/>
  <c r="B79" i="2"/>
  <c r="N79" i="2"/>
  <c r="G79" i="2"/>
  <c r="F367" i="2"/>
  <c r="G367" i="2"/>
  <c r="E367" i="2"/>
  <c r="D367" i="2"/>
  <c r="C367" i="2"/>
  <c r="B367" i="2"/>
  <c r="N367" i="2"/>
  <c r="F371" i="2"/>
  <c r="E371" i="2"/>
  <c r="B371" i="2"/>
  <c r="N371" i="2"/>
  <c r="D371" i="2"/>
  <c r="C371" i="2"/>
  <c r="G371" i="2"/>
  <c r="G412" i="2"/>
  <c r="E412" i="2"/>
  <c r="D412" i="2"/>
  <c r="B412" i="2"/>
  <c r="F412" i="2"/>
  <c r="C412" i="2"/>
  <c r="N412" i="2"/>
  <c r="D641" i="2"/>
  <c r="E641" i="2"/>
  <c r="C641" i="2"/>
  <c r="N641" i="2"/>
  <c r="B641" i="2"/>
  <c r="G641" i="2"/>
  <c r="F641" i="2"/>
  <c r="F385" i="2"/>
  <c r="E385" i="2"/>
  <c r="N385" i="2"/>
  <c r="G385" i="2"/>
  <c r="D385" i="2"/>
  <c r="C385" i="2"/>
  <c r="B385" i="2"/>
  <c r="D292" i="2"/>
  <c r="B292" i="2"/>
  <c r="N292" i="2"/>
  <c r="G292" i="2"/>
  <c r="F292" i="2"/>
  <c r="E292" i="2"/>
  <c r="C292" i="2"/>
  <c r="D612" i="2"/>
  <c r="B612" i="2"/>
  <c r="C612" i="2"/>
  <c r="F612" i="2"/>
  <c r="E612" i="2"/>
  <c r="G612" i="2"/>
  <c r="N612" i="2"/>
  <c r="D570" i="2"/>
  <c r="N570" i="2"/>
  <c r="G570" i="2"/>
  <c r="F570" i="2"/>
  <c r="B570" i="2"/>
  <c r="E570" i="2"/>
  <c r="C570" i="2"/>
  <c r="E51" i="2"/>
  <c r="D51" i="2"/>
  <c r="C51" i="2"/>
  <c r="B51" i="2"/>
  <c r="N51" i="2"/>
  <c r="G51" i="2"/>
  <c r="F51" i="2"/>
  <c r="E179" i="2"/>
  <c r="D179" i="2"/>
  <c r="C179" i="2"/>
  <c r="B179" i="2"/>
  <c r="N179" i="2"/>
  <c r="F179" i="2"/>
  <c r="G179" i="2"/>
  <c r="D619" i="2"/>
  <c r="E619" i="2"/>
  <c r="F619" i="2"/>
  <c r="G619" i="2"/>
  <c r="B619" i="2"/>
  <c r="N619" i="2"/>
  <c r="C619" i="2"/>
  <c r="D518" i="2"/>
  <c r="E518" i="2"/>
  <c r="C518" i="2"/>
  <c r="N518" i="2"/>
  <c r="G518" i="2"/>
  <c r="F518" i="2"/>
  <c r="B518" i="2"/>
  <c r="E180" i="2"/>
  <c r="D180" i="2"/>
  <c r="C180" i="2"/>
  <c r="B180" i="2"/>
  <c r="N180" i="2"/>
  <c r="G180" i="2"/>
  <c r="F180" i="2"/>
  <c r="F72" i="2"/>
  <c r="E72" i="2"/>
  <c r="D72" i="2"/>
  <c r="C72" i="2"/>
  <c r="B72" i="2"/>
  <c r="N72" i="2"/>
  <c r="G72" i="2"/>
  <c r="E47" i="2"/>
  <c r="D47" i="2"/>
  <c r="C47" i="2"/>
  <c r="B47" i="2"/>
  <c r="N47" i="2"/>
  <c r="F47" i="2"/>
  <c r="G47" i="2"/>
  <c r="D638" i="2"/>
  <c r="G638" i="2"/>
  <c r="B638" i="2"/>
  <c r="N638" i="2"/>
  <c r="E638" i="2"/>
  <c r="C638" i="2"/>
  <c r="F638" i="2"/>
  <c r="D615" i="2"/>
  <c r="E615" i="2"/>
  <c r="N615" i="2"/>
  <c r="G615" i="2"/>
  <c r="F615" i="2"/>
  <c r="C615" i="2"/>
  <c r="B615" i="2"/>
  <c r="B375" i="2"/>
  <c r="F375" i="2"/>
  <c r="E375" i="2"/>
  <c r="D375" i="2"/>
  <c r="C375" i="2"/>
  <c r="G375" i="2"/>
  <c r="N375" i="2"/>
  <c r="D610" i="2"/>
  <c r="G610" i="2"/>
  <c r="C610" i="2"/>
  <c r="B610" i="2"/>
  <c r="F610" i="2"/>
  <c r="E610" i="2"/>
  <c r="N610" i="2"/>
  <c r="D394" i="2"/>
  <c r="C394" i="2"/>
  <c r="N394" i="2"/>
  <c r="F394" i="2"/>
  <c r="E394" i="2"/>
  <c r="B394" i="2"/>
  <c r="G394" i="2"/>
  <c r="F102" i="2"/>
  <c r="E102" i="2"/>
  <c r="D102" i="2"/>
  <c r="C102" i="2"/>
  <c r="B102" i="2"/>
  <c r="N102" i="2"/>
  <c r="G102" i="2"/>
  <c r="F391" i="2"/>
  <c r="E391" i="2"/>
  <c r="N391" i="2"/>
  <c r="G391" i="2"/>
  <c r="D391" i="2"/>
  <c r="C391" i="2"/>
  <c r="B391" i="2"/>
  <c r="D16" i="2" l="1"/>
  <c r="B17" i="2"/>
  <c r="E16" i="2"/>
  <c r="C17" i="2"/>
  <c r="D17" i="2"/>
  <c r="E17" i="2"/>
  <c r="F17" i="2"/>
  <c r="G16" i="2"/>
  <c r="H42" i="1"/>
  <c r="G42" i="1"/>
  <c r="F43" i="1" a="1"/>
  <c r="F43" i="1" s="1"/>
  <c r="D27" i="2"/>
  <c r="G18" i="2"/>
  <c r="F18" i="2"/>
  <c r="F27" i="2"/>
  <c r="G27" i="2"/>
  <c r="F8" i="2"/>
  <c r="B20" i="2"/>
  <c r="E27" i="2"/>
  <c r="B8" i="2"/>
  <c r="C8" i="2"/>
  <c r="D20" i="2"/>
  <c r="B19" i="2"/>
  <c r="D8" i="2"/>
  <c r="B26" i="2"/>
  <c r="E20" i="2"/>
  <c r="C19" i="2"/>
  <c r="B18" i="2"/>
  <c r="E8" i="2"/>
  <c r="C26" i="2"/>
  <c r="F20" i="2"/>
  <c r="D19" i="2"/>
  <c r="C18" i="2"/>
  <c r="D26" i="2"/>
  <c r="E19" i="2"/>
  <c r="D18" i="2"/>
  <c r="E26" i="2"/>
  <c r="F19" i="2"/>
  <c r="H43" i="1" l="1"/>
  <c r="G43" i="1"/>
  <c r="F44" i="1" a="1"/>
  <c r="F44" i="1" s="1"/>
  <c r="H44" i="1" l="1"/>
  <c r="G44" i="1"/>
</calcChain>
</file>

<file path=xl/sharedStrings.xml><?xml version="1.0" encoding="utf-8"?>
<sst xmlns="http://schemas.openxmlformats.org/spreadsheetml/2006/main" count="92" uniqueCount="71">
  <si>
    <t>체험단 정산 리포트</t>
  </si>
  <si>
    <t>조회 연도</t>
  </si>
  <si>
    <t>◀ 클릭해서 연도 선택</t>
  </si>
  <si>
    <t>연간 수익</t>
  </si>
  <si>
    <r>
      <rPr>
        <b/>
        <sz val="11"/>
        <color rgb="FF111827"/>
        <rFont val="Noto Sans CJK SC"/>
        <family val="2"/>
      </rPr>
      <t xml:space="preserve">월간 수익 </t>
    </r>
    <r>
      <rPr>
        <b/>
        <sz val="11"/>
        <color rgb="FF111827"/>
        <rFont val="Malgun Gothic"/>
        <family val="3"/>
        <charset val="129"/>
      </rPr>
      <t xml:space="preserve">· </t>
    </r>
    <r>
      <rPr>
        <b/>
        <sz val="11"/>
        <color rgb="FF111827"/>
        <rFont val="Noto Sans CJK SC"/>
        <family val="2"/>
      </rPr>
      <t>건수</t>
    </r>
  </si>
  <si>
    <t>월</t>
  </si>
  <si>
    <t>건수</t>
  </si>
  <si>
    <t>수익</t>
  </si>
  <si>
    <r>
      <rPr>
        <sz val="10"/>
        <color rgb="FF111827"/>
        <rFont val="Malgun Gothic"/>
        <family val="3"/>
        <charset val="129"/>
      </rPr>
      <t>1</t>
    </r>
    <r>
      <rPr>
        <sz val="10"/>
        <color rgb="FF111827"/>
        <rFont val="Noto Sans CJK SC"/>
        <family val="2"/>
      </rPr>
      <t>월</t>
    </r>
  </si>
  <si>
    <t>구분</t>
  </si>
  <si>
    <t>금액</t>
  </si>
  <si>
    <r>
      <rPr>
        <sz val="10"/>
        <color rgb="FF111827"/>
        <rFont val="Malgun Gothic"/>
        <family val="3"/>
        <charset val="129"/>
      </rPr>
      <t>2</t>
    </r>
    <r>
      <rPr>
        <sz val="10"/>
        <color rgb="FF111827"/>
        <rFont val="Noto Sans CJK SC"/>
        <family val="2"/>
      </rPr>
      <t>월</t>
    </r>
  </si>
  <si>
    <t>정산 완료</t>
  </si>
  <si>
    <r>
      <rPr>
        <sz val="10"/>
        <color rgb="FF111827"/>
        <rFont val="Malgun Gothic"/>
        <family val="3"/>
        <charset val="129"/>
      </rPr>
      <t>3</t>
    </r>
    <r>
      <rPr>
        <sz val="10"/>
        <color rgb="FF111827"/>
        <rFont val="Noto Sans CJK SC"/>
        <family val="2"/>
      </rPr>
      <t>월</t>
    </r>
  </si>
  <si>
    <t>정산 예정</t>
  </si>
  <si>
    <r>
      <rPr>
        <sz val="10"/>
        <color rgb="FF111827"/>
        <rFont val="Malgun Gothic"/>
        <family val="3"/>
        <charset val="129"/>
      </rPr>
      <t>4</t>
    </r>
    <r>
      <rPr>
        <sz val="10"/>
        <color rgb="FF111827"/>
        <rFont val="Noto Sans CJK SC"/>
        <family val="2"/>
      </rPr>
      <t>월</t>
    </r>
  </si>
  <si>
    <t>합계</t>
  </si>
  <si>
    <r>
      <rPr>
        <sz val="10"/>
        <color rgb="FF111827"/>
        <rFont val="Malgun Gothic"/>
        <family val="3"/>
        <charset val="129"/>
      </rPr>
      <t>5</t>
    </r>
    <r>
      <rPr>
        <sz val="10"/>
        <color rgb="FF111827"/>
        <rFont val="Noto Sans CJK SC"/>
        <family val="2"/>
      </rPr>
      <t>월</t>
    </r>
  </si>
  <si>
    <t>전년 대비</t>
  </si>
  <si>
    <r>
      <rPr>
        <sz val="10"/>
        <color rgb="FF111827"/>
        <rFont val="Malgun Gothic"/>
        <family val="3"/>
        <charset val="129"/>
      </rPr>
      <t>6</t>
    </r>
    <r>
      <rPr>
        <sz val="10"/>
        <color rgb="FF111827"/>
        <rFont val="Noto Sans CJK SC"/>
        <family val="2"/>
      </rPr>
      <t>월</t>
    </r>
  </si>
  <si>
    <t>건당 평균 수익</t>
  </si>
  <si>
    <r>
      <rPr>
        <sz val="10"/>
        <color rgb="FF111827"/>
        <rFont val="Malgun Gothic"/>
        <family val="3"/>
        <charset val="129"/>
      </rPr>
      <t>7</t>
    </r>
    <r>
      <rPr>
        <sz val="10"/>
        <color rgb="FF111827"/>
        <rFont val="Noto Sans CJK SC"/>
        <family val="2"/>
      </rPr>
      <t>월</t>
    </r>
  </si>
  <si>
    <r>
      <rPr>
        <sz val="10"/>
        <color rgb="FF111827"/>
        <rFont val="Malgun Gothic"/>
        <family val="3"/>
        <charset val="129"/>
      </rPr>
      <t>8</t>
    </r>
    <r>
      <rPr>
        <sz val="10"/>
        <color rgb="FF111827"/>
        <rFont val="Noto Sans CJK SC"/>
        <family val="2"/>
      </rPr>
      <t>월</t>
    </r>
  </si>
  <si>
    <r>
      <rPr>
        <sz val="10"/>
        <color rgb="FF111827"/>
        <rFont val="Malgun Gothic"/>
        <family val="3"/>
        <charset val="129"/>
      </rPr>
      <t>9</t>
    </r>
    <r>
      <rPr>
        <sz val="10"/>
        <color rgb="FF111827"/>
        <rFont val="Noto Sans CJK SC"/>
        <family val="2"/>
      </rPr>
      <t>월</t>
    </r>
  </si>
  <si>
    <r>
      <rPr>
        <sz val="10"/>
        <color rgb="FF111827"/>
        <rFont val="Malgun Gothic"/>
        <family val="3"/>
        <charset val="129"/>
      </rPr>
      <t>10</t>
    </r>
    <r>
      <rPr>
        <sz val="10"/>
        <color rgb="FF111827"/>
        <rFont val="Noto Sans CJK SC"/>
        <family val="2"/>
      </rPr>
      <t>월</t>
    </r>
  </si>
  <si>
    <r>
      <rPr>
        <sz val="10"/>
        <color rgb="FF111827"/>
        <rFont val="Malgun Gothic"/>
        <family val="3"/>
        <charset val="129"/>
      </rPr>
      <t>11</t>
    </r>
    <r>
      <rPr>
        <sz val="10"/>
        <color rgb="FF111827"/>
        <rFont val="Noto Sans CJK SC"/>
        <family val="2"/>
      </rPr>
      <t>월</t>
    </r>
  </si>
  <si>
    <r>
      <rPr>
        <sz val="10"/>
        <color rgb="FF111827"/>
        <rFont val="Malgun Gothic"/>
        <family val="3"/>
        <charset val="129"/>
      </rPr>
      <t>12</t>
    </r>
    <r>
      <rPr>
        <sz val="10"/>
        <color rgb="FF111827"/>
        <rFont val="Noto Sans CJK SC"/>
        <family val="2"/>
      </rPr>
      <t>월</t>
    </r>
  </si>
  <si>
    <t>월별 하이라이트</t>
  </si>
  <si>
    <r>
      <rPr>
        <b/>
        <sz val="11"/>
        <color rgb="FF111827"/>
        <rFont val="Noto Sans CJK SC"/>
        <family val="2"/>
      </rPr>
      <t>사이트</t>
    </r>
    <r>
      <rPr>
        <b/>
        <sz val="11"/>
        <color rgb="FF111827"/>
        <rFont val="Malgun Gothic"/>
        <family val="3"/>
        <charset val="129"/>
      </rPr>
      <t>(</t>
    </r>
    <r>
      <rPr>
        <b/>
        <sz val="11"/>
        <color rgb="FF111827"/>
        <rFont val="Noto Sans CJK SC"/>
        <family val="2"/>
      </rPr>
      <t>플랫폼</t>
    </r>
    <r>
      <rPr>
        <b/>
        <sz val="11"/>
        <color rgb="FF111827"/>
        <rFont val="Malgun Gothic"/>
        <family val="3"/>
        <charset val="129"/>
      </rPr>
      <t xml:space="preserve">) </t>
    </r>
    <r>
      <rPr>
        <b/>
        <sz val="11"/>
        <color rgb="FF111827"/>
        <rFont val="Noto Sans CJK SC"/>
        <family val="2"/>
      </rPr>
      <t>분석</t>
    </r>
  </si>
  <si>
    <t>최고 수익 달</t>
  </si>
  <si>
    <t>사이트</t>
  </si>
  <si>
    <t>실수익</t>
  </si>
  <si>
    <t>최고 건수 달</t>
  </si>
  <si>
    <t>이번 달 수익</t>
  </si>
  <si>
    <t>이번 달 건수</t>
  </si>
  <si>
    <t>계산 기준</t>
  </si>
  <si>
    <r>
      <rPr>
        <sz val="9"/>
        <color rgb="FF6B7280"/>
        <rFont val="Malgun Gothic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 xml:space="preserve">월 구분은 </t>
    </r>
    <r>
      <rPr>
        <sz val="9"/>
        <color rgb="FF6B7280"/>
        <rFont val="Malgun Gothic"/>
        <family val="3"/>
        <charset val="129"/>
      </rPr>
      <t>'</t>
    </r>
    <r>
      <rPr>
        <sz val="9"/>
        <color rgb="FF6B7280"/>
        <rFont val="Noto Sans CJK SC"/>
        <family val="2"/>
      </rPr>
      <t>방문일</t>
    </r>
    <r>
      <rPr>
        <sz val="9"/>
        <color rgb="FF6B7280"/>
        <rFont val="Malgun Gothic"/>
        <family val="3"/>
        <charset val="129"/>
      </rPr>
      <t xml:space="preserve">' </t>
    </r>
    <r>
      <rPr>
        <sz val="9"/>
        <color rgb="FF6B7280"/>
        <rFont val="Noto Sans CJK SC"/>
        <family val="2"/>
      </rPr>
      <t>기준</t>
    </r>
  </si>
  <si>
    <r>
      <rPr>
        <sz val="9"/>
        <color rgb="FF6B7280"/>
        <rFont val="Malgun Gothic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 xml:space="preserve">정산 완료 </t>
    </r>
    <r>
      <rPr>
        <sz val="9"/>
        <color rgb="FF6B7280"/>
        <rFont val="Malgun Gothic"/>
        <family val="3"/>
        <charset val="129"/>
      </rPr>
      <t xml:space="preserve">= </t>
    </r>
    <r>
      <rPr>
        <sz val="9"/>
        <color rgb="FF6B7280"/>
        <rFont val="Noto Sans CJK SC"/>
        <family val="2"/>
      </rPr>
      <t xml:space="preserve">비고가 </t>
    </r>
    <r>
      <rPr>
        <sz val="9"/>
        <color rgb="FF6B7280"/>
        <rFont val="Malgun Gothic"/>
        <family val="3"/>
        <charset val="129"/>
      </rPr>
      <t>'</t>
    </r>
    <r>
      <rPr>
        <sz val="9"/>
        <color rgb="FF6B7280"/>
        <rFont val="Noto Sans CJK SC"/>
        <family val="2"/>
      </rPr>
      <t>정산완료</t>
    </r>
    <r>
      <rPr>
        <sz val="9"/>
        <color rgb="FF6B7280"/>
        <rFont val="Malgun Gothic"/>
        <family val="3"/>
        <charset val="129"/>
      </rPr>
      <t>'</t>
    </r>
    <r>
      <rPr>
        <sz val="9"/>
        <color rgb="FF6B7280"/>
        <rFont val="Noto Sans CJK SC"/>
        <family val="2"/>
      </rPr>
      <t>인 건</t>
    </r>
  </si>
  <si>
    <r>
      <rPr>
        <sz val="9"/>
        <color rgb="FF6B7280"/>
        <rFont val="Malgun Gothic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 xml:space="preserve">실수익 </t>
    </r>
    <r>
      <rPr>
        <sz val="9"/>
        <color rgb="FF6B7280"/>
        <rFont val="Malgun Gothic"/>
        <family val="3"/>
        <charset val="129"/>
      </rPr>
      <t xml:space="preserve">= </t>
    </r>
    <r>
      <rPr>
        <sz val="9"/>
        <color rgb="FF6B7280"/>
        <rFont val="Noto Sans CJK SC"/>
        <family val="2"/>
      </rPr>
      <t>제공금액 − 결제금액</t>
    </r>
  </si>
  <si>
    <r>
      <rPr>
        <sz val="9"/>
        <color rgb="FF6B7280"/>
        <rFont val="Malgun Gothic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 xml:space="preserve">정산 리포트는 </t>
    </r>
    <r>
      <rPr>
        <sz val="9"/>
        <color rgb="FF6B7280"/>
        <rFont val="Malgun Gothic"/>
        <family val="3"/>
        <charset val="129"/>
      </rPr>
      <t>'</t>
    </r>
    <r>
      <rPr>
        <sz val="9"/>
        <color rgb="FF6B7280"/>
        <rFont val="Noto Sans CJK SC"/>
        <family val="2"/>
      </rPr>
      <t>완료 체험단</t>
    </r>
    <r>
      <rPr>
        <sz val="9"/>
        <color rgb="FF6B7280"/>
        <rFont val="Malgun Gothic"/>
        <family val="3"/>
        <charset val="129"/>
      </rPr>
      <t xml:space="preserve">' </t>
    </r>
    <r>
      <rPr>
        <sz val="9"/>
        <color rgb="FF6B7280"/>
        <rFont val="Noto Sans CJK SC"/>
        <family val="2"/>
      </rPr>
      <t>시트 기준</t>
    </r>
  </si>
  <si>
    <r>
      <rPr>
        <sz val="9"/>
        <color rgb="FF6B7280"/>
        <rFont val="Malgun Gothic"/>
        <family val="3"/>
        <charset val="129"/>
      </rPr>
      <t xml:space="preserve">· </t>
    </r>
    <r>
      <rPr>
        <sz val="9"/>
        <color rgb="FF6B7280"/>
        <rFont val="Noto Sans CJK SC"/>
        <family val="2"/>
      </rPr>
      <t>사이트 분석은 해당 연도 기준</t>
    </r>
    <r>
      <rPr>
        <sz val="9"/>
        <color rgb="FF6B7280"/>
        <rFont val="Malgun Gothic"/>
        <family val="3"/>
        <charset val="129"/>
      </rPr>
      <t xml:space="preserve">, </t>
    </r>
    <r>
      <rPr>
        <sz val="9"/>
        <color rgb="FF6B7280"/>
        <rFont val="Noto Sans CJK SC"/>
        <family val="2"/>
      </rPr>
      <t xml:space="preserve">최대 </t>
    </r>
    <r>
      <rPr>
        <sz val="9"/>
        <color rgb="FF6B7280"/>
        <rFont val="Malgun Gothic"/>
        <family val="3"/>
        <charset val="129"/>
      </rPr>
      <t>8</t>
    </r>
    <r>
      <rPr>
        <sz val="9"/>
        <color rgb="FF6B7280"/>
        <rFont val="Noto Sans CJK SC"/>
        <family val="2"/>
      </rPr>
      <t>개</t>
    </r>
  </si>
  <si>
    <t>수익 세부내역</t>
  </si>
  <si>
    <r>
      <rPr>
        <sz val="9"/>
        <color rgb="FF6B7280"/>
        <rFont val="Noto Sans CJK SC"/>
        <family val="2"/>
      </rPr>
      <t>※ 연도는 대시보드에서 변경합니다</t>
    </r>
    <r>
      <rPr>
        <sz val="9"/>
        <color rgb="FF6B7280"/>
        <rFont val="Malgun Gothic"/>
        <family val="3"/>
        <charset val="129"/>
      </rPr>
      <t xml:space="preserve">. </t>
    </r>
    <r>
      <rPr>
        <sz val="9"/>
        <color rgb="FF6B7280"/>
        <rFont val="Noto Sans CJK SC"/>
        <family val="2"/>
      </rPr>
      <t>월별 요약 아래에 건별 내역</t>
    </r>
    <r>
      <rPr>
        <sz val="9"/>
        <color rgb="FF6B7280"/>
        <rFont val="Malgun Gothic"/>
        <family val="3"/>
        <charset val="129"/>
      </rPr>
      <t>(</t>
    </r>
    <r>
      <rPr>
        <sz val="9"/>
        <color rgb="FF6B7280"/>
        <rFont val="Noto Sans CJK SC"/>
        <family val="2"/>
      </rPr>
      <t>방문일 순</t>
    </r>
    <r>
      <rPr>
        <sz val="9"/>
        <color rgb="FF6B7280"/>
        <rFont val="Malgun Gothic"/>
        <family val="3"/>
        <charset val="129"/>
      </rPr>
      <t>)</t>
    </r>
    <r>
      <rPr>
        <sz val="9"/>
        <color rgb="FF6B7280"/>
        <rFont val="Noto Sans CJK SC"/>
        <family val="2"/>
      </rPr>
      <t>과 합계가 표시됩니다</t>
    </r>
    <r>
      <rPr>
        <sz val="9"/>
        <color rgb="FF6B7280"/>
        <rFont val="Malgun Gothic"/>
        <family val="3"/>
        <charset val="129"/>
      </rPr>
      <t>.</t>
    </r>
  </si>
  <si>
    <t>블록행수</t>
  </si>
  <si>
    <t>시작오프셋</t>
  </si>
  <si>
    <t>앞선건수</t>
  </si>
  <si>
    <t>제공합</t>
  </si>
  <si>
    <t>결제합</t>
  </si>
  <si>
    <t>실수익합</t>
  </si>
  <si>
    <t>진행중 체험단</t>
  </si>
  <si>
    <r>
      <rPr>
        <sz val="9"/>
        <color rgb="FF6B7280"/>
        <rFont val="Noto Sans CJK SC"/>
        <family val="2"/>
      </rPr>
      <t>※ 진행중인 체험단을 입력하는 시트입니다</t>
    </r>
    <r>
      <rPr>
        <sz val="9"/>
        <color rgb="FF6B7280"/>
        <rFont val="Malgun Gothic"/>
        <family val="3"/>
        <charset val="129"/>
      </rPr>
      <t xml:space="preserve">. </t>
    </r>
    <r>
      <rPr>
        <sz val="9"/>
        <color rgb="FF6B7280"/>
        <rFont val="Noto Sans CJK SC"/>
        <family val="2"/>
      </rPr>
      <t>정산 리포트에는 반영되지 않으며</t>
    </r>
    <r>
      <rPr>
        <sz val="9"/>
        <color rgb="FF6B7280"/>
        <rFont val="Malgun Gothic"/>
        <family val="3"/>
        <charset val="129"/>
      </rPr>
      <t xml:space="preserve">, </t>
    </r>
    <r>
      <rPr>
        <sz val="9"/>
        <color rgb="FF6B7280"/>
        <rFont val="Noto Sans CJK SC"/>
        <family val="2"/>
      </rPr>
      <t xml:space="preserve">완료되면 </t>
    </r>
    <r>
      <rPr>
        <sz val="9"/>
        <color rgb="FF6B7280"/>
        <rFont val="Malgun Gothic"/>
        <family val="3"/>
        <charset val="129"/>
      </rPr>
      <t>'</t>
    </r>
    <r>
      <rPr>
        <sz val="9"/>
        <color rgb="FF6B7280"/>
        <rFont val="Noto Sans CJK SC"/>
        <family val="2"/>
      </rPr>
      <t>완료 체험단</t>
    </r>
    <r>
      <rPr>
        <sz val="9"/>
        <color rgb="FF6B7280"/>
        <rFont val="Malgun Gothic"/>
        <family val="3"/>
        <charset val="129"/>
      </rPr>
      <t xml:space="preserve">' </t>
    </r>
    <r>
      <rPr>
        <sz val="9"/>
        <color rgb="FF6B7280"/>
        <rFont val="Noto Sans CJK SC"/>
        <family val="2"/>
      </rPr>
      <t>시트로 옮겨집니다</t>
    </r>
    <r>
      <rPr>
        <sz val="9"/>
        <color rgb="FF6B7280"/>
        <rFont val="Malgun Gothic"/>
        <family val="3"/>
        <charset val="129"/>
      </rPr>
      <t>. (</t>
    </r>
    <r>
      <rPr>
        <sz val="9"/>
        <color rgb="FF6B7280"/>
        <rFont val="Noto Sans CJK SC"/>
        <family val="2"/>
      </rPr>
      <t xml:space="preserve">아래 </t>
    </r>
    <r>
      <rPr>
        <sz val="9"/>
        <color rgb="FF6B7280"/>
        <rFont val="Malgun Gothic"/>
        <family val="3"/>
        <charset val="129"/>
      </rPr>
      <t>2</t>
    </r>
    <r>
      <rPr>
        <sz val="9"/>
        <color rgb="FF6B7280"/>
        <rFont val="Noto Sans CJK SC"/>
        <family val="2"/>
      </rPr>
      <t>건은 예시</t>
    </r>
    <r>
      <rPr>
        <sz val="9"/>
        <color rgb="FF6B7280"/>
        <rFont val="Malgun Gothic"/>
        <family val="3"/>
        <charset val="129"/>
      </rPr>
      <t>)</t>
    </r>
  </si>
  <si>
    <t>매장명</t>
  </si>
  <si>
    <t>상태</t>
  </si>
  <si>
    <t>방문일</t>
  </si>
  <si>
    <t>마감일</t>
  </si>
  <si>
    <t>제공금액</t>
  </si>
  <si>
    <t>결제금액</t>
  </si>
  <si>
    <t>비고</t>
  </si>
  <si>
    <r>
      <rPr>
        <sz val="10"/>
        <color rgb="FF111827"/>
        <rFont val="Noto Sans CJK SC"/>
        <family val="2"/>
      </rPr>
      <t>예시</t>
    </r>
    <r>
      <rPr>
        <sz val="10"/>
        <color rgb="FF111827"/>
        <rFont val="Malgun Gothic"/>
        <family val="3"/>
        <charset val="129"/>
      </rPr>
      <t>_</t>
    </r>
    <r>
      <rPr>
        <sz val="10"/>
        <color rgb="FF111827"/>
        <rFont val="Noto Sans CJK SC"/>
        <family val="2"/>
      </rPr>
      <t>진행중 체험단</t>
    </r>
    <r>
      <rPr>
        <sz val="10"/>
        <color rgb="FF111827"/>
        <rFont val="Malgun Gothic"/>
        <family val="3"/>
        <charset val="129"/>
      </rPr>
      <t>1</t>
    </r>
  </si>
  <si>
    <t>방문예약</t>
  </si>
  <si>
    <t>레뷰</t>
  </si>
  <si>
    <r>
      <rPr>
        <sz val="10"/>
        <color rgb="FF111827"/>
        <rFont val="Noto Sans CJK SC"/>
        <family val="2"/>
      </rPr>
      <t>예시</t>
    </r>
    <r>
      <rPr>
        <sz val="10"/>
        <color rgb="FF111827"/>
        <rFont val="Malgun Gothic"/>
        <family val="3"/>
        <charset val="129"/>
      </rPr>
      <t>_</t>
    </r>
    <r>
      <rPr>
        <sz val="10"/>
        <color rgb="FF111827"/>
        <rFont val="Noto Sans CJK SC"/>
        <family val="2"/>
      </rPr>
      <t>진행중 체험단</t>
    </r>
    <r>
      <rPr>
        <sz val="10"/>
        <color rgb="FF111827"/>
        <rFont val="Malgun Gothic"/>
        <family val="3"/>
        <charset val="129"/>
      </rPr>
      <t>2</t>
    </r>
  </si>
  <si>
    <t>방문완료</t>
  </si>
  <si>
    <t>리뷰노트</t>
  </si>
  <si>
    <t>완료 체험단</t>
  </si>
  <si>
    <r>
      <rPr>
        <sz val="9"/>
        <color rgb="FF6B7280"/>
        <rFont val="Malgun Gothic"/>
        <family val="3"/>
        <charset val="129"/>
      </rPr>
      <t>※ A~G</t>
    </r>
    <r>
      <rPr>
        <sz val="9"/>
        <color rgb="FF6B7280"/>
        <rFont val="Noto Sans CJK SC"/>
        <family val="2"/>
      </rPr>
      <t>열</t>
    </r>
    <r>
      <rPr>
        <sz val="9"/>
        <color rgb="FF6B7280"/>
        <rFont val="Malgun Gothic"/>
        <family val="3"/>
        <charset val="129"/>
      </rPr>
      <t>, I</t>
    </r>
    <r>
      <rPr>
        <sz val="9"/>
        <color rgb="FF6B7280"/>
        <rFont val="Noto Sans CJK SC"/>
        <family val="2"/>
      </rPr>
      <t>열에 입력하면 대시보드</t>
    </r>
    <r>
      <rPr>
        <sz val="9"/>
        <color rgb="FF6B7280"/>
        <rFont val="Malgun Gothic"/>
        <family val="3"/>
        <charset val="129"/>
      </rPr>
      <t>·</t>
    </r>
    <r>
      <rPr>
        <sz val="9"/>
        <color rgb="FF6B7280"/>
        <rFont val="Noto Sans CJK SC"/>
        <family val="2"/>
      </rPr>
      <t>수익 세부내역이 자동 계산됩니다</t>
    </r>
    <r>
      <rPr>
        <sz val="9"/>
        <color rgb="FF6B7280"/>
        <rFont val="Malgun Gothic"/>
        <family val="3"/>
        <charset val="129"/>
      </rPr>
      <t>. H</t>
    </r>
    <r>
      <rPr>
        <sz val="9"/>
        <color rgb="FF6B7280"/>
        <rFont val="Noto Sans CJK SC"/>
        <family val="2"/>
      </rPr>
      <t>열</t>
    </r>
    <r>
      <rPr>
        <sz val="9"/>
        <color rgb="FF6B7280"/>
        <rFont val="Malgun Gothic"/>
        <family val="3"/>
        <charset val="129"/>
      </rPr>
      <t>(</t>
    </r>
    <r>
      <rPr>
        <sz val="9"/>
        <color rgb="FF6B7280"/>
        <rFont val="Noto Sans CJK SC"/>
        <family val="2"/>
      </rPr>
      <t>실수익</t>
    </r>
    <r>
      <rPr>
        <sz val="9"/>
        <color rgb="FF6B7280"/>
        <rFont val="Malgun Gothic"/>
        <family val="3"/>
        <charset val="129"/>
      </rPr>
      <t>)</t>
    </r>
    <r>
      <rPr>
        <sz val="9"/>
        <color rgb="FF6B7280"/>
        <rFont val="Noto Sans CJK SC"/>
        <family val="2"/>
      </rPr>
      <t>은 자동 계산</t>
    </r>
    <r>
      <rPr>
        <sz val="9"/>
        <color rgb="FF6B7280"/>
        <rFont val="Malgun Gothic"/>
        <family val="3"/>
        <charset val="129"/>
      </rPr>
      <t>, K</t>
    </r>
    <r>
      <rPr>
        <sz val="9"/>
        <color rgb="FF6B7280"/>
        <rFont val="Noto Sans CJK SC"/>
        <family val="2"/>
      </rPr>
      <t>열</t>
    </r>
    <r>
      <rPr>
        <sz val="9"/>
        <color rgb="FF6B7280"/>
        <rFont val="Malgun Gothic"/>
        <family val="3"/>
        <charset val="129"/>
      </rPr>
      <t>(</t>
    </r>
    <r>
      <rPr>
        <sz val="9"/>
        <color rgb="FF6B7280"/>
        <rFont val="Noto Sans CJK SC"/>
        <family val="2"/>
      </rPr>
      <t>숨김</t>
    </r>
    <r>
      <rPr>
        <sz val="9"/>
        <color rgb="FF6B7280"/>
        <rFont val="Malgun Gothic"/>
        <family val="3"/>
        <charset val="129"/>
      </rPr>
      <t>)</t>
    </r>
    <r>
      <rPr>
        <sz val="9"/>
        <color rgb="FF6B7280"/>
        <rFont val="Noto Sans CJK SC"/>
        <family val="2"/>
      </rPr>
      <t>은 계산용입니다</t>
    </r>
    <r>
      <rPr>
        <sz val="9"/>
        <color rgb="FF6B7280"/>
        <rFont val="Malgun Gothic"/>
        <family val="3"/>
        <charset val="129"/>
      </rPr>
      <t>. (</t>
    </r>
    <r>
      <rPr>
        <sz val="9"/>
        <color rgb="FF6B7280"/>
        <rFont val="Noto Sans CJK SC"/>
        <family val="2"/>
      </rPr>
      <t xml:space="preserve">최대 </t>
    </r>
    <r>
      <rPr>
        <sz val="9"/>
        <color rgb="FF6B7280"/>
        <rFont val="Malgun Gothic"/>
        <family val="3"/>
        <charset val="129"/>
      </rPr>
      <t>1,997</t>
    </r>
    <r>
      <rPr>
        <sz val="9"/>
        <color rgb="FF6B7280"/>
        <rFont val="Noto Sans CJK SC"/>
        <family val="2"/>
      </rPr>
      <t>건</t>
    </r>
    <r>
      <rPr>
        <sz val="9"/>
        <color rgb="FF6B7280"/>
        <rFont val="Malgun Gothic"/>
        <family val="3"/>
        <charset val="129"/>
      </rPr>
      <t>)</t>
    </r>
  </si>
  <si>
    <r>
      <rPr>
        <sz val="9"/>
        <color rgb="FF6B7280"/>
        <rFont val="Noto Sans CJK SC"/>
        <family val="2"/>
      </rPr>
      <t>정렬키</t>
    </r>
    <r>
      <rPr>
        <sz val="9"/>
        <color rgb="FF6B7280"/>
        <rFont val="Malgun Gothic"/>
        <family val="3"/>
        <charset val="129"/>
      </rPr>
      <t>(</t>
    </r>
    <r>
      <rPr>
        <sz val="9"/>
        <color rgb="FF6B7280"/>
        <rFont val="Noto Sans CJK SC"/>
        <family val="2"/>
      </rPr>
      <t>자동</t>
    </r>
    <r>
      <rPr>
        <sz val="9"/>
        <color rgb="FF6B7280"/>
        <rFont val="Malgun Gothic"/>
        <family val="3"/>
        <charset val="129"/>
      </rPr>
      <t>)</t>
    </r>
  </si>
  <si>
    <t>제출</t>
  </si>
  <si>
    <t>정산완료</t>
  </si>
  <si>
    <r>
      <rPr>
        <sz val="10"/>
        <color rgb="FF111827"/>
        <rFont val="맑은 고딕"/>
        <family val="3"/>
        <charset val="129"/>
      </rPr>
      <t>예시</t>
    </r>
    <r>
      <rPr>
        <sz val="10"/>
        <color rgb="FF111827"/>
        <rFont val="Malgun Gothic"/>
        <family val="3"/>
        <charset val="129"/>
      </rPr>
      <t>_완료된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체험단</t>
    </r>
    <r>
      <rPr>
        <sz val="10"/>
        <color rgb="FF111827"/>
        <rFont val="Malgun Gothic"/>
        <family val="3"/>
        <charset val="129"/>
      </rPr>
      <t>1</t>
    </r>
    <phoneticPr fontId="16" type="noConversion"/>
  </si>
  <si>
    <r>
      <rPr>
        <sz val="10"/>
        <color rgb="FF111827"/>
        <rFont val="맑은 고딕"/>
        <family val="3"/>
        <charset val="129"/>
      </rPr>
      <t>예시</t>
    </r>
    <r>
      <rPr>
        <sz val="10"/>
        <color rgb="FF111827"/>
        <rFont val="Malgun Gothic"/>
        <family val="3"/>
        <charset val="129"/>
      </rPr>
      <t>_완료된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체험단</t>
    </r>
    <r>
      <rPr>
        <sz val="10"/>
        <color rgb="FF111827"/>
        <rFont val="Malgun Gothic"/>
        <family val="3"/>
        <charset val="129"/>
      </rPr>
      <t>2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</si>
</sst>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&quot;년&quot;"/>
    <numFmt numFmtId="177" formatCode="#,##0&quot;원&quot;"/>
    <numFmt numFmtId="178" formatCode="0&quot;건&quot;"/>
    <numFmt numFmtId="179" formatCode="\+0.0%;\-0.0%;0.0%"/>
    <numFmt numFmtId="180" formatCode="yy\-mm\-dd"/>
    <numFmt numFmtId="181" formatCode="0.00000"/>
  </numFmts>
  <fonts count="20">
    <font>
      <sz val="11"/>
      <color theme="1"/>
      <name val="Calibri"/>
      <family val="2"/>
      <charset val="1"/>
    </font>
    <font>
      <b/>
      <sz val="18"/>
      <color rgb="FF3A6DB5"/>
      <name val="Noto Sans CJK SC"/>
      <family val="2"/>
    </font>
    <font>
      <b/>
      <sz val="10"/>
      <color rgb="FF111827"/>
      <name val="Noto Sans CJK SC"/>
      <family val="2"/>
    </font>
    <font>
      <b/>
      <sz val="11"/>
      <color rgb="FF0000FF"/>
      <name val="Malgun Gothic"/>
      <family val="3"/>
      <charset val="129"/>
    </font>
    <font>
      <sz val="9"/>
      <color rgb="FF6B7280"/>
      <name val="Noto Sans CJK SC"/>
      <family val="2"/>
    </font>
    <font>
      <b/>
      <sz val="11"/>
      <color rgb="FF111827"/>
      <name val="Noto Sans CJK SC"/>
      <family val="2"/>
    </font>
    <font>
      <sz val="9"/>
      <color rgb="FF6B7280"/>
      <name val="Malgun Gothic"/>
      <family val="3"/>
      <charset val="129"/>
    </font>
    <font>
      <b/>
      <sz val="11"/>
      <color rgb="FF111827"/>
      <name val="Malgun Gothic"/>
      <family val="3"/>
      <charset val="129"/>
    </font>
    <font>
      <b/>
      <sz val="24"/>
      <color rgb="FF2563EB"/>
      <name val="Malgun Gothic"/>
      <family val="3"/>
      <charset val="129"/>
    </font>
    <font>
      <b/>
      <sz val="9"/>
      <color rgb="FF6B7280"/>
      <name val="Noto Sans CJK SC"/>
      <family val="2"/>
    </font>
    <font>
      <sz val="10"/>
      <color rgb="FF111827"/>
      <name val="Malgun Gothic"/>
      <family val="3"/>
      <charset val="129"/>
    </font>
    <font>
      <sz val="10"/>
      <color rgb="FF111827"/>
      <name val="Noto Sans CJK SC"/>
      <family val="2"/>
    </font>
    <font>
      <b/>
      <sz val="10"/>
      <color rgb="FF111827"/>
      <name val="Malgun Gothic"/>
      <family val="3"/>
      <charset val="129"/>
    </font>
    <font>
      <sz val="10"/>
      <color rgb="FF6B7280"/>
      <name val="Noto Sans CJK SC"/>
      <family val="2"/>
    </font>
    <font>
      <b/>
      <sz val="11"/>
      <color rgb="FF008000"/>
      <name val="Malgun Gothic"/>
      <family val="3"/>
      <charset val="129"/>
    </font>
    <font>
      <sz val="11"/>
      <color theme="1"/>
      <name val="Noto Sans CJK SC"/>
      <family val="2"/>
    </font>
    <font>
      <sz val="8"/>
      <name val="돋움"/>
      <family val="3"/>
      <charset val="129"/>
    </font>
    <font>
      <sz val="10"/>
      <color rgb="FF111827"/>
      <name val="맑은 고딕"/>
      <family val="3"/>
      <charset val="129"/>
    </font>
    <font>
      <sz val="10"/>
      <color rgb="FF111827"/>
      <name val="Arial"/>
      <family val="2"/>
    </font>
    <font>
      <sz val="10"/>
      <color rgb="FF111827"/>
      <name val="Noto Sans CJK S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9F9F9"/>
      </patternFill>
    </fill>
    <fill>
      <patternFill patternType="solid">
        <fgColor rgb="FFEEF2F7"/>
        <bgColor rgb="FFF3F4F6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medium">
        <color rgb="FF2563EB"/>
      </bottom>
      <diagonal/>
    </border>
    <border>
      <left/>
      <right/>
      <top/>
      <bottom style="hair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177" fontId="10" fillId="0" borderId="3" xfId="0" applyNumberFormat="1" applyFont="1" applyBorder="1" applyAlignment="1">
      <alignment horizontal="right"/>
    </xf>
    <xf numFmtId="179" fontId="10" fillId="0" borderId="3" xfId="0" applyNumberFormat="1" applyFont="1" applyBorder="1" applyAlignment="1">
      <alignment horizontal="right"/>
    </xf>
    <xf numFmtId="177" fontId="8" fillId="0" borderId="0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176" fontId="3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2" xfId="0" applyFont="1" applyBorder="1"/>
    <xf numFmtId="0" fontId="0" fillId="0" borderId="2" xfId="0" applyBorder="1"/>
    <xf numFmtId="0" fontId="6" fillId="0" borderId="2" xfId="0" applyFont="1" applyBorder="1" applyAlignment="1">
      <alignment horizontal="right"/>
    </xf>
    <xf numFmtId="0" fontId="9" fillId="3" borderId="0" xfId="0" applyFont="1" applyFill="1" applyAlignment="1">
      <alignment horizontal="center"/>
    </xf>
    <xf numFmtId="0" fontId="10" fillId="0" borderId="3" xfId="0" applyFont="1" applyBorder="1" applyAlignment="1">
      <alignment horizontal="center"/>
    </xf>
    <xf numFmtId="178" fontId="10" fillId="0" borderId="3" xfId="0" applyNumberFormat="1" applyFont="1" applyBorder="1" applyAlignment="1">
      <alignment horizontal="right"/>
    </xf>
    <xf numFmtId="177" fontId="10" fillId="0" borderId="3" xfId="0" applyNumberFormat="1" applyFont="1" applyBorder="1" applyAlignment="1">
      <alignment horizontal="right"/>
    </xf>
    <xf numFmtId="0" fontId="11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78" fontId="12" fillId="0" borderId="3" xfId="0" applyNumberFormat="1" applyFont="1" applyBorder="1" applyAlignment="1">
      <alignment horizontal="right"/>
    </xf>
    <xf numFmtId="177" fontId="12" fillId="0" borderId="3" xfId="0" applyNumberFormat="1" applyFont="1" applyBorder="1" applyAlignment="1">
      <alignment horizontal="right"/>
    </xf>
    <xf numFmtId="0" fontId="13" fillId="0" borderId="3" xfId="0" applyFont="1" applyBorder="1" applyAlignment="1">
      <alignment horizontal="left"/>
    </xf>
    <xf numFmtId="0" fontId="2" fillId="3" borderId="0" xfId="0" applyFont="1" applyFill="1" applyAlignment="1">
      <alignment horizontal="center"/>
    </xf>
    <xf numFmtId="178" fontId="12" fillId="3" borderId="0" xfId="0" applyNumberFormat="1" applyFont="1" applyFill="1" applyAlignment="1">
      <alignment horizontal="right"/>
    </xf>
    <xf numFmtId="177" fontId="12" fillId="3" borderId="0" xfId="0" applyNumberFormat="1" applyFont="1" applyFill="1" applyAlignment="1">
      <alignment horizontal="right"/>
    </xf>
    <xf numFmtId="0" fontId="10" fillId="0" borderId="0" xfId="0" applyFont="1" applyAlignment="1">
      <alignment horizontal="left"/>
    </xf>
    <xf numFmtId="178" fontId="10" fillId="0" borderId="0" xfId="0" applyNumberFormat="1" applyFont="1" applyAlignment="1">
      <alignment horizontal="right"/>
    </xf>
    <xf numFmtId="177" fontId="10" fillId="0" borderId="0" xfId="0" applyNumberFormat="1" applyFont="1" applyAlignment="1">
      <alignment horizontal="right"/>
    </xf>
    <xf numFmtId="0" fontId="6" fillId="0" borderId="0" xfId="0" applyFont="1"/>
    <xf numFmtId="176" fontId="14" fillId="0" borderId="0" xfId="0" applyNumberFormat="1" applyFont="1" applyAlignment="1">
      <alignment horizontal="center"/>
    </xf>
    <xf numFmtId="0" fontId="15" fillId="0" borderId="0" xfId="0" applyFont="1"/>
    <xf numFmtId="0" fontId="10" fillId="0" borderId="0" xfId="0" applyFont="1" applyAlignment="1">
      <alignment horizontal="center"/>
    </xf>
    <xf numFmtId="180" fontId="10" fillId="0" borderId="0" xfId="0" applyNumberFormat="1" applyFont="1" applyAlignment="1">
      <alignment horizontal="center"/>
    </xf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177" fontId="10" fillId="0" borderId="0" xfId="0" applyNumberFormat="1" applyFont="1"/>
    <xf numFmtId="181" fontId="0" fillId="0" borderId="0" xfId="0" applyNumberFormat="1"/>
    <xf numFmtId="0" fontId="19" fillId="0" borderId="0" xfId="0" applyFont="1"/>
  </cellXfs>
  <cellStyles count="1">
    <cellStyle name="표준" xfId="0" builtinId="0"/>
  </cellStyles>
  <dxfs count="8">
    <dxf>
      <border diagonalUp="0" diagonalDown="0">
        <left/>
        <right/>
        <top/>
        <bottom style="hair">
          <color rgb="FFD1D5DB"/>
        </bottom>
      </border>
    </dxf>
    <dxf>
      <border diagonalUp="0" diagonalDown="0">
        <left/>
        <right/>
        <top/>
        <bottom style="hair">
          <color rgb="FFD1D5DB"/>
        </bottom>
      </border>
    </dxf>
    <dxf>
      <border diagonalUp="0" diagonalDown="0">
        <left/>
        <right/>
        <top/>
        <bottom style="hair">
          <color rgb="FFD1D5DB"/>
        </bottom>
      </border>
    </dxf>
    <dxf>
      <font>
        <b/>
      </font>
      <fill>
        <patternFill>
          <bgColor rgb="FFF9FAFB"/>
        </patternFill>
      </fill>
      <border diagonalUp="0" diagonalDown="0">
        <left/>
        <right/>
        <top style="thin">
          <color rgb="FFD1D5DB"/>
        </top>
        <bottom style="thin">
          <color rgb="FFD1D5DB"/>
        </bottom>
      </border>
    </dxf>
    <dxf>
      <border diagonalUp="0" diagonalDown="0">
        <left/>
        <right/>
        <top/>
        <bottom style="hair">
          <color rgb="FFD1D5DB"/>
        </bottom>
      </border>
    </dxf>
    <dxf>
      <font>
        <b/>
        <color rgb="FF6B7280"/>
      </font>
      <fill>
        <patternFill>
          <bgColor rgb="FFF3F4F6"/>
        </patternFill>
      </fill>
    </dxf>
    <dxf>
      <font>
        <b/>
        <color rgb="FF1E3A8A"/>
      </font>
      <fill>
        <patternFill>
          <bgColor rgb="FFDBE7FB"/>
        </patternFill>
      </fill>
      <border diagonalUp="0" diagonalDown="0">
        <left/>
        <right/>
        <top style="medium">
          <color rgb="FF2563EB"/>
        </top>
        <bottom/>
      </border>
    </dxf>
    <dxf>
      <border diagonalUp="0" diagonalDown="0">
        <left/>
        <right/>
        <top/>
        <bottom style="hair">
          <color rgb="FFD1D5DB"/>
        </bottom>
      </border>
    </dxf>
  </dxfs>
  <tableStyles count="0" defaultTableStyle="TableStyleMedium2" defaultPivotStyle="PivotStyleLight16"/>
  <colors>
    <indexedColors>
      <rgbColor rgb="FF000000"/>
      <rgbColor rgb="FFF9FA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78787"/>
      <rgbColor rgb="FF60A5FA"/>
      <rgbColor rgb="FF993366"/>
      <rgbColor rgb="FFFFF9C4"/>
      <rgbColor rgb="FFDBE7FB"/>
      <rgbColor rgb="FF660066"/>
      <rgbColor rgb="FFFF8080"/>
      <rgbColor rgb="FF3A6DB5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F3F4F6"/>
      <rgbColor rgb="FFF9F9F9"/>
      <rgbColor rgb="FF99CCFF"/>
      <rgbColor rgb="FFFF99CC"/>
      <rgbColor rgb="FFCC99FF"/>
      <rgbColor rgb="FFD9D9D9"/>
      <rgbColor rgb="FF2563EB"/>
      <rgbColor rgb="FF33CCCC"/>
      <rgbColor rgb="FF99CC00"/>
      <rgbColor rgb="FFFFCC00"/>
      <rgbColor rgb="FFF59E0B"/>
      <rgbColor rgb="FFF97316"/>
      <rgbColor rgb="FF6B7280"/>
      <rgbColor rgb="FF4F81BD"/>
      <rgbColor rgb="FF003366"/>
      <rgbColor rgb="FF10B981"/>
      <rgbColor rgb="FF111827"/>
      <rgbColor rgb="FF333300"/>
      <rgbColor rgb="FF993300"/>
      <rgbColor rgb="FF993366"/>
      <rgbColor rgb="FF1E3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정산 현황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금액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563E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051-4847-A454-B240DEFDCDBC}"/>
              </c:ext>
            </c:extLst>
          </c:dPt>
          <c:dPt>
            <c:idx val="1"/>
            <c:bubble3D val="0"/>
            <c:spPr>
              <a:solidFill>
                <a:srgbClr val="CBD5E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051-4847-A454-B240DEFDCDB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051-4847-A454-B240DEFDCDB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051-4847-A454-B240DEFDCD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대시보드!$B$8:$B$9</c:f>
              <c:strCache>
                <c:ptCount val="2"/>
                <c:pt idx="0">
                  <c:v>정산 완료</c:v>
                </c:pt>
                <c:pt idx="1">
                  <c:v>정산 예정</c:v>
                </c:pt>
              </c:strCache>
            </c:strRef>
          </c:cat>
          <c:val>
            <c:numRef>
              <c:f>대시보드!$D$8:$D$9</c:f>
              <c:numCache>
                <c:formatCode>#,##0"원"</c:formatCode>
                <c:ptCount val="2"/>
                <c:pt idx="0">
                  <c:v>115000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51-4847-A454-B240DEFDC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월간 수익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원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 ·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건수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건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대시보드!$H$5</c:f>
              <c:strCache>
                <c:ptCount val="1"/>
                <c:pt idx="0">
                  <c:v>수익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대시보드!$F$6:$F$17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대시보드!$H$6:$H$17</c:f>
              <c:numCache>
                <c:formatCode>#,##0"원"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115000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5-4E22-970C-59354622C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2505280"/>
        <c:axId val="42405551"/>
      </c:barChart>
      <c:lineChart>
        <c:grouping val="standard"/>
        <c:varyColors val="0"/>
        <c:ser>
          <c:idx val="1"/>
          <c:order val="1"/>
          <c:tx>
            <c:strRef>
              <c:f>대시보드!$G$5</c:f>
              <c:strCache>
                <c:ptCount val="1"/>
                <c:pt idx="0">
                  <c:v>건수</c:v>
                </c:pt>
              </c:strCache>
            </c:strRef>
          </c:tx>
          <c:spPr>
            <a:ln w="24120">
              <a:solidFill>
                <a:srgbClr val="F97316"/>
              </a:solidFill>
              <a:round/>
            </a:ln>
          </c:spPr>
          <c:marker>
            <c:symbol val="circle"/>
            <c:size val="6"/>
            <c:spPr>
              <a:solidFill>
                <a:srgbClr val="F9731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대시보드!$F$6:$F$17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대시보드!$G$6:$G$17</c:f>
              <c:numCache>
                <c:formatCode>0"건"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5-4E22-970C-59354622C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0221753"/>
        <c:axId val="91922293"/>
      </c:lineChart>
      <c:catAx>
        <c:axId val="425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2405551"/>
        <c:crosses val="autoZero"/>
        <c:auto val="1"/>
        <c:lblAlgn val="ctr"/>
        <c:lblOffset val="100"/>
        <c:noMultiLvlLbl val="0"/>
      </c:catAx>
      <c:valAx>
        <c:axId val="42405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2505280"/>
        <c:crosses val="autoZero"/>
        <c:crossBetween val="between"/>
      </c:valAx>
      <c:catAx>
        <c:axId val="40221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1922293"/>
        <c:crosses val="autoZero"/>
        <c:auto val="1"/>
        <c:lblAlgn val="ctr"/>
        <c:lblOffset val="100"/>
        <c:noMultiLvlLbl val="0"/>
      </c:catAx>
      <c:valAx>
        <c:axId val="91922293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022175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사이트별 실수익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대시보드!$H$36</c:f>
              <c:strCache>
                <c:ptCount val="1"/>
                <c:pt idx="0">
                  <c:v>실수익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대시보드!$F$37:$F$44</c:f>
              <c:strCache>
                <c:ptCount val="2"/>
                <c:pt idx="0">
                  <c:v>레뷰</c:v>
                </c:pt>
                <c:pt idx="1">
                  <c:v>리뷰노트</c:v>
                </c:pt>
              </c:strCache>
            </c:strRef>
          </c:cat>
          <c:val>
            <c:numRef>
              <c:f>대시보드!$H$37:$H$44</c:f>
              <c:numCache>
                <c:formatCode>#,##0"원"</c:formatCode>
                <c:ptCount val="8"/>
                <c:pt idx="0">
                  <c:v>90000</c:v>
                </c:pt>
                <c:pt idx="1">
                  <c:v>25000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2-49B3-A8EC-902ACAFA4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7845537"/>
        <c:axId val="66627961"/>
      </c:barChart>
      <c:catAx>
        <c:axId val="3784553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6627961"/>
        <c:crosses val="autoZero"/>
        <c:auto val="1"/>
        <c:lblAlgn val="ctr"/>
        <c:lblOffset val="100"/>
        <c:noMultiLvlLbl val="0"/>
      </c:catAx>
      <c:valAx>
        <c:axId val="666279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3784553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3</xdr:col>
      <xdr:colOff>1270800</xdr:colOff>
      <xdr:row>26</xdr:row>
      <xdr:rowOff>200160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1270440</xdr:colOff>
      <xdr:row>32</xdr:row>
      <xdr:rowOff>20160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45</xdr:row>
      <xdr:rowOff>0</xdr:rowOff>
    </xdr:from>
    <xdr:to>
      <xdr:col>7</xdr:col>
      <xdr:colOff>1270440</xdr:colOff>
      <xdr:row>56</xdr:row>
      <xdr:rowOff>155520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  <pageSetUpPr fitToPage="1"/>
  </sheetPr>
  <dimension ref="B1:H46"/>
  <sheetViews>
    <sheetView showGridLines="0" tabSelected="1" zoomScaleNormal="100" workbookViewId="0">
      <selection activeCell="O25" sqref="O25"/>
    </sheetView>
  </sheetViews>
  <sheetFormatPr defaultColWidth="8.7109375" defaultRowHeight="15"/>
  <cols>
    <col min="1" max="1" width="2" customWidth="1"/>
    <col min="2" max="2" width="18" customWidth="1"/>
    <col min="3" max="3" width="13" customWidth="1"/>
    <col min="4" max="4" width="20" customWidth="1"/>
    <col min="5" max="5" width="4" customWidth="1"/>
    <col min="6" max="6" width="18" customWidth="1"/>
    <col min="7" max="7" width="13" customWidth="1"/>
    <col min="8" max="8" width="20" customWidth="1"/>
  </cols>
  <sheetData>
    <row r="1" spans="2:8" ht="31.5" customHeight="1">
      <c r="B1" s="4" t="s">
        <v>0</v>
      </c>
    </row>
    <row r="2" spans="2:8" ht="16.5">
      <c r="B2" s="5" t="s">
        <v>1</v>
      </c>
      <c r="C2" s="6">
        <v>2026</v>
      </c>
      <c r="D2" s="7" t="s">
        <v>2</v>
      </c>
    </row>
    <row r="4" spans="2:8" ht="16.5">
      <c r="B4" s="8" t="s">
        <v>3</v>
      </c>
      <c r="C4" s="9"/>
      <c r="D4" s="10" t="str">
        <f>C2&amp;"년 누적"</f>
        <v>2026년 누적</v>
      </c>
      <c r="F4" s="8" t="s">
        <v>4</v>
      </c>
      <c r="G4" s="9"/>
      <c r="H4" s="9"/>
    </row>
    <row r="5" spans="2:8" ht="24" customHeight="1">
      <c r="B5" s="3">
        <f>D10</f>
        <v>115000</v>
      </c>
      <c r="C5" s="3"/>
      <c r="D5" s="3"/>
      <c r="F5" s="11" t="s">
        <v>5</v>
      </c>
      <c r="G5" s="11" t="s">
        <v>6</v>
      </c>
      <c r="H5" s="11" t="s">
        <v>7</v>
      </c>
    </row>
    <row r="6" spans="2:8" ht="24" customHeight="1">
      <c r="B6" s="3"/>
      <c r="C6" s="3"/>
      <c r="D6" s="3"/>
      <c r="F6" s="12" t="s">
        <v>8</v>
      </c>
      <c r="G6" s="13">
        <f>COUNTIFS('완료 체험단'!$D$4:$D$2000,"&gt;="&amp;DATE($C$2,ROWS(F$6:F6),1),'완료 체험단'!$D$4:$D$2000,"&lt;"&amp;DATE($C$2,ROWS(F$6:F6)+1,1))</f>
        <v>0</v>
      </c>
      <c r="H6" s="14">
        <f>SUMIFS('완료 체험단'!$H$4:$H$2000,'완료 체험단'!$D$4:$D$2000,"&gt;="&amp;DATE($C$2,ROWS(F$6:F6),1),'완료 체험단'!$D$4:$D$2000,"&lt;"&amp;DATE($C$2,ROWS(F$6:F6)+1,1))</f>
        <v>0</v>
      </c>
    </row>
    <row r="7" spans="2:8">
      <c r="B7" s="11" t="s">
        <v>9</v>
      </c>
      <c r="C7" s="11" t="s">
        <v>6</v>
      </c>
      <c r="D7" s="11" t="s">
        <v>10</v>
      </c>
      <c r="F7" s="12" t="s">
        <v>11</v>
      </c>
      <c r="G7" s="13">
        <f>COUNTIFS('완료 체험단'!$D$4:$D$2000,"&gt;="&amp;DATE($C$2,ROWS(F$6:F7),1),'완료 체험단'!$D$4:$D$2000,"&lt;"&amp;DATE($C$2,ROWS(F$6:F7)+1,1))</f>
        <v>0</v>
      </c>
      <c r="H7" s="14">
        <f>SUMIFS('완료 체험단'!$H$4:$H$2000,'완료 체험단'!$D$4:$D$2000,"&gt;="&amp;DATE($C$2,ROWS(F$6:F7),1),'완료 체험단'!$D$4:$D$2000,"&lt;"&amp;DATE($C$2,ROWS(F$6:F7)+1,1))</f>
        <v>0</v>
      </c>
    </row>
    <row r="8" spans="2:8">
      <c r="B8" s="15" t="s">
        <v>12</v>
      </c>
      <c r="C8" s="13">
        <f>COUNTIFS('완료 체험단'!$D$4:$D$2000,"&gt;="&amp;DATE($C$2,1,1),'완료 체험단'!$D$4:$D$2000,"&lt;"&amp;DATE($C$2+1,1,1),'완료 체험단'!$I$4:$I$2000,"정산완료")</f>
        <v>2</v>
      </c>
      <c r="D8" s="14">
        <f>SUMIFS('완료 체험단'!$H$4:$H$2000,'완료 체험단'!$D$4:$D$2000,"&gt;="&amp;DATE($C$2,1,1),'완료 체험단'!$D$4:$D$2000,"&lt;"&amp;DATE($C$2+1,1,1),'완료 체험단'!$I$4:$I$2000,"정산완료")</f>
        <v>115000</v>
      </c>
      <c r="F8" s="12" t="s">
        <v>13</v>
      </c>
      <c r="G8" s="13">
        <f>COUNTIFS('완료 체험단'!$D$4:$D$2000,"&gt;="&amp;DATE($C$2,ROWS(F$6:F8),1),'완료 체험단'!$D$4:$D$2000,"&lt;"&amp;DATE($C$2,ROWS(F$6:F8)+1,1))</f>
        <v>0</v>
      </c>
      <c r="H8" s="14">
        <f>SUMIFS('완료 체험단'!$H$4:$H$2000,'완료 체험단'!$D$4:$D$2000,"&gt;="&amp;DATE($C$2,ROWS(F$6:F8),1),'완료 체험단'!$D$4:$D$2000,"&lt;"&amp;DATE($C$2,ROWS(F$6:F8)+1,1))</f>
        <v>0</v>
      </c>
    </row>
    <row r="9" spans="2:8">
      <c r="B9" s="15" t="s">
        <v>14</v>
      </c>
      <c r="C9" s="13">
        <f>C10-C8</f>
        <v>0</v>
      </c>
      <c r="D9" s="14">
        <f>D10-D8</f>
        <v>0</v>
      </c>
      <c r="F9" s="12" t="s">
        <v>15</v>
      </c>
      <c r="G9" s="13">
        <f>COUNTIFS('완료 체험단'!$D$4:$D$2000,"&gt;="&amp;DATE($C$2,ROWS(F$6:F9),1),'완료 체험단'!$D$4:$D$2000,"&lt;"&amp;DATE($C$2,ROWS(F$6:F9)+1,1))</f>
        <v>0</v>
      </c>
      <c r="H9" s="14">
        <f>SUMIFS('완료 체험단'!$H$4:$H$2000,'완료 체험단'!$D$4:$D$2000,"&gt;="&amp;DATE($C$2,ROWS(F$6:F9),1),'완료 체험단'!$D$4:$D$2000,"&lt;"&amp;DATE($C$2,ROWS(F$6:F9)+1,1))</f>
        <v>0</v>
      </c>
    </row>
    <row r="10" spans="2:8">
      <c r="B10" s="16" t="s">
        <v>16</v>
      </c>
      <c r="C10" s="17">
        <f>COUNTIFS('완료 체험단'!$D$4:$D$2000,"&gt;="&amp;DATE($C$2,1,1),'완료 체험단'!$D$4:$D$2000,"&lt;"&amp;DATE($C$2+1,1,1))</f>
        <v>2</v>
      </c>
      <c r="D10" s="18">
        <f>SUMIFS('완료 체험단'!$H$4:$H$2000,'완료 체험단'!$D$4:$D$2000,"&gt;="&amp;DATE($C$2,1,1),'완료 체험단'!$D$4:$D$2000,"&lt;"&amp;DATE($C$2+1,1,1))</f>
        <v>115000</v>
      </c>
      <c r="F10" s="12" t="s">
        <v>17</v>
      </c>
      <c r="G10" s="13">
        <f>COUNTIFS('완료 체험단'!$D$4:$D$2000,"&gt;="&amp;DATE($C$2,ROWS(F$6:F10),1),'완료 체험단'!$D$4:$D$2000,"&lt;"&amp;DATE($C$2,ROWS(F$6:F10)+1,1))</f>
        <v>0</v>
      </c>
      <c r="H10" s="14">
        <f>SUMIFS('완료 체험단'!$H$4:$H$2000,'완료 체험단'!$D$4:$D$2000,"&gt;="&amp;DATE($C$2,ROWS(F$6:F10),1),'완료 체험단'!$D$4:$D$2000,"&lt;"&amp;DATE($C$2,ROWS(F$6:F10)+1,1))</f>
        <v>0</v>
      </c>
    </row>
    <row r="11" spans="2:8">
      <c r="B11" s="19" t="s">
        <v>18</v>
      </c>
      <c r="C11" s="2" t="str">
        <f>IF(SUMIFS('완료 체험단'!$H$4:$H$2000,'완료 체험단'!$D$4:$D$2000,"&gt;="&amp;DATE($C$2-1,1,1),'완료 체험단'!$D$4:$D$2000,"&lt;"&amp;DATE($C$2,1,1))=0,"비교 데이터 없음",(D10-SUMIFS('완료 체험단'!$H$4:$H$2000,'완료 체험단'!$D$4:$D$2000,"&gt;="&amp;DATE($C$2-1,1,1),'완료 체험단'!$D$4:$D$2000,"&lt;"&amp;DATE($C$2,1,1)))/SUMIFS('완료 체험단'!$H$4:$H$2000,'완료 체험단'!$D$4:$D$2000,"&gt;="&amp;DATE($C$2-1,1,1),'완료 체험단'!$D$4:$D$2000,"&lt;"&amp;DATE($C$2,1,1)))</f>
        <v>비교 데이터 없음</v>
      </c>
      <c r="D11" s="2"/>
      <c r="F11" s="12" t="s">
        <v>19</v>
      </c>
      <c r="G11" s="13">
        <f>COUNTIFS('완료 체험단'!$D$4:$D$2000,"&gt;="&amp;DATE($C$2,ROWS(F$6:F11),1),'완료 체험단'!$D$4:$D$2000,"&lt;"&amp;DATE($C$2,ROWS(F$6:F11)+1,1))</f>
        <v>0</v>
      </c>
      <c r="H11" s="14">
        <f>SUMIFS('완료 체험단'!$H$4:$H$2000,'완료 체험단'!$D$4:$D$2000,"&gt;="&amp;DATE($C$2,ROWS(F$6:F11),1),'완료 체험단'!$D$4:$D$2000,"&lt;"&amp;DATE($C$2,ROWS(F$6:F11)+1,1))</f>
        <v>0</v>
      </c>
    </row>
    <row r="12" spans="2:8">
      <c r="B12" s="19" t="s">
        <v>20</v>
      </c>
      <c r="C12" s="1">
        <f>IF(C10=0,"-",D10/C10)</f>
        <v>57500</v>
      </c>
      <c r="D12" s="1"/>
      <c r="F12" s="12" t="s">
        <v>21</v>
      </c>
      <c r="G12" s="13">
        <f>COUNTIFS('완료 체험단'!$D$4:$D$2000,"&gt;="&amp;DATE($C$2,ROWS(F$6:F12),1),'완료 체험단'!$D$4:$D$2000,"&lt;"&amp;DATE($C$2,ROWS(F$6:F12)+1,1))</f>
        <v>0</v>
      </c>
      <c r="H12" s="14">
        <f>SUMIFS('완료 체험단'!$H$4:$H$2000,'완료 체험단'!$D$4:$D$2000,"&gt;="&amp;DATE($C$2,ROWS(F$6:F12),1),'완료 체험단'!$D$4:$D$2000,"&lt;"&amp;DATE($C$2,ROWS(F$6:F12)+1,1))</f>
        <v>0</v>
      </c>
    </row>
    <row r="13" spans="2:8">
      <c r="F13" s="12" t="s">
        <v>22</v>
      </c>
      <c r="G13" s="13">
        <f>COUNTIFS('완료 체험단'!$D$4:$D$2000,"&gt;="&amp;DATE($C$2,ROWS(F$6:F13),1),'완료 체험단'!$D$4:$D$2000,"&lt;"&amp;DATE($C$2,ROWS(F$6:F13)+1,1))</f>
        <v>0</v>
      </c>
      <c r="H13" s="14">
        <f>SUMIFS('완료 체험단'!$H$4:$H$2000,'완료 체험단'!$D$4:$D$2000,"&gt;="&amp;DATE($C$2,ROWS(F$6:F13),1),'완료 체험단'!$D$4:$D$2000,"&lt;"&amp;DATE($C$2,ROWS(F$6:F13)+1,1))</f>
        <v>0</v>
      </c>
    </row>
    <row r="14" spans="2:8">
      <c r="F14" s="12" t="s">
        <v>23</v>
      </c>
      <c r="G14" s="13">
        <f>COUNTIFS('완료 체험단'!$D$4:$D$2000,"&gt;="&amp;DATE($C$2,ROWS(F$6:F14),1),'완료 체험단'!$D$4:$D$2000,"&lt;"&amp;DATE($C$2,ROWS(F$6:F14)+1,1))</f>
        <v>0</v>
      </c>
      <c r="H14" s="14">
        <f>SUMIFS('완료 체험단'!$H$4:$H$2000,'완료 체험단'!$D$4:$D$2000,"&gt;="&amp;DATE($C$2,ROWS(F$6:F14),1),'완료 체험단'!$D$4:$D$2000,"&lt;"&amp;DATE($C$2,ROWS(F$6:F14)+1,1))</f>
        <v>0</v>
      </c>
    </row>
    <row r="15" spans="2:8">
      <c r="F15" s="12" t="s">
        <v>24</v>
      </c>
      <c r="G15" s="13">
        <f>COUNTIFS('완료 체험단'!$D$4:$D$2000,"&gt;="&amp;DATE($C$2,ROWS(F$6:F15),1),'완료 체험단'!$D$4:$D$2000,"&lt;"&amp;DATE($C$2,ROWS(F$6:F15)+1,1))</f>
        <v>2</v>
      </c>
      <c r="H15" s="14">
        <f>SUMIFS('완료 체험단'!$H$4:$H$2000,'완료 체험단'!$D$4:$D$2000,"&gt;="&amp;DATE($C$2,ROWS(F$6:F15),1),'완료 체험단'!$D$4:$D$2000,"&lt;"&amp;DATE($C$2,ROWS(F$6:F15)+1,1))</f>
        <v>115000</v>
      </c>
    </row>
    <row r="16" spans="2:8">
      <c r="F16" s="12" t="s">
        <v>25</v>
      </c>
      <c r="G16" s="13">
        <f>COUNTIFS('완료 체험단'!$D$4:$D$2000,"&gt;="&amp;DATE($C$2,ROWS(F$6:F16),1),'완료 체험단'!$D$4:$D$2000,"&lt;"&amp;DATE($C$2,ROWS(F$6:F16)+1,1))</f>
        <v>0</v>
      </c>
      <c r="H16" s="14">
        <f>SUMIFS('완료 체험단'!$H$4:$H$2000,'완료 체험단'!$D$4:$D$2000,"&gt;="&amp;DATE($C$2,ROWS(F$6:F16),1),'완료 체험단'!$D$4:$D$2000,"&lt;"&amp;DATE($C$2,ROWS(F$6:F16)+1,1))</f>
        <v>0</v>
      </c>
    </row>
    <row r="17" spans="6:8">
      <c r="F17" s="12" t="s">
        <v>26</v>
      </c>
      <c r="G17" s="13">
        <f>COUNTIFS('완료 체험단'!$D$4:$D$2000,"&gt;="&amp;DATE($C$2,ROWS(F$6:F17),1),'완료 체험단'!$D$4:$D$2000,"&lt;"&amp;DATE($C$2,ROWS(F$6:F17)+1,1))</f>
        <v>0</v>
      </c>
      <c r="H17" s="14">
        <f>SUMIFS('완료 체험단'!$H$4:$H$2000,'완료 체험단'!$D$4:$D$2000,"&gt;="&amp;DATE($C$2,ROWS(F$6:F17),1),'완료 체험단'!$D$4:$D$2000,"&lt;"&amp;DATE($C$2,ROWS(F$6:F17)+1,1))</f>
        <v>0</v>
      </c>
    </row>
    <row r="18" spans="6:8">
      <c r="F18" s="20" t="s">
        <v>16</v>
      </c>
      <c r="G18" s="21">
        <f>SUM(G6:G17)</f>
        <v>2</v>
      </c>
      <c r="H18" s="22">
        <f>SUM(H6:H17)</f>
        <v>115000</v>
      </c>
    </row>
    <row r="35" spans="2:8" ht="16.5">
      <c r="B35" s="8" t="s">
        <v>27</v>
      </c>
      <c r="C35" s="9"/>
      <c r="D35" s="9"/>
      <c r="F35" s="8" t="s">
        <v>28</v>
      </c>
      <c r="G35" s="9"/>
      <c r="H35" s="10" t="str">
        <f>C2&amp;"년 건수·실수익"</f>
        <v>2026년 건수·실수익</v>
      </c>
    </row>
    <row r="36" spans="2:8">
      <c r="B36" s="15" t="s">
        <v>29</v>
      </c>
      <c r="C36" s="12" t="str">
        <f>IF(MAX(H6:H17)=0,"-",INDEX(F6:F17,MATCH(MAX(H6:H17),H6:H17,0)))</f>
        <v>10월</v>
      </c>
      <c r="D36" s="14">
        <f>MAX(H6:H17)</f>
        <v>115000</v>
      </c>
      <c r="F36" s="11" t="s">
        <v>30</v>
      </c>
      <c r="G36" s="11" t="s">
        <v>6</v>
      </c>
      <c r="H36" s="11" t="s">
        <v>31</v>
      </c>
    </row>
    <row r="37" spans="2:8">
      <c r="B37" s="15" t="s">
        <v>32</v>
      </c>
      <c r="C37" s="12" t="str">
        <f>IF(MAX(G6:G17)=0,"-",INDEX(F6:F17,MATCH(MAX(G6:G17),G6:G17,0)))</f>
        <v>10월</v>
      </c>
      <c r="D37" s="13">
        <f>MAX(G6:G17)</f>
        <v>2</v>
      </c>
      <c r="F37" s="23" t="str">
        <f t="array" ref="F37">IFERROR(INDEX('완료 체험단'!$C$4:$C$2000,MATCH(0,COUNTIF($F$36:F36,'완료 체험단'!$C$4:$C$2000)+('완료 체험단'!$K$4:$K$2000=""),0)),"")</f>
        <v>레뷰</v>
      </c>
      <c r="G37" s="24">
        <f>IF(F37="","",COUNTIFS('완료 체험단'!$C$4:$C$2000,$F37,'완료 체험단'!$D$4:$D$2000,"&gt;="&amp;DATE($C$2,1,1),'완료 체험단'!$D$4:$D$2000,"&lt;"&amp;DATE($C$2+1,1,1)))</f>
        <v>1</v>
      </c>
      <c r="H37" s="25">
        <f>IF(F37="","",SUMIFS('완료 체험단'!$H$4:$H$2000,'완료 체험단'!$C$4:$C$2000,$F37,'완료 체험단'!$D$4:$D$2000,"&gt;="&amp;DATE($C$2,1,1),'완료 체험단'!$D$4:$D$2000,"&lt;"&amp;DATE($C$2+1,1,1)))</f>
        <v>90000</v>
      </c>
    </row>
    <row r="38" spans="2:8">
      <c r="B38" s="15" t="s">
        <v>33</v>
      </c>
      <c r="C38" s="12" t="str">
        <f ca="1">IF($C$2=YEAR(TODAY()),MONTH(TODAY())&amp;"월","-")</f>
        <v>10월</v>
      </c>
      <c r="D38" s="14">
        <f ca="1">IF($C$2=YEAR(TODAY()),INDEX(H6:H17,MONTH(TODAY())),"-")</f>
        <v>115000</v>
      </c>
      <c r="F38" s="23" t="str">
        <f t="array" ref="F38">IFERROR(INDEX('완료 체험단'!$C$4:$C$2000,MATCH(0,COUNTIF($F$36:F37,'완료 체험단'!$C$4:$C$2000)+('완료 체험단'!$K$4:$K$2000=""),0)),"")</f>
        <v>리뷰노트</v>
      </c>
      <c r="G38" s="24">
        <f>IF(F38="","",COUNTIFS('완료 체험단'!$C$4:$C$2000,$F38,'완료 체험단'!$D$4:$D$2000,"&gt;="&amp;DATE($C$2,1,1),'완료 체험단'!$D$4:$D$2000,"&lt;"&amp;DATE($C$2+1,1,1)))</f>
        <v>1</v>
      </c>
      <c r="H38" s="25">
        <f>IF(F38="","",SUMIFS('완료 체험단'!$H$4:$H$2000,'완료 체험단'!$C$4:$C$2000,$F38,'완료 체험단'!$D$4:$D$2000,"&gt;="&amp;DATE($C$2,1,1),'완료 체험단'!$D$4:$D$2000,"&lt;"&amp;DATE($C$2+1,1,1)))</f>
        <v>25000</v>
      </c>
    </row>
    <row r="39" spans="2:8">
      <c r="B39" s="15" t="s">
        <v>34</v>
      </c>
      <c r="C39" s="12" t="str">
        <f ca="1">C38</f>
        <v>10월</v>
      </c>
      <c r="D39" s="13">
        <f ca="1">IF($C$2=YEAR(TODAY()),INDEX(G6:G17,MONTH(TODAY())),"-")</f>
        <v>2</v>
      </c>
      <c r="F39" s="23" t="str">
        <f t="array" ref="F39">IFERROR(INDEX('완료 체험단'!$C$4:$C$2000,MATCH(0,COUNTIF($F$36:F38,'완료 체험단'!$C$4:$C$2000)+('완료 체험단'!$K$4:$K$2000=""),0)),"")</f>
        <v/>
      </c>
      <c r="G39" s="24" t="str">
        <f>IF(F39="","",COUNTIFS('완료 체험단'!$C$4:$C$2000,$F39,'완료 체험단'!$D$4:$D$2000,"&gt;="&amp;DATE($C$2,1,1),'완료 체험단'!$D$4:$D$2000,"&lt;"&amp;DATE($C$2+1,1,1)))</f>
        <v/>
      </c>
      <c r="H39" s="25" t="str">
        <f>IF(F39="","",SUMIFS('완료 체험단'!$H$4:$H$2000,'완료 체험단'!$C$4:$C$2000,$F39,'완료 체험단'!$D$4:$D$2000,"&gt;="&amp;DATE($C$2,1,1),'완료 체험단'!$D$4:$D$2000,"&lt;"&amp;DATE($C$2+1,1,1)))</f>
        <v/>
      </c>
    </row>
    <row r="40" spans="2:8">
      <c r="F40" s="23" t="str">
        <f t="array" ref="F40">IFERROR(INDEX('완료 체험단'!$C$4:$C$2000,MATCH(0,COUNTIF($F$36:F39,'완료 체험단'!$C$4:$C$2000)+('완료 체험단'!$K$4:$K$2000=""),0)),"")</f>
        <v/>
      </c>
      <c r="G40" s="24" t="str">
        <f>IF(F40="","",COUNTIFS('완료 체험단'!$C$4:$C$2000,$F40,'완료 체험단'!$D$4:$D$2000,"&gt;="&amp;DATE($C$2,1,1),'완료 체험단'!$D$4:$D$2000,"&lt;"&amp;DATE($C$2+1,1,1)))</f>
        <v/>
      </c>
      <c r="H40" s="25" t="str">
        <f>IF(F40="","",SUMIFS('완료 체험단'!$H$4:$H$2000,'완료 체험단'!$C$4:$C$2000,$F40,'완료 체험단'!$D$4:$D$2000,"&gt;="&amp;DATE($C$2,1,1),'완료 체험단'!$D$4:$D$2000,"&lt;"&amp;DATE($C$2+1,1,1)))</f>
        <v/>
      </c>
    </row>
    <row r="41" spans="2:8">
      <c r="B41" s="8" t="s">
        <v>35</v>
      </c>
      <c r="C41" s="9"/>
      <c r="D41" s="9"/>
      <c r="F41" s="23" t="str">
        <f t="array" ref="F41">IFERROR(INDEX('완료 체험단'!$C$4:$C$2000,MATCH(0,COUNTIF($F$36:F40,'완료 체험단'!$C$4:$C$2000)+('완료 체험단'!$K$4:$K$2000=""),0)),"")</f>
        <v/>
      </c>
      <c r="G41" s="24" t="str">
        <f>IF(F41="","",COUNTIFS('완료 체험단'!$C$4:$C$2000,$F41,'완료 체험단'!$D$4:$D$2000,"&gt;="&amp;DATE($C$2,1,1),'완료 체험단'!$D$4:$D$2000,"&lt;"&amp;DATE($C$2+1,1,1)))</f>
        <v/>
      </c>
      <c r="H41" s="25" t="str">
        <f>IF(F41="","",SUMIFS('완료 체험단'!$H$4:$H$2000,'완료 체험단'!$C$4:$C$2000,$F41,'완료 체험단'!$D$4:$D$2000,"&gt;="&amp;DATE($C$2,1,1),'완료 체험단'!$D$4:$D$2000,"&lt;"&amp;DATE($C$2+1,1,1)))</f>
        <v/>
      </c>
    </row>
    <row r="42" spans="2:8">
      <c r="B42" s="26" t="s">
        <v>36</v>
      </c>
      <c r="F42" s="23" t="str">
        <f t="array" ref="F42">IFERROR(INDEX('완료 체험단'!$C$4:$C$2000,MATCH(0,COUNTIF($F$36:F41,'완료 체험단'!$C$4:$C$2000)+('완료 체험단'!$K$4:$K$2000=""),0)),"")</f>
        <v/>
      </c>
      <c r="G42" s="24" t="str">
        <f>IF(F42="","",COUNTIFS('완료 체험단'!$C$4:$C$2000,$F42,'완료 체험단'!$D$4:$D$2000,"&gt;="&amp;DATE($C$2,1,1),'완료 체험단'!$D$4:$D$2000,"&lt;"&amp;DATE($C$2+1,1,1)))</f>
        <v/>
      </c>
      <c r="H42" s="25" t="str">
        <f>IF(F42="","",SUMIFS('완료 체험단'!$H$4:$H$2000,'완료 체험단'!$C$4:$C$2000,$F42,'완료 체험단'!$D$4:$D$2000,"&gt;="&amp;DATE($C$2,1,1),'완료 체험단'!$D$4:$D$2000,"&lt;"&amp;DATE($C$2+1,1,1)))</f>
        <v/>
      </c>
    </row>
    <row r="43" spans="2:8">
      <c r="B43" s="26" t="s">
        <v>37</v>
      </c>
      <c r="F43" s="23" t="str">
        <f t="array" ref="F43">IFERROR(INDEX('완료 체험단'!$C$4:$C$2000,MATCH(0,COUNTIF($F$36:F42,'완료 체험단'!$C$4:$C$2000)+('완료 체험단'!$K$4:$K$2000=""),0)),"")</f>
        <v/>
      </c>
      <c r="G43" s="24" t="str">
        <f>IF(F43="","",COUNTIFS('완료 체험단'!$C$4:$C$2000,$F43,'완료 체험단'!$D$4:$D$2000,"&gt;="&amp;DATE($C$2,1,1),'완료 체험단'!$D$4:$D$2000,"&lt;"&amp;DATE($C$2+1,1,1)))</f>
        <v/>
      </c>
      <c r="H43" s="25" t="str">
        <f>IF(F43="","",SUMIFS('완료 체험단'!$H$4:$H$2000,'완료 체험단'!$C$4:$C$2000,$F43,'완료 체험단'!$D$4:$D$2000,"&gt;="&amp;DATE($C$2,1,1),'완료 체험단'!$D$4:$D$2000,"&lt;"&amp;DATE($C$2+1,1,1)))</f>
        <v/>
      </c>
    </row>
    <row r="44" spans="2:8">
      <c r="B44" s="26" t="s">
        <v>38</v>
      </c>
      <c r="F44" s="23" t="str">
        <f t="array" ref="F44">IFERROR(INDEX('완료 체험단'!$C$4:$C$2000,MATCH(0,COUNTIF($F$36:F43,'완료 체험단'!$C$4:$C$2000)+('완료 체험단'!$K$4:$K$2000=""),0)),"")</f>
        <v/>
      </c>
      <c r="G44" s="24" t="str">
        <f>IF(F44="","",COUNTIFS('완료 체험단'!$C$4:$C$2000,$F44,'완료 체험단'!$D$4:$D$2000,"&gt;="&amp;DATE($C$2,1,1),'완료 체험단'!$D$4:$D$2000,"&lt;"&amp;DATE($C$2+1,1,1)))</f>
        <v/>
      </c>
      <c r="H44" s="25" t="str">
        <f>IF(F44="","",SUMIFS('완료 체험단'!$H$4:$H$2000,'완료 체험단'!$C$4:$C$2000,$F44,'완료 체험단'!$D$4:$D$2000,"&gt;="&amp;DATE($C$2,1,1),'완료 체험단'!$D$4:$D$2000,"&lt;"&amp;DATE($C$2+1,1,1)))</f>
        <v/>
      </c>
    </row>
    <row r="45" spans="2:8">
      <c r="B45" s="26" t="s">
        <v>39</v>
      </c>
    </row>
    <row r="46" spans="2:8">
      <c r="B46" s="26" t="s">
        <v>40</v>
      </c>
    </row>
  </sheetData>
  <mergeCells count="3">
    <mergeCell ref="B5:D6"/>
    <mergeCell ref="C11:D11"/>
    <mergeCell ref="C12:D12"/>
  </mergeCells>
  <phoneticPr fontId="16" type="noConversion"/>
  <conditionalFormatting sqref="F37:H44">
    <cfRule type="expression" dxfId="7" priority="2">
      <formula>$F37&lt;&gt;""</formula>
    </cfRule>
  </conditionalFormatting>
  <dataValidations count="1">
    <dataValidation type="list" sqref="C2" xr:uid="{00000000-0002-0000-0000-000000000000}">
      <formula1>"2024,2025,2026,2027,2028"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A5FA"/>
    <pageSetUpPr fitToPage="1"/>
  </sheetPr>
  <dimension ref="B1:X654"/>
  <sheetViews>
    <sheetView showGridLines="0" zoomScaleNormal="100" workbookViewId="0">
      <pane ySplit="3" topLeftCell="A4" activePane="bottomLeft" state="frozen"/>
      <selection pane="bottomLeft" activeCell="C28" sqref="C28"/>
    </sheetView>
  </sheetViews>
  <sheetFormatPr defaultColWidth="8.7109375" defaultRowHeight="15" outlineLevelCol="1"/>
  <cols>
    <col min="1" max="1" width="2" customWidth="1"/>
    <col min="2" max="2" width="28" customWidth="1"/>
    <col min="3" max="3" width="14" customWidth="1"/>
    <col min="4" max="4" width="12" customWidth="1"/>
    <col min="5" max="7" width="21" customWidth="1"/>
    <col min="9" max="23" width="13" hidden="1" customWidth="1" outlineLevel="1"/>
    <col min="24" max="24" width="8.7109375" collapsed="1"/>
  </cols>
  <sheetData>
    <row r="1" spans="2:23" ht="31.5" customHeight="1">
      <c r="B1" s="4" t="s">
        <v>41</v>
      </c>
    </row>
    <row r="2" spans="2:23" ht="16.5">
      <c r="B2" s="5" t="s">
        <v>1</v>
      </c>
      <c r="C2" s="27">
        <f>대시보드!C2</f>
        <v>2026</v>
      </c>
      <c r="D2" s="7" t="s">
        <v>42</v>
      </c>
    </row>
    <row r="4" spans="2:23">
      <c r="P4" s="28" t="s">
        <v>5</v>
      </c>
      <c r="Q4" s="28" t="s">
        <v>6</v>
      </c>
      <c r="R4" s="28" t="s">
        <v>43</v>
      </c>
      <c r="S4" s="28" t="s">
        <v>44</v>
      </c>
      <c r="T4" s="28" t="s">
        <v>45</v>
      </c>
      <c r="U4" s="28" t="s">
        <v>46</v>
      </c>
      <c r="V4" s="28" t="s">
        <v>47</v>
      </c>
      <c r="W4" s="28" t="s">
        <v>48</v>
      </c>
    </row>
    <row r="5" spans="2:23">
      <c r="B5" s="23" t="str">
        <f>IF($M5="H",$J5&amp;"월",IF($M5="C","매장명",IF($M5="I",INDEX('완료 체험단'!$A$4:$A$2000,$N5),IF($M5="T","합계",""))))</f>
        <v>1월</v>
      </c>
      <c r="C5" s="29" t="str">
        <f>IF($M5="H",$L5&amp;"건",IF($M5="C","사이트",IF($M5="I",INDEX('완료 체험단'!$C$4:$C$2000,$N5),IF($M5="T",$L5&amp;"건",""))))</f>
        <v>0건</v>
      </c>
      <c r="D5" s="30" t="str">
        <f>IF($M5="C","방문일",IF($M5="I",INDEX('완료 체험단'!$D$4:$D$2000,$N5),""))</f>
        <v/>
      </c>
      <c r="E5" s="25" t="str">
        <f>IF($M5="H","제공금액 "&amp;TEXT(INDEX($U$5:$U$16,$J5),"#,##0")&amp;"원",IF($M5="C","제공금액",IF($M5="I",INDEX('완료 체험단'!$F$4:$F$2000,$N5),IF($M5="T",INDEX($U$5:$U$16,$J5),""))))</f>
        <v>제공금액 0원</v>
      </c>
      <c r="F5" s="25" t="str">
        <f>IF($M5="H","결제금액 "&amp;TEXT(INDEX($V$5:$V$16,$J5),"#,##0")&amp;"원",IF($M5="C","결제금액",IF($M5="I",INDEX('완료 체험단'!$G$4:$G$2000,$N5),IF($M5="T",INDEX($V$5:$V$16,$J5),""))))</f>
        <v>결제금액 0원</v>
      </c>
      <c r="G5" s="25" t="str">
        <f>IF($M5="H","실수익 "&amp;TEXT(INDEX($W$5:$W$16,$J5),"#,##0")&amp;"원",IF($M5="C","실수익",IF($M5="I",INDEX('완료 체험단'!$H$4:$H$2000,$N5),IF($M5="T",INDEX($W$5:$W$16,$J5),""))))</f>
        <v>실수익 0원</v>
      </c>
      <c r="I5" s="31">
        <f>ROWS(I$5:I5)</f>
        <v>1</v>
      </c>
      <c r="J5" s="31">
        <f t="shared" ref="J5:J68" si="0">IF($I5&gt;$S$17,"",MATCH($I5-1,$S$5:$S$16,1))</f>
        <v>1</v>
      </c>
      <c r="K5" s="31">
        <f t="shared" ref="K5:K68" si="1">IF($J5="","",$I5-INDEX($S$5:$S$16,$J5))</f>
        <v>1</v>
      </c>
      <c r="L5" s="31">
        <f t="shared" ref="L5:L68" si="2">IF($J5="","",INDEX($Q$5:$Q$16,$J5))</f>
        <v>0</v>
      </c>
      <c r="M5" t="str">
        <f t="shared" ref="M5:M68" si="3">IF($J5="","",IF($K5=1,"H",IF($L5=0,"S",IF($K5=2,"C",IF($K5&lt;=$L5+2,"I",IF($K5=$L5+3,"T","S"))))))</f>
        <v>H</v>
      </c>
      <c r="N5" t="str">
        <f>IF($M5="I",MATCH(SMALL('완료 체험단'!$K$4:$K$2000,INDEX($T$5:$T$16,$J5)+$K5-2),'완료 체험단'!$K$4:$K$2000,0),"")</f>
        <v/>
      </c>
      <c r="P5">
        <v>1</v>
      </c>
      <c r="Q5" s="31">
        <f>COUNTIFS('완료 체험단'!$D$4:$D$2000,"&gt;="&amp;DATE($C$2,P5,1),'완료 체험단'!$D$4:$D$2000,"&lt;"&amp;DATE($C$2,P5+1,1))</f>
        <v>0</v>
      </c>
      <c r="R5" s="31">
        <f t="shared" ref="R5:R16" si="4">IF(Q5=0,1,Q5+4)</f>
        <v>1</v>
      </c>
      <c r="S5">
        <v>0</v>
      </c>
      <c r="T5">
        <v>0</v>
      </c>
      <c r="U5" s="31">
        <f>SUMIFS('완료 체험단'!$F$4:$F$2000,'완료 체험단'!$D$4:$D$2000,"&gt;="&amp;DATE($C$2,P5,1),'완료 체험단'!$D$4:$D$2000,"&lt;"&amp;DATE($C$2,P5+1,1))</f>
        <v>0</v>
      </c>
      <c r="V5" s="31">
        <f>SUMIFS('완료 체험단'!$G$4:$G$2000,'완료 체험단'!$D$4:$D$2000,"&gt;="&amp;DATE($C$2,P5,1),'완료 체험단'!$D$4:$D$2000,"&lt;"&amp;DATE($C$2,P5+1,1))</f>
        <v>0</v>
      </c>
      <c r="W5" s="31">
        <f>SUMIFS('완료 체험단'!$H$4:$H$2000,'완료 체험단'!$D$4:$D$2000,"&gt;="&amp;DATE($C$2,P5,1),'완료 체험단'!$D$4:$D$2000,"&lt;"&amp;DATE($C$2,P5+1,1))</f>
        <v>0</v>
      </c>
    </row>
    <row r="6" spans="2:23">
      <c r="B6" s="23" t="str">
        <f>IF($M6="H",$J6&amp;"월",IF($M6="C","매장명",IF($M6="I",INDEX('완료 체험단'!$A$4:$A$2000,$N6),IF($M6="T","합계",""))))</f>
        <v>2월</v>
      </c>
      <c r="C6" s="29" t="str">
        <f>IF($M6="H",$L6&amp;"건",IF($M6="C","사이트",IF($M6="I",INDEX('완료 체험단'!$C$4:$C$2000,$N6),IF($M6="T",$L6&amp;"건",""))))</f>
        <v>0건</v>
      </c>
      <c r="D6" s="30" t="str">
        <f>IF($M6="C","방문일",IF($M6="I",INDEX('완료 체험단'!$D$4:$D$2000,$N6),""))</f>
        <v/>
      </c>
      <c r="E6" s="25" t="str">
        <f>IF($M6="H","제공금액 "&amp;TEXT(INDEX($U$5:$U$16,$J6),"#,##0")&amp;"원",IF($M6="C","제공금액",IF($M6="I",INDEX('완료 체험단'!$F$4:$F$2000,$N6),IF($M6="T",INDEX($U$5:$U$16,$J6),""))))</f>
        <v>제공금액 0원</v>
      </c>
      <c r="F6" s="25" t="str">
        <f>IF($M6="H","결제금액 "&amp;TEXT(INDEX($V$5:$V$16,$J6),"#,##0")&amp;"원",IF($M6="C","결제금액",IF($M6="I",INDEX('완료 체험단'!$G$4:$G$2000,$N6),IF($M6="T",INDEX($V$5:$V$16,$J6),""))))</f>
        <v>결제금액 0원</v>
      </c>
      <c r="G6" s="25" t="str">
        <f>IF($M6="H","실수익 "&amp;TEXT(INDEX($W$5:$W$16,$J6),"#,##0")&amp;"원",IF($M6="C","실수익",IF($M6="I",INDEX('완료 체험단'!$H$4:$H$2000,$N6),IF($M6="T",INDEX($W$5:$W$16,$J6),""))))</f>
        <v>실수익 0원</v>
      </c>
      <c r="I6" s="31">
        <f>ROWS(I$5:I6)</f>
        <v>2</v>
      </c>
      <c r="J6" s="31">
        <f t="shared" si="0"/>
        <v>2</v>
      </c>
      <c r="K6" s="31">
        <f t="shared" si="1"/>
        <v>1</v>
      </c>
      <c r="L6" s="31">
        <f t="shared" si="2"/>
        <v>0</v>
      </c>
      <c r="M6" t="str">
        <f t="shared" si="3"/>
        <v>H</v>
      </c>
      <c r="N6" t="str">
        <f>IF($M6="I",MATCH(SMALL('완료 체험단'!$K$4:$K$2000,INDEX($T$5:$T$16,$J6)+$K6-2),'완료 체험단'!$K$4:$K$2000,0),"")</f>
        <v/>
      </c>
      <c r="P6">
        <v>2</v>
      </c>
      <c r="Q6" s="31">
        <f>COUNTIFS('완료 체험단'!$D$4:$D$2000,"&gt;="&amp;DATE($C$2,P6,1),'완료 체험단'!$D$4:$D$2000,"&lt;"&amp;DATE($C$2,P6+1,1))</f>
        <v>0</v>
      </c>
      <c r="R6" s="31">
        <f t="shared" si="4"/>
        <v>1</v>
      </c>
      <c r="S6" s="31">
        <f t="shared" ref="S6:S17" si="5">S5+R5</f>
        <v>1</v>
      </c>
      <c r="T6" s="31">
        <f t="shared" ref="T6:T17" si="6">T5+Q5</f>
        <v>0</v>
      </c>
      <c r="U6" s="31">
        <f>SUMIFS('완료 체험단'!$F$4:$F$2000,'완료 체험단'!$D$4:$D$2000,"&gt;="&amp;DATE($C$2,P6,1),'완료 체험단'!$D$4:$D$2000,"&lt;"&amp;DATE($C$2,P6+1,1))</f>
        <v>0</v>
      </c>
      <c r="V6" s="31">
        <f>SUMIFS('완료 체험단'!$G$4:$G$2000,'완료 체험단'!$D$4:$D$2000,"&gt;="&amp;DATE($C$2,P6,1),'완료 체험단'!$D$4:$D$2000,"&lt;"&amp;DATE($C$2,P6+1,1))</f>
        <v>0</v>
      </c>
      <c r="W6" s="31">
        <f>SUMIFS('완료 체험단'!$H$4:$H$2000,'완료 체험단'!$D$4:$D$2000,"&gt;="&amp;DATE($C$2,P6,1),'완료 체험단'!$D$4:$D$2000,"&lt;"&amp;DATE($C$2,P6+1,1))</f>
        <v>0</v>
      </c>
    </row>
    <row r="7" spans="2:23">
      <c r="B7" s="23" t="str">
        <f>IF($M7="H",$J7&amp;"월",IF($M7="C","매장명",IF($M7="I",INDEX('완료 체험단'!$A$4:$A$2000,$N7),IF($M7="T","합계",""))))</f>
        <v>3월</v>
      </c>
      <c r="C7" s="29" t="str">
        <f>IF($M7="H",$L7&amp;"건",IF($M7="C","사이트",IF($M7="I",INDEX('완료 체험단'!$C$4:$C$2000,$N7),IF($M7="T",$L7&amp;"건",""))))</f>
        <v>0건</v>
      </c>
      <c r="D7" s="30" t="str">
        <f>IF($M7="C","방문일",IF($M7="I",INDEX('완료 체험단'!$D$4:$D$2000,$N7),""))</f>
        <v/>
      </c>
      <c r="E7" s="25" t="str">
        <f>IF($M7="H","제공금액 "&amp;TEXT(INDEX($U$5:$U$16,$J7),"#,##0")&amp;"원",IF($M7="C","제공금액",IF($M7="I",INDEX('완료 체험단'!$F$4:$F$2000,$N7),IF($M7="T",INDEX($U$5:$U$16,$J7),""))))</f>
        <v>제공금액 0원</v>
      </c>
      <c r="F7" s="25" t="str">
        <f>IF($M7="H","결제금액 "&amp;TEXT(INDEX($V$5:$V$16,$J7),"#,##0")&amp;"원",IF($M7="C","결제금액",IF($M7="I",INDEX('완료 체험단'!$G$4:$G$2000,$N7),IF($M7="T",INDEX($V$5:$V$16,$J7),""))))</f>
        <v>결제금액 0원</v>
      </c>
      <c r="G7" s="25" t="str">
        <f>IF($M7="H","실수익 "&amp;TEXT(INDEX($W$5:$W$16,$J7),"#,##0")&amp;"원",IF($M7="C","실수익",IF($M7="I",INDEX('완료 체험단'!$H$4:$H$2000,$N7),IF($M7="T",INDEX($W$5:$W$16,$J7),""))))</f>
        <v>실수익 0원</v>
      </c>
      <c r="I7" s="31">
        <f>ROWS(I$5:I7)</f>
        <v>3</v>
      </c>
      <c r="J7" s="31">
        <f t="shared" si="0"/>
        <v>3</v>
      </c>
      <c r="K7" s="31">
        <f t="shared" si="1"/>
        <v>1</v>
      </c>
      <c r="L7" s="31">
        <f t="shared" si="2"/>
        <v>0</v>
      </c>
      <c r="M7" t="str">
        <f t="shared" si="3"/>
        <v>H</v>
      </c>
      <c r="N7" t="str">
        <f>IF($M7="I",MATCH(SMALL('완료 체험단'!$K$4:$K$2000,INDEX($T$5:$T$16,$J7)+$K7-2),'완료 체험단'!$K$4:$K$2000,0),"")</f>
        <v/>
      </c>
      <c r="P7">
        <v>3</v>
      </c>
      <c r="Q7" s="31">
        <f>COUNTIFS('완료 체험단'!$D$4:$D$2000,"&gt;="&amp;DATE($C$2,P7,1),'완료 체험단'!$D$4:$D$2000,"&lt;"&amp;DATE($C$2,P7+1,1))</f>
        <v>0</v>
      </c>
      <c r="R7" s="31">
        <f t="shared" si="4"/>
        <v>1</v>
      </c>
      <c r="S7" s="31">
        <f t="shared" si="5"/>
        <v>2</v>
      </c>
      <c r="T7" s="31">
        <f t="shared" si="6"/>
        <v>0</v>
      </c>
      <c r="U7" s="31">
        <f>SUMIFS('완료 체험단'!$F$4:$F$2000,'완료 체험단'!$D$4:$D$2000,"&gt;="&amp;DATE($C$2,P7,1),'완료 체험단'!$D$4:$D$2000,"&lt;"&amp;DATE($C$2,P7+1,1))</f>
        <v>0</v>
      </c>
      <c r="V7" s="31">
        <f>SUMIFS('완료 체험단'!$G$4:$G$2000,'완료 체험단'!$D$4:$D$2000,"&gt;="&amp;DATE($C$2,P7,1),'완료 체험단'!$D$4:$D$2000,"&lt;"&amp;DATE($C$2,P7+1,1))</f>
        <v>0</v>
      </c>
      <c r="W7" s="31">
        <f>SUMIFS('완료 체험단'!$H$4:$H$2000,'완료 체험단'!$D$4:$D$2000,"&gt;="&amp;DATE($C$2,P7,1),'완료 체험단'!$D$4:$D$2000,"&lt;"&amp;DATE($C$2,P7+1,1))</f>
        <v>0</v>
      </c>
    </row>
    <row r="8" spans="2:23">
      <c r="B8" s="23" t="str">
        <f>IF($M8="H",$J8&amp;"월",IF($M8="C","매장명",IF($M8="I",INDEX('완료 체험단'!$A$4:$A$2000,$N8),IF($M8="T","합계",""))))</f>
        <v>4월</v>
      </c>
      <c r="C8" s="29" t="str">
        <f>IF($M8="H",$L8&amp;"건",IF($M8="C","사이트",IF($M8="I",INDEX('완료 체험단'!$C$4:$C$2000,$N8),IF($M8="T",$L8&amp;"건",""))))</f>
        <v>0건</v>
      </c>
      <c r="D8" s="30" t="str">
        <f>IF($M8="C","방문일",IF($M8="I",INDEX('완료 체험단'!$D$4:$D$2000,$N8),""))</f>
        <v/>
      </c>
      <c r="E8" s="25" t="str">
        <f>IF($M8="H","제공금액 "&amp;TEXT(INDEX($U$5:$U$16,$J8),"#,##0")&amp;"원",IF($M8="C","제공금액",IF($M8="I",INDEX('완료 체험단'!$F$4:$F$2000,$N8),IF($M8="T",INDEX($U$5:$U$16,$J8),""))))</f>
        <v>제공금액 0원</v>
      </c>
      <c r="F8" s="25" t="str">
        <f>IF($M8="H","결제금액 "&amp;TEXT(INDEX($V$5:$V$16,$J8),"#,##0")&amp;"원",IF($M8="C","결제금액",IF($M8="I",INDEX('완료 체험단'!$G$4:$G$2000,$N8),IF($M8="T",INDEX($V$5:$V$16,$J8),""))))</f>
        <v>결제금액 0원</v>
      </c>
      <c r="G8" s="25" t="str">
        <f>IF($M8="H","실수익 "&amp;TEXT(INDEX($W$5:$W$16,$J8),"#,##0")&amp;"원",IF($M8="C","실수익",IF($M8="I",INDEX('완료 체험단'!$H$4:$H$2000,$N8),IF($M8="T",INDEX($W$5:$W$16,$J8),""))))</f>
        <v>실수익 0원</v>
      </c>
      <c r="I8" s="31">
        <f>ROWS(I$5:I8)</f>
        <v>4</v>
      </c>
      <c r="J8" s="31">
        <f t="shared" si="0"/>
        <v>4</v>
      </c>
      <c r="K8" s="31">
        <f t="shared" si="1"/>
        <v>1</v>
      </c>
      <c r="L8" s="31">
        <f t="shared" si="2"/>
        <v>0</v>
      </c>
      <c r="M8" t="str">
        <f t="shared" si="3"/>
        <v>H</v>
      </c>
      <c r="N8" s="31" t="str">
        <f>IF($M8="I",MATCH(SMALL('완료 체험단'!$K$4:$K$2000,INDEX($T$5:$T$16,$J8)+$K8-2),'완료 체험단'!$K$4:$K$2000,0),"")</f>
        <v/>
      </c>
      <c r="P8">
        <v>4</v>
      </c>
      <c r="Q8" s="31">
        <f>COUNTIFS('완료 체험단'!$D$4:$D$2000,"&gt;="&amp;DATE($C$2,P8,1),'완료 체험단'!$D$4:$D$2000,"&lt;"&amp;DATE($C$2,P8+1,1))</f>
        <v>0</v>
      </c>
      <c r="R8" s="31">
        <f t="shared" si="4"/>
        <v>1</v>
      </c>
      <c r="S8" s="31">
        <f t="shared" si="5"/>
        <v>3</v>
      </c>
      <c r="T8" s="31">
        <f t="shared" si="6"/>
        <v>0</v>
      </c>
      <c r="U8" s="31">
        <f>SUMIFS('완료 체험단'!$F$4:$F$2000,'완료 체험단'!$D$4:$D$2000,"&gt;="&amp;DATE($C$2,P8,1),'완료 체험단'!$D$4:$D$2000,"&lt;"&amp;DATE($C$2,P8+1,1))</f>
        <v>0</v>
      </c>
      <c r="V8" s="31">
        <f>SUMIFS('완료 체험단'!$G$4:$G$2000,'완료 체험단'!$D$4:$D$2000,"&gt;="&amp;DATE($C$2,P8,1),'완료 체험단'!$D$4:$D$2000,"&lt;"&amp;DATE($C$2,P8+1,1))</f>
        <v>0</v>
      </c>
      <c r="W8" s="31">
        <f>SUMIFS('완료 체험단'!$H$4:$H$2000,'완료 체험단'!$D$4:$D$2000,"&gt;="&amp;DATE($C$2,P8,1),'완료 체험단'!$D$4:$D$2000,"&lt;"&amp;DATE($C$2,P8+1,1))</f>
        <v>0</v>
      </c>
    </row>
    <row r="9" spans="2:23">
      <c r="B9" s="23" t="str">
        <f>IF($M9="H",$J9&amp;"월",IF($M9="C","매장명",IF($M9="I",INDEX('완료 체험단'!$A$4:$A$2000,$N9),IF($M9="T","합계",""))))</f>
        <v>5월</v>
      </c>
      <c r="C9" s="29" t="str">
        <f>IF($M9="H",$L9&amp;"건",IF($M9="C","사이트",IF($M9="I",INDEX('완료 체험단'!$C$4:$C$2000,$N9),IF($M9="T",$L9&amp;"건",""))))</f>
        <v>0건</v>
      </c>
      <c r="D9" s="30" t="str">
        <f>IF($M9="C","방문일",IF($M9="I",INDEX('완료 체험단'!$D$4:$D$2000,$N9),""))</f>
        <v/>
      </c>
      <c r="E9" s="25" t="str">
        <f>IF($M9="H","제공금액 "&amp;TEXT(INDEX($U$5:$U$16,$J9),"#,##0")&amp;"원",IF($M9="C","제공금액",IF($M9="I",INDEX('완료 체험단'!$F$4:$F$2000,$N9),IF($M9="T",INDEX($U$5:$U$16,$J9),""))))</f>
        <v>제공금액 0원</v>
      </c>
      <c r="F9" s="25" t="str">
        <f>IF($M9="H","결제금액 "&amp;TEXT(INDEX($V$5:$V$16,$J9),"#,##0")&amp;"원",IF($M9="C","결제금액",IF($M9="I",INDEX('완료 체험단'!$G$4:$G$2000,$N9),IF($M9="T",INDEX($V$5:$V$16,$J9),""))))</f>
        <v>결제금액 0원</v>
      </c>
      <c r="G9" s="25" t="str">
        <f>IF($M9="H","실수익 "&amp;TEXT(INDEX($W$5:$W$16,$J9),"#,##0")&amp;"원",IF($M9="C","실수익",IF($M9="I",INDEX('완료 체험단'!$H$4:$H$2000,$N9),IF($M9="T",INDEX($W$5:$W$16,$J9),""))))</f>
        <v>실수익 0원</v>
      </c>
      <c r="I9" s="31">
        <f>ROWS(I$5:I9)</f>
        <v>5</v>
      </c>
      <c r="J9" s="31">
        <f t="shared" si="0"/>
        <v>5</v>
      </c>
      <c r="K9" s="31">
        <f t="shared" si="1"/>
        <v>1</v>
      </c>
      <c r="L9" s="31">
        <f t="shared" si="2"/>
        <v>0</v>
      </c>
      <c r="M9" t="str">
        <f t="shared" si="3"/>
        <v>H</v>
      </c>
      <c r="N9" t="str">
        <f>IF($M9="I",MATCH(SMALL('완료 체험단'!$K$4:$K$2000,INDEX($T$5:$T$16,$J9)+$K9-2),'완료 체험단'!$K$4:$K$2000,0),"")</f>
        <v/>
      </c>
      <c r="P9">
        <v>5</v>
      </c>
      <c r="Q9" s="31">
        <f>COUNTIFS('완료 체험단'!$D$4:$D$2000,"&gt;="&amp;DATE($C$2,P9,1),'완료 체험단'!$D$4:$D$2000,"&lt;"&amp;DATE($C$2,P9+1,1))</f>
        <v>0</v>
      </c>
      <c r="R9" s="31">
        <f t="shared" si="4"/>
        <v>1</v>
      </c>
      <c r="S9" s="31">
        <f t="shared" si="5"/>
        <v>4</v>
      </c>
      <c r="T9" s="31">
        <f t="shared" si="6"/>
        <v>0</v>
      </c>
      <c r="U9" s="31">
        <f>SUMIFS('완료 체험단'!$F$4:$F$2000,'완료 체험단'!$D$4:$D$2000,"&gt;="&amp;DATE($C$2,P9,1),'완료 체험단'!$D$4:$D$2000,"&lt;"&amp;DATE($C$2,P9+1,1))</f>
        <v>0</v>
      </c>
      <c r="V9" s="31">
        <f>SUMIFS('완료 체험단'!$G$4:$G$2000,'완료 체험단'!$D$4:$D$2000,"&gt;="&amp;DATE($C$2,P9,1),'완료 체험단'!$D$4:$D$2000,"&lt;"&amp;DATE($C$2,P9+1,1))</f>
        <v>0</v>
      </c>
      <c r="W9" s="31">
        <f>SUMIFS('완료 체험단'!$H$4:$H$2000,'완료 체험단'!$D$4:$D$2000,"&gt;="&amp;DATE($C$2,P9,1),'완료 체험단'!$D$4:$D$2000,"&lt;"&amp;DATE($C$2,P9+1,1))</f>
        <v>0</v>
      </c>
    </row>
    <row r="10" spans="2:23">
      <c r="B10" s="23" t="str">
        <f>IF($M10="H",$J10&amp;"월",IF($M10="C","매장명",IF($M10="I",INDEX('완료 체험단'!$A$4:$A$2000,$N10),IF($M10="T","합계",""))))</f>
        <v>6월</v>
      </c>
      <c r="C10" s="29" t="str">
        <f>IF($M10="H",$L10&amp;"건",IF($M10="C","사이트",IF($M10="I",INDEX('완료 체험단'!$C$4:$C$2000,$N10),IF($M10="T",$L10&amp;"건",""))))</f>
        <v>0건</v>
      </c>
      <c r="D10" s="30" t="str">
        <f>IF($M10="C","방문일",IF($M10="I",INDEX('완료 체험단'!$D$4:$D$2000,$N10),""))</f>
        <v/>
      </c>
      <c r="E10" s="25" t="str">
        <f>IF($M10="H","제공금액 "&amp;TEXT(INDEX($U$5:$U$16,$J10),"#,##0")&amp;"원",IF($M10="C","제공금액",IF($M10="I",INDEX('완료 체험단'!$F$4:$F$2000,$N10),IF($M10="T",INDEX($U$5:$U$16,$J10),""))))</f>
        <v>제공금액 0원</v>
      </c>
      <c r="F10" s="25" t="str">
        <f>IF($M10="H","결제금액 "&amp;TEXT(INDEX($V$5:$V$16,$J10),"#,##0")&amp;"원",IF($M10="C","결제금액",IF($M10="I",INDEX('완료 체험단'!$G$4:$G$2000,$N10),IF($M10="T",INDEX($V$5:$V$16,$J10),""))))</f>
        <v>결제금액 0원</v>
      </c>
      <c r="G10" s="25" t="str">
        <f>IF($M10="H","실수익 "&amp;TEXT(INDEX($W$5:$W$16,$J10),"#,##0")&amp;"원",IF($M10="C","실수익",IF($M10="I",INDEX('완료 체험단'!$H$4:$H$2000,$N10),IF($M10="T",INDEX($W$5:$W$16,$J10),""))))</f>
        <v>실수익 0원</v>
      </c>
      <c r="I10" s="31">
        <f>ROWS(I$5:I10)</f>
        <v>6</v>
      </c>
      <c r="J10" s="31">
        <f t="shared" si="0"/>
        <v>6</v>
      </c>
      <c r="K10" s="31">
        <f t="shared" si="1"/>
        <v>1</v>
      </c>
      <c r="L10" s="31">
        <f t="shared" si="2"/>
        <v>0</v>
      </c>
      <c r="M10" t="str">
        <f t="shared" si="3"/>
        <v>H</v>
      </c>
      <c r="N10" t="str">
        <f>IF($M10="I",MATCH(SMALL('완료 체험단'!$K$4:$K$2000,INDEX($T$5:$T$16,$J10)+$K10-2),'완료 체험단'!$K$4:$K$2000,0),"")</f>
        <v/>
      </c>
      <c r="P10">
        <v>6</v>
      </c>
      <c r="Q10" s="31">
        <f>COUNTIFS('완료 체험단'!$D$4:$D$2000,"&gt;="&amp;DATE($C$2,P10,1),'완료 체험단'!$D$4:$D$2000,"&lt;"&amp;DATE($C$2,P10+1,1))</f>
        <v>0</v>
      </c>
      <c r="R10" s="31">
        <f t="shared" si="4"/>
        <v>1</v>
      </c>
      <c r="S10" s="31">
        <f t="shared" si="5"/>
        <v>5</v>
      </c>
      <c r="T10" s="31">
        <f t="shared" si="6"/>
        <v>0</v>
      </c>
      <c r="U10" s="31">
        <f>SUMIFS('완료 체험단'!$F$4:$F$2000,'완료 체험단'!$D$4:$D$2000,"&gt;="&amp;DATE($C$2,P10,1),'완료 체험단'!$D$4:$D$2000,"&lt;"&amp;DATE($C$2,P10+1,1))</f>
        <v>0</v>
      </c>
      <c r="V10" s="31">
        <f>SUMIFS('완료 체험단'!$G$4:$G$2000,'완료 체험단'!$D$4:$D$2000,"&gt;="&amp;DATE($C$2,P10,1),'완료 체험단'!$D$4:$D$2000,"&lt;"&amp;DATE($C$2,P10+1,1))</f>
        <v>0</v>
      </c>
      <c r="W10" s="31">
        <f>SUMIFS('완료 체험단'!$H$4:$H$2000,'완료 체험단'!$D$4:$D$2000,"&gt;="&amp;DATE($C$2,P10,1),'완료 체험단'!$D$4:$D$2000,"&lt;"&amp;DATE($C$2,P10+1,1))</f>
        <v>0</v>
      </c>
    </row>
    <row r="11" spans="2:23">
      <c r="B11" s="23" t="str">
        <f>IF($M11="H",$J11&amp;"월",IF($M11="C","매장명",IF($M11="I",INDEX('완료 체험단'!$A$4:$A$2000,$N11),IF($M11="T","합계",""))))</f>
        <v>7월</v>
      </c>
      <c r="C11" s="29" t="str">
        <f>IF($M11="H",$L11&amp;"건",IF($M11="C","사이트",IF($M11="I",INDEX('완료 체험단'!$C$4:$C$2000,$N11),IF($M11="T",$L11&amp;"건",""))))</f>
        <v>0건</v>
      </c>
      <c r="D11" s="30" t="str">
        <f>IF($M11="C","방문일",IF($M11="I",INDEX('완료 체험단'!$D$4:$D$2000,$N11),""))</f>
        <v/>
      </c>
      <c r="E11" s="25" t="str">
        <f>IF($M11="H","제공금액 "&amp;TEXT(INDEX($U$5:$U$16,$J11),"#,##0")&amp;"원",IF($M11="C","제공금액",IF($M11="I",INDEX('완료 체험단'!$F$4:$F$2000,$N11),IF($M11="T",INDEX($U$5:$U$16,$J11),""))))</f>
        <v>제공금액 0원</v>
      </c>
      <c r="F11" s="25" t="str">
        <f>IF($M11="H","결제금액 "&amp;TEXT(INDEX($V$5:$V$16,$J11),"#,##0")&amp;"원",IF($M11="C","결제금액",IF($M11="I",INDEX('완료 체험단'!$G$4:$G$2000,$N11),IF($M11="T",INDEX($V$5:$V$16,$J11),""))))</f>
        <v>결제금액 0원</v>
      </c>
      <c r="G11" s="25" t="str">
        <f>IF($M11="H","실수익 "&amp;TEXT(INDEX($W$5:$W$16,$J11),"#,##0")&amp;"원",IF($M11="C","실수익",IF($M11="I",INDEX('완료 체험단'!$H$4:$H$2000,$N11),IF($M11="T",INDEX($W$5:$W$16,$J11),""))))</f>
        <v>실수익 0원</v>
      </c>
      <c r="I11" s="31">
        <f>ROWS(I$5:I11)</f>
        <v>7</v>
      </c>
      <c r="J11" s="31">
        <f t="shared" si="0"/>
        <v>7</v>
      </c>
      <c r="K11" s="31">
        <f t="shared" si="1"/>
        <v>1</v>
      </c>
      <c r="L11" s="31">
        <f t="shared" si="2"/>
        <v>0</v>
      </c>
      <c r="M11" t="str">
        <f t="shared" si="3"/>
        <v>H</v>
      </c>
      <c r="N11" t="str">
        <f>IF($M11="I",MATCH(SMALL('완료 체험단'!$K$4:$K$2000,INDEX($T$5:$T$16,$J11)+$K11-2),'완료 체험단'!$K$4:$K$2000,0),"")</f>
        <v/>
      </c>
      <c r="P11">
        <v>7</v>
      </c>
      <c r="Q11" s="31">
        <f>COUNTIFS('완료 체험단'!$D$4:$D$2000,"&gt;="&amp;DATE($C$2,P11,1),'완료 체험단'!$D$4:$D$2000,"&lt;"&amp;DATE($C$2,P11+1,1))</f>
        <v>0</v>
      </c>
      <c r="R11" s="31">
        <f t="shared" si="4"/>
        <v>1</v>
      </c>
      <c r="S11" s="31">
        <f t="shared" si="5"/>
        <v>6</v>
      </c>
      <c r="T11" s="31">
        <f t="shared" si="6"/>
        <v>0</v>
      </c>
      <c r="U11" s="31">
        <f>SUMIFS('완료 체험단'!$F$4:$F$2000,'완료 체험단'!$D$4:$D$2000,"&gt;="&amp;DATE($C$2,P11,1),'완료 체험단'!$D$4:$D$2000,"&lt;"&amp;DATE($C$2,P11+1,1))</f>
        <v>0</v>
      </c>
      <c r="V11" s="31">
        <f>SUMIFS('완료 체험단'!$G$4:$G$2000,'완료 체험단'!$D$4:$D$2000,"&gt;="&amp;DATE($C$2,P11,1),'완료 체험단'!$D$4:$D$2000,"&lt;"&amp;DATE($C$2,P11+1,1))</f>
        <v>0</v>
      </c>
      <c r="W11" s="31">
        <f>SUMIFS('완료 체험단'!$H$4:$H$2000,'완료 체험단'!$D$4:$D$2000,"&gt;="&amp;DATE($C$2,P11,1),'완료 체험단'!$D$4:$D$2000,"&lt;"&amp;DATE($C$2,P11+1,1))</f>
        <v>0</v>
      </c>
    </row>
    <row r="12" spans="2:23">
      <c r="B12" s="23" t="str">
        <f>IF($M12="H",$J12&amp;"월",IF($M12="C","매장명",IF($M12="I",INDEX('완료 체험단'!$A$4:$A$2000,$N12),IF($M12="T","합계",""))))</f>
        <v>8월</v>
      </c>
      <c r="C12" s="29" t="str">
        <f>IF($M12="H",$L12&amp;"건",IF($M12="C","사이트",IF($M12="I",INDEX('완료 체험단'!$C$4:$C$2000,$N12),IF($M12="T",$L12&amp;"건",""))))</f>
        <v>0건</v>
      </c>
      <c r="D12" s="30" t="str">
        <f>IF($M12="C","방문일",IF($M12="I",INDEX('완료 체험단'!$D$4:$D$2000,$N12),""))</f>
        <v/>
      </c>
      <c r="E12" s="25" t="str">
        <f>IF($M12="H","제공금액 "&amp;TEXT(INDEX($U$5:$U$16,$J12),"#,##0")&amp;"원",IF($M12="C","제공금액",IF($M12="I",INDEX('완료 체험단'!$F$4:$F$2000,$N12),IF($M12="T",INDEX($U$5:$U$16,$J12),""))))</f>
        <v>제공금액 0원</v>
      </c>
      <c r="F12" s="25" t="str">
        <f>IF($M12="H","결제금액 "&amp;TEXT(INDEX($V$5:$V$16,$J12),"#,##0")&amp;"원",IF($M12="C","결제금액",IF($M12="I",INDEX('완료 체험단'!$G$4:$G$2000,$N12),IF($M12="T",INDEX($V$5:$V$16,$J12),""))))</f>
        <v>결제금액 0원</v>
      </c>
      <c r="G12" s="25" t="str">
        <f>IF($M12="H","실수익 "&amp;TEXT(INDEX($W$5:$W$16,$J12),"#,##0")&amp;"원",IF($M12="C","실수익",IF($M12="I",INDEX('완료 체험단'!$H$4:$H$2000,$N12),IF($M12="T",INDEX($W$5:$W$16,$J12),""))))</f>
        <v>실수익 0원</v>
      </c>
      <c r="I12" s="31">
        <f>ROWS(I$5:I12)</f>
        <v>8</v>
      </c>
      <c r="J12" s="31">
        <f t="shared" si="0"/>
        <v>8</v>
      </c>
      <c r="K12" s="31">
        <f t="shared" si="1"/>
        <v>1</v>
      </c>
      <c r="L12" s="31">
        <f t="shared" si="2"/>
        <v>0</v>
      </c>
      <c r="M12" t="str">
        <f t="shared" si="3"/>
        <v>H</v>
      </c>
      <c r="N12" t="str">
        <f>IF($M12="I",MATCH(SMALL('완료 체험단'!$K$4:$K$2000,INDEX($T$5:$T$16,$J12)+$K12-2),'완료 체험단'!$K$4:$K$2000,0),"")</f>
        <v/>
      </c>
      <c r="P12">
        <v>8</v>
      </c>
      <c r="Q12" s="31">
        <f>COUNTIFS('완료 체험단'!$D$4:$D$2000,"&gt;="&amp;DATE($C$2,P12,1),'완료 체험단'!$D$4:$D$2000,"&lt;"&amp;DATE($C$2,P12+1,1))</f>
        <v>0</v>
      </c>
      <c r="R12" s="31">
        <f t="shared" si="4"/>
        <v>1</v>
      </c>
      <c r="S12" s="31">
        <f t="shared" si="5"/>
        <v>7</v>
      </c>
      <c r="T12" s="31">
        <f t="shared" si="6"/>
        <v>0</v>
      </c>
      <c r="U12" s="31">
        <f>SUMIFS('완료 체험단'!$F$4:$F$2000,'완료 체험단'!$D$4:$D$2000,"&gt;="&amp;DATE($C$2,P12,1),'완료 체험단'!$D$4:$D$2000,"&lt;"&amp;DATE($C$2,P12+1,1))</f>
        <v>0</v>
      </c>
      <c r="V12" s="31">
        <f>SUMIFS('완료 체험단'!$G$4:$G$2000,'완료 체험단'!$D$4:$D$2000,"&gt;="&amp;DATE($C$2,P12,1),'완료 체험단'!$D$4:$D$2000,"&lt;"&amp;DATE($C$2,P12+1,1))</f>
        <v>0</v>
      </c>
      <c r="W12" s="31">
        <f>SUMIFS('완료 체험단'!$H$4:$H$2000,'완료 체험단'!$D$4:$D$2000,"&gt;="&amp;DATE($C$2,P12,1),'완료 체험단'!$D$4:$D$2000,"&lt;"&amp;DATE($C$2,P12+1,1))</f>
        <v>0</v>
      </c>
    </row>
    <row r="13" spans="2:23">
      <c r="B13" s="23" t="str">
        <f>IF($M13="H",$J13&amp;"월",IF($M13="C","매장명",IF($M13="I",INDEX('완료 체험단'!$A$4:$A$2000,$N13),IF($M13="T","합계",""))))</f>
        <v>9월</v>
      </c>
      <c r="C13" s="29" t="str">
        <f>IF($M13="H",$L13&amp;"건",IF($M13="C","사이트",IF($M13="I",INDEX('완료 체험단'!$C$4:$C$2000,$N13),IF($M13="T",$L13&amp;"건",""))))</f>
        <v>0건</v>
      </c>
      <c r="D13" s="30" t="str">
        <f>IF($M13="C","방문일",IF($M13="I",INDEX('완료 체험단'!$D$4:$D$2000,$N13),""))</f>
        <v/>
      </c>
      <c r="E13" s="25" t="str">
        <f>IF($M13="H","제공금액 "&amp;TEXT(INDEX($U$5:$U$16,$J13),"#,##0")&amp;"원",IF($M13="C","제공금액",IF($M13="I",INDEX('완료 체험단'!$F$4:$F$2000,$N13),IF($M13="T",INDEX($U$5:$U$16,$J13),""))))</f>
        <v>제공금액 0원</v>
      </c>
      <c r="F13" s="25" t="str">
        <f>IF($M13="H","결제금액 "&amp;TEXT(INDEX($V$5:$V$16,$J13),"#,##0")&amp;"원",IF($M13="C","결제금액",IF($M13="I",INDEX('완료 체험단'!$G$4:$G$2000,$N13),IF($M13="T",INDEX($V$5:$V$16,$J13),""))))</f>
        <v>결제금액 0원</v>
      </c>
      <c r="G13" s="25" t="str">
        <f>IF($M13="H","실수익 "&amp;TEXT(INDEX($W$5:$W$16,$J13),"#,##0")&amp;"원",IF($M13="C","실수익",IF($M13="I",INDEX('완료 체험단'!$H$4:$H$2000,$N13),IF($M13="T",INDEX($W$5:$W$16,$J13),""))))</f>
        <v>실수익 0원</v>
      </c>
      <c r="I13" s="31">
        <f>ROWS(I$5:I13)</f>
        <v>9</v>
      </c>
      <c r="J13" s="31">
        <f t="shared" si="0"/>
        <v>9</v>
      </c>
      <c r="K13" s="31">
        <f t="shared" si="1"/>
        <v>1</v>
      </c>
      <c r="L13" s="31">
        <f t="shared" si="2"/>
        <v>0</v>
      </c>
      <c r="M13" t="str">
        <f t="shared" si="3"/>
        <v>H</v>
      </c>
      <c r="N13" t="str">
        <f>IF($M13="I",MATCH(SMALL('완료 체험단'!$K$4:$K$2000,INDEX($T$5:$T$16,$J13)+$K13-2),'완료 체험단'!$K$4:$K$2000,0),"")</f>
        <v/>
      </c>
      <c r="P13">
        <v>9</v>
      </c>
      <c r="Q13" s="31">
        <f>COUNTIFS('완료 체험단'!$D$4:$D$2000,"&gt;="&amp;DATE($C$2,P13,1),'완료 체험단'!$D$4:$D$2000,"&lt;"&amp;DATE($C$2,P13+1,1))</f>
        <v>0</v>
      </c>
      <c r="R13" s="31">
        <f t="shared" si="4"/>
        <v>1</v>
      </c>
      <c r="S13" s="31">
        <f t="shared" si="5"/>
        <v>8</v>
      </c>
      <c r="T13" s="31">
        <f t="shared" si="6"/>
        <v>0</v>
      </c>
      <c r="U13" s="31">
        <f>SUMIFS('완료 체험단'!$F$4:$F$2000,'완료 체험단'!$D$4:$D$2000,"&gt;="&amp;DATE($C$2,P13,1),'완료 체험단'!$D$4:$D$2000,"&lt;"&amp;DATE($C$2,P13+1,1))</f>
        <v>0</v>
      </c>
      <c r="V13" s="31">
        <f>SUMIFS('완료 체험단'!$G$4:$G$2000,'완료 체험단'!$D$4:$D$2000,"&gt;="&amp;DATE($C$2,P13,1),'완료 체험단'!$D$4:$D$2000,"&lt;"&amp;DATE($C$2,P13+1,1))</f>
        <v>0</v>
      </c>
      <c r="W13" s="31">
        <f>SUMIFS('완료 체험단'!$H$4:$H$2000,'완료 체험단'!$D$4:$D$2000,"&gt;="&amp;DATE($C$2,P13,1),'완료 체험단'!$D$4:$D$2000,"&lt;"&amp;DATE($C$2,P13+1,1))</f>
        <v>0</v>
      </c>
    </row>
    <row r="14" spans="2:23">
      <c r="B14" s="23" t="str">
        <f>IF($M14="H",$J14&amp;"월",IF($M14="C","매장명",IF($M14="I",INDEX('완료 체험단'!$A$4:$A$2000,$N14),IF($M14="T","합계",""))))</f>
        <v>10월</v>
      </c>
      <c r="C14" s="29" t="str">
        <f>IF($M14="H",$L14&amp;"건",IF($M14="C","사이트",IF($M14="I",INDEX('완료 체험단'!$C$4:$C$2000,$N14),IF($M14="T",$L14&amp;"건",""))))</f>
        <v>2건</v>
      </c>
      <c r="D14" s="30" t="str">
        <f>IF($M14="C","방문일",IF($M14="I",INDEX('완료 체험단'!$D$4:$D$2000,$N14),""))</f>
        <v/>
      </c>
      <c r="E14" s="25" t="str">
        <f>IF($M14="H","제공금액 "&amp;TEXT(INDEX($U$5:$U$16,$J14),"#,##0")&amp;"원",IF($M14="C","제공금액",IF($M14="I",INDEX('완료 체험단'!$F$4:$F$2000,$N14),IF($M14="T",INDEX($U$5:$U$16,$J14),""))))</f>
        <v>제공금액 125,000원</v>
      </c>
      <c r="F14" s="25" t="str">
        <f>IF($M14="H","결제금액 "&amp;TEXT(INDEX($V$5:$V$16,$J14),"#,##0")&amp;"원",IF($M14="C","결제금액",IF($M14="I",INDEX('완료 체험단'!$G$4:$G$2000,$N14),IF($M14="T",INDEX($V$5:$V$16,$J14),""))))</f>
        <v>결제금액 10,000원</v>
      </c>
      <c r="G14" s="25" t="str">
        <f>IF($M14="H","실수익 "&amp;TEXT(INDEX($W$5:$W$16,$J14),"#,##0")&amp;"원",IF($M14="C","실수익",IF($M14="I",INDEX('완료 체험단'!$H$4:$H$2000,$N14),IF($M14="T",INDEX($W$5:$W$16,$J14),""))))</f>
        <v>실수익 115,000원</v>
      </c>
      <c r="I14" s="31">
        <f>ROWS(I$5:I14)</f>
        <v>10</v>
      </c>
      <c r="J14" s="31">
        <f t="shared" si="0"/>
        <v>10</v>
      </c>
      <c r="K14" s="31">
        <f t="shared" si="1"/>
        <v>1</v>
      </c>
      <c r="L14" s="31">
        <f t="shared" si="2"/>
        <v>2</v>
      </c>
      <c r="M14" t="str">
        <f t="shared" si="3"/>
        <v>H</v>
      </c>
      <c r="N14" t="str">
        <f>IF($M14="I",MATCH(SMALL('완료 체험단'!$K$4:$K$2000,INDEX($T$5:$T$16,$J14)+$K14-2),'완료 체험단'!$K$4:$K$2000,0),"")</f>
        <v/>
      </c>
      <c r="P14">
        <v>10</v>
      </c>
      <c r="Q14" s="31">
        <f>COUNTIFS('완료 체험단'!$D$4:$D$2000,"&gt;="&amp;DATE($C$2,P14,1),'완료 체험단'!$D$4:$D$2000,"&lt;"&amp;DATE($C$2,P14+1,1))</f>
        <v>2</v>
      </c>
      <c r="R14" s="31">
        <f t="shared" si="4"/>
        <v>6</v>
      </c>
      <c r="S14" s="31">
        <f t="shared" si="5"/>
        <v>9</v>
      </c>
      <c r="T14" s="31">
        <f t="shared" si="6"/>
        <v>0</v>
      </c>
      <c r="U14" s="31">
        <f>SUMIFS('완료 체험단'!$F$4:$F$2000,'완료 체험단'!$D$4:$D$2000,"&gt;="&amp;DATE($C$2,P14,1),'완료 체험단'!$D$4:$D$2000,"&lt;"&amp;DATE($C$2,P14+1,1))</f>
        <v>125000</v>
      </c>
      <c r="V14" s="31">
        <f>SUMIFS('완료 체험단'!$G$4:$G$2000,'완료 체험단'!$D$4:$D$2000,"&gt;="&amp;DATE($C$2,P14,1),'완료 체험단'!$D$4:$D$2000,"&lt;"&amp;DATE($C$2,P14+1,1))</f>
        <v>10000</v>
      </c>
      <c r="W14" s="31">
        <f>SUMIFS('완료 체험단'!$H$4:$H$2000,'완료 체험단'!$D$4:$D$2000,"&gt;="&amp;DATE($C$2,P14,1),'완료 체험단'!$D$4:$D$2000,"&lt;"&amp;DATE($C$2,P14+1,1))</f>
        <v>115000</v>
      </c>
    </row>
    <row r="15" spans="2:23">
      <c r="B15" s="23" t="str">
        <f>IF($M15="H",$J15&amp;"월",IF($M15="C","매장명",IF($M15="I",INDEX('완료 체험단'!$A$4:$A$2000,$N15),IF($M15="T","합계",""))))</f>
        <v>매장명</v>
      </c>
      <c r="C15" s="29" t="str">
        <f>IF($M15="H",$L15&amp;"건",IF($M15="C","사이트",IF($M15="I",INDEX('완료 체험단'!$C$4:$C$2000,$N15),IF($M15="T",$L15&amp;"건",""))))</f>
        <v>사이트</v>
      </c>
      <c r="D15" s="30" t="str">
        <f>IF($M15="C","방문일",IF($M15="I",INDEX('완료 체험단'!$D$4:$D$2000,$N15),""))</f>
        <v>방문일</v>
      </c>
      <c r="E15" s="25" t="str">
        <f>IF($M15="H","제공금액 "&amp;TEXT(INDEX($U$5:$U$16,$J15),"#,##0")&amp;"원",IF($M15="C","제공금액",IF($M15="I",INDEX('완료 체험단'!$F$4:$F$2000,$N15),IF($M15="T",INDEX($U$5:$U$16,$J15),""))))</f>
        <v>제공금액</v>
      </c>
      <c r="F15" s="25" t="str">
        <f>IF($M15="H","결제금액 "&amp;TEXT(INDEX($V$5:$V$16,$J15),"#,##0")&amp;"원",IF($M15="C","결제금액",IF($M15="I",INDEX('완료 체험단'!$G$4:$G$2000,$N15),IF($M15="T",INDEX($V$5:$V$16,$J15),""))))</f>
        <v>결제금액</v>
      </c>
      <c r="G15" s="25" t="str">
        <f>IF($M15="H","실수익 "&amp;TEXT(INDEX($W$5:$W$16,$J15),"#,##0")&amp;"원",IF($M15="C","실수익",IF($M15="I",INDEX('완료 체험단'!$H$4:$H$2000,$N15),IF($M15="T",INDEX($W$5:$W$16,$J15),""))))</f>
        <v>실수익</v>
      </c>
      <c r="I15" s="31">
        <f>ROWS(I$5:I15)</f>
        <v>11</v>
      </c>
      <c r="J15" s="31">
        <f t="shared" si="0"/>
        <v>10</v>
      </c>
      <c r="K15" s="31">
        <f t="shared" si="1"/>
        <v>2</v>
      </c>
      <c r="L15" s="31">
        <f t="shared" si="2"/>
        <v>2</v>
      </c>
      <c r="M15" t="str">
        <f t="shared" si="3"/>
        <v>C</v>
      </c>
      <c r="N15" t="str">
        <f>IF($M15="I",MATCH(SMALL('완료 체험단'!$K$4:$K$2000,INDEX($T$5:$T$16,$J15)+$K15-2),'완료 체험단'!$K$4:$K$2000,0),"")</f>
        <v/>
      </c>
      <c r="P15">
        <v>11</v>
      </c>
      <c r="Q15" s="31">
        <f>COUNTIFS('완료 체험단'!$D$4:$D$2000,"&gt;="&amp;DATE($C$2,P15,1),'완료 체험단'!$D$4:$D$2000,"&lt;"&amp;DATE($C$2,P15+1,1))</f>
        <v>0</v>
      </c>
      <c r="R15" s="31">
        <f t="shared" si="4"/>
        <v>1</v>
      </c>
      <c r="S15" s="31">
        <f t="shared" si="5"/>
        <v>15</v>
      </c>
      <c r="T15" s="31">
        <f t="shared" si="6"/>
        <v>2</v>
      </c>
      <c r="U15" s="31">
        <f>SUMIFS('완료 체험단'!$F$4:$F$2000,'완료 체험단'!$D$4:$D$2000,"&gt;="&amp;DATE($C$2,P15,1),'완료 체험단'!$D$4:$D$2000,"&lt;"&amp;DATE($C$2,P15+1,1))</f>
        <v>0</v>
      </c>
      <c r="V15" s="31">
        <f>SUMIFS('완료 체험단'!$G$4:$G$2000,'완료 체험단'!$D$4:$D$2000,"&gt;="&amp;DATE($C$2,P15,1),'완료 체험단'!$D$4:$D$2000,"&lt;"&amp;DATE($C$2,P15+1,1))</f>
        <v>0</v>
      </c>
      <c r="W15" s="31">
        <f>SUMIFS('완료 체험단'!$H$4:$H$2000,'완료 체험단'!$D$4:$D$2000,"&gt;="&amp;DATE($C$2,P15,1),'완료 체험단'!$D$4:$D$2000,"&lt;"&amp;DATE($C$2,P15+1,1))</f>
        <v>0</v>
      </c>
    </row>
    <row r="16" spans="2:23">
      <c r="B16" s="23" t="str">
        <f>IF($M16="H",$J16&amp;"월",IF($M16="C","매장명",IF($M16="I",INDEX('완료 체험단'!$A$4:$A$2000,$N16),IF($M16="T","합계",""))))</f>
        <v>예시_완료된 체험단2</v>
      </c>
      <c r="C16" s="29" t="str">
        <f>IF($M16="H",$L16&amp;"건",IF($M16="C","사이트",IF($M16="I",INDEX('완료 체험단'!$C$4:$C$2000,$N16),IF($M16="T",$L16&amp;"건",""))))</f>
        <v>리뷰노트</v>
      </c>
      <c r="D16" s="30">
        <f>IF($M16="C","방문일",IF($M16="I",INDEX('완료 체험단'!$D$4:$D$2000,$N16),""))</f>
        <v>46299</v>
      </c>
      <c r="E16" s="25">
        <f>IF($M16="H","제공금액 "&amp;TEXT(INDEX($U$5:$U$16,$J16),"#,##0")&amp;"원",IF($M16="C","제공금액",IF($M16="I",INDEX('완료 체험단'!$F$4:$F$2000,$N16),IF($M16="T",INDEX($U$5:$U$16,$J16),""))))</f>
        <v>25000</v>
      </c>
      <c r="F16" s="25">
        <f>IF($M16="H","결제금액 "&amp;TEXT(INDEX($V$5:$V$16,$J16),"#,##0")&amp;"원",IF($M16="C","결제금액",IF($M16="I",INDEX('완료 체험단'!$G$4:$G$2000,$N16),IF($M16="T",INDEX($V$5:$V$16,$J16),""))))</f>
        <v>0</v>
      </c>
      <c r="G16" s="25">
        <f>IF($M16="H","실수익 "&amp;TEXT(INDEX($W$5:$W$16,$J16),"#,##0")&amp;"원",IF($M16="C","실수익",IF($M16="I",INDEX('완료 체험단'!$H$4:$H$2000,$N16),IF($M16="T",INDEX($W$5:$W$16,$J16),""))))</f>
        <v>25000</v>
      </c>
      <c r="I16" s="31">
        <f>ROWS(I$5:I16)</f>
        <v>12</v>
      </c>
      <c r="J16" s="31">
        <f t="shared" si="0"/>
        <v>10</v>
      </c>
      <c r="K16" s="31">
        <f t="shared" si="1"/>
        <v>3</v>
      </c>
      <c r="L16" s="31">
        <f t="shared" si="2"/>
        <v>2</v>
      </c>
      <c r="M16" t="str">
        <f t="shared" si="3"/>
        <v>I</v>
      </c>
      <c r="N16">
        <f>IF($M16="I",MATCH(SMALL('완료 체험단'!$K$4:$K$2000,INDEX($T$5:$T$16,$J16)+$K16-2),'완료 체험단'!$K$4:$K$2000,0),"")</f>
        <v>2</v>
      </c>
      <c r="P16">
        <v>12</v>
      </c>
      <c r="Q16" s="31">
        <f>COUNTIFS('완료 체험단'!$D$4:$D$2000,"&gt;="&amp;DATE($C$2,P16,1),'완료 체험단'!$D$4:$D$2000,"&lt;"&amp;DATE($C$2,P16+1,1))</f>
        <v>0</v>
      </c>
      <c r="R16" s="31">
        <f t="shared" si="4"/>
        <v>1</v>
      </c>
      <c r="S16" s="31">
        <f t="shared" si="5"/>
        <v>16</v>
      </c>
      <c r="T16" s="31">
        <f t="shared" si="6"/>
        <v>2</v>
      </c>
      <c r="U16" s="31">
        <f>SUMIFS('완료 체험단'!$F$4:$F$2000,'완료 체험단'!$D$4:$D$2000,"&gt;="&amp;DATE($C$2,P16,1),'완료 체험단'!$D$4:$D$2000,"&lt;"&amp;DATE($C$2,P16+1,1))</f>
        <v>0</v>
      </c>
      <c r="V16" s="31">
        <f>SUMIFS('완료 체험단'!$G$4:$G$2000,'완료 체험단'!$D$4:$D$2000,"&gt;="&amp;DATE($C$2,P16,1),'완료 체험단'!$D$4:$D$2000,"&lt;"&amp;DATE($C$2,P16+1,1))</f>
        <v>0</v>
      </c>
      <c r="W16" s="31">
        <f>SUMIFS('완료 체험단'!$H$4:$H$2000,'완료 체험단'!$D$4:$D$2000,"&gt;="&amp;DATE($C$2,P16,1),'완료 체험단'!$D$4:$D$2000,"&lt;"&amp;DATE($C$2,P16+1,1))</f>
        <v>0</v>
      </c>
    </row>
    <row r="17" spans="2:20">
      <c r="B17" s="23" t="str">
        <f>IF($M17="H",$J17&amp;"월",IF($M17="C","매장명",IF($M17="I",INDEX('완료 체험단'!$A$4:$A$2000,$N17),IF($M17="T","합계",""))))</f>
        <v>예시_완료된 체험단1</v>
      </c>
      <c r="C17" s="29" t="str">
        <f>IF($M17="H",$L17&amp;"건",IF($M17="C","사이트",IF($M17="I",INDEX('완료 체험단'!$C$4:$C$2000,$N17),IF($M17="T",$L17&amp;"건",""))))</f>
        <v>레뷰</v>
      </c>
      <c r="D17" s="30">
        <f>IF($M17="C","방문일",IF($M17="I",INDEX('완료 체험단'!$D$4:$D$2000,$N17),""))</f>
        <v>46310</v>
      </c>
      <c r="E17" s="25">
        <f>IF($M17="H","제공금액 "&amp;TEXT(INDEX($U$5:$U$16,$J17),"#,##0")&amp;"원",IF($M17="C","제공금액",IF($M17="I",INDEX('완료 체험단'!$F$4:$F$2000,$N17),IF($M17="T",INDEX($U$5:$U$16,$J17),""))))</f>
        <v>100000</v>
      </c>
      <c r="F17" s="25">
        <f>IF($M17="H","결제금액 "&amp;TEXT(INDEX($V$5:$V$16,$J17),"#,##0")&amp;"원",IF($M17="C","결제금액",IF($M17="I",INDEX('완료 체험단'!$G$4:$G$2000,$N17),IF($M17="T",INDEX($V$5:$V$16,$J17),""))))</f>
        <v>10000</v>
      </c>
      <c r="G17" s="25">
        <f>IF($M17="H","실수익 "&amp;TEXT(INDEX($W$5:$W$16,$J17),"#,##0")&amp;"원",IF($M17="C","실수익",IF($M17="I",INDEX('완료 체험단'!$H$4:$H$2000,$N17),IF($M17="T",INDEX($W$5:$W$16,$J17),""))))</f>
        <v>90000</v>
      </c>
      <c r="I17" s="31">
        <f>ROWS(I$5:I17)</f>
        <v>13</v>
      </c>
      <c r="J17" s="31">
        <f t="shared" si="0"/>
        <v>10</v>
      </c>
      <c r="K17" s="31">
        <f t="shared" si="1"/>
        <v>4</v>
      </c>
      <c r="L17" s="31">
        <f t="shared" si="2"/>
        <v>2</v>
      </c>
      <c r="M17" t="str">
        <f t="shared" si="3"/>
        <v>I</v>
      </c>
      <c r="N17">
        <f>IF($M17="I",MATCH(SMALL('완료 체험단'!$K$4:$K$2000,INDEX($T$5:$T$16,$J17)+$K17-2),'완료 체험단'!$K$4:$K$2000,0),"")</f>
        <v>1</v>
      </c>
      <c r="S17" s="31">
        <f t="shared" si="5"/>
        <v>17</v>
      </c>
      <c r="T17" s="31">
        <f t="shared" si="6"/>
        <v>2</v>
      </c>
    </row>
    <row r="18" spans="2:20">
      <c r="B18" s="23" t="str">
        <f>IF($M18="H",$J18&amp;"월",IF($M18="C","매장명",IF($M18="I",INDEX('완료 체험단'!$A$4:$A$2000,$N18),IF($M18="T","합계",""))))</f>
        <v>합계</v>
      </c>
      <c r="C18" s="29" t="str">
        <f>IF($M18="H",$L18&amp;"건",IF($M18="C","사이트",IF($M18="I",INDEX('완료 체험단'!$C$4:$C$2000,$N18),IF($M18="T",$L18&amp;"건",""))))</f>
        <v>2건</v>
      </c>
      <c r="D18" s="30" t="str">
        <f>IF($M18="C","방문일",IF($M18="I",INDEX('완료 체험단'!$D$4:$D$2000,$N18),""))</f>
        <v/>
      </c>
      <c r="E18" s="25">
        <f>IF($M18="H","제공금액 "&amp;TEXT(INDEX($U$5:$U$16,$J18),"#,##0")&amp;"원",IF($M18="C","제공금액",IF($M18="I",INDEX('완료 체험단'!$F$4:$F$2000,$N18),IF($M18="T",INDEX($U$5:$U$16,$J18),""))))</f>
        <v>125000</v>
      </c>
      <c r="F18" s="25">
        <f>IF($M18="H","결제금액 "&amp;TEXT(INDEX($V$5:$V$16,$J18),"#,##0")&amp;"원",IF($M18="C","결제금액",IF($M18="I",INDEX('완료 체험단'!$G$4:$G$2000,$N18),IF($M18="T",INDEX($V$5:$V$16,$J18),""))))</f>
        <v>10000</v>
      </c>
      <c r="G18" s="25">
        <f>IF($M18="H","실수익 "&amp;TEXT(INDEX($W$5:$W$16,$J18),"#,##0")&amp;"원",IF($M18="C","실수익",IF($M18="I",INDEX('완료 체험단'!$H$4:$H$2000,$N18),IF($M18="T",INDEX($W$5:$W$16,$J18),""))))</f>
        <v>115000</v>
      </c>
      <c r="I18" s="31">
        <f>ROWS(I$5:I18)</f>
        <v>14</v>
      </c>
      <c r="J18" s="31">
        <f t="shared" si="0"/>
        <v>10</v>
      </c>
      <c r="K18" s="31">
        <f t="shared" si="1"/>
        <v>5</v>
      </c>
      <c r="L18" s="31">
        <f t="shared" si="2"/>
        <v>2</v>
      </c>
      <c r="M18" t="str">
        <f t="shared" si="3"/>
        <v>T</v>
      </c>
      <c r="N18" s="31" t="str">
        <f>IF($M18="I",MATCH(SMALL('완료 체험단'!$K$4:$K$2000,INDEX($T$5:$T$16,$J18)+$K18-2),'완료 체험단'!$K$4:$K$2000,0),"")</f>
        <v/>
      </c>
    </row>
    <row r="19" spans="2:20">
      <c r="B19" s="23" t="str">
        <f>IF($M19="H",$J19&amp;"월",IF($M19="C","매장명",IF($M19="I",INDEX('완료 체험단'!$A$4:$A$2000,$N19),IF($M19="T","합계",""))))</f>
        <v/>
      </c>
      <c r="C19" s="29" t="str">
        <f>IF($M19="H",$L19&amp;"건",IF($M19="C","사이트",IF($M19="I",INDEX('완료 체험단'!$C$4:$C$2000,$N19),IF($M19="T",$L19&amp;"건",""))))</f>
        <v/>
      </c>
      <c r="D19" s="30" t="str">
        <f>IF($M19="C","방문일",IF($M19="I",INDEX('완료 체험단'!$D$4:$D$2000,$N19),""))</f>
        <v/>
      </c>
      <c r="E19" s="25" t="str">
        <f>IF($M19="H","제공금액 "&amp;TEXT(INDEX($U$5:$U$16,$J19),"#,##0")&amp;"원",IF($M19="C","제공금액",IF($M19="I",INDEX('완료 체험단'!$F$4:$F$2000,$N19),IF($M19="T",INDEX($U$5:$U$16,$J19),""))))</f>
        <v/>
      </c>
      <c r="F19" s="25" t="str">
        <f>IF($M19="H","결제금액 "&amp;TEXT(INDEX($V$5:$V$16,$J19),"#,##0")&amp;"원",IF($M19="C","결제금액",IF($M19="I",INDEX('완료 체험단'!$G$4:$G$2000,$N19),IF($M19="T",INDEX($V$5:$V$16,$J19),""))))</f>
        <v/>
      </c>
      <c r="G19" s="25" t="str">
        <f>IF($M19="H","실수익 "&amp;TEXT(INDEX($W$5:$W$16,$J19),"#,##0")&amp;"원",IF($M19="C","실수익",IF($M19="I",INDEX('완료 체험단'!$H$4:$H$2000,$N19),IF($M19="T",INDEX($W$5:$W$16,$J19),""))))</f>
        <v/>
      </c>
      <c r="I19" s="31">
        <f>ROWS(I$5:I19)</f>
        <v>15</v>
      </c>
      <c r="J19" s="31">
        <f t="shared" si="0"/>
        <v>10</v>
      </c>
      <c r="K19" s="31">
        <f t="shared" si="1"/>
        <v>6</v>
      </c>
      <c r="L19" s="31">
        <f t="shared" si="2"/>
        <v>2</v>
      </c>
      <c r="M19" t="str">
        <f t="shared" si="3"/>
        <v>S</v>
      </c>
      <c r="N19" s="31" t="str">
        <f>IF($M19="I",MATCH(SMALL('완료 체험단'!$K$4:$K$2000,INDEX($T$5:$T$16,$J19)+$K19-2),'완료 체험단'!$K$4:$K$2000,0),"")</f>
        <v/>
      </c>
    </row>
    <row r="20" spans="2:20">
      <c r="B20" s="23" t="str">
        <f>IF($M20="H",$J20&amp;"월",IF($M20="C","매장명",IF($M20="I",INDEX('완료 체험단'!$A$4:$A$2000,$N20),IF($M20="T","합계",""))))</f>
        <v>11월</v>
      </c>
      <c r="C20" s="29" t="str">
        <f>IF($M20="H",$L20&amp;"건",IF($M20="C","사이트",IF($M20="I",INDEX('완료 체험단'!$C$4:$C$2000,$N20),IF($M20="T",$L20&amp;"건",""))))</f>
        <v>0건</v>
      </c>
      <c r="D20" s="30" t="str">
        <f>IF($M20="C","방문일",IF($M20="I",INDEX('완료 체험단'!$D$4:$D$2000,$N20),""))</f>
        <v/>
      </c>
      <c r="E20" s="25" t="str">
        <f>IF($M20="H","제공금액 "&amp;TEXT(INDEX($U$5:$U$16,$J20),"#,##0")&amp;"원",IF($M20="C","제공금액",IF($M20="I",INDEX('완료 체험단'!$F$4:$F$2000,$N20),IF($M20="T",INDEX($U$5:$U$16,$J20),""))))</f>
        <v>제공금액 0원</v>
      </c>
      <c r="F20" s="25" t="str">
        <f>IF($M20="H","결제금액 "&amp;TEXT(INDEX($V$5:$V$16,$J20),"#,##0")&amp;"원",IF($M20="C","결제금액",IF($M20="I",INDEX('완료 체험단'!$G$4:$G$2000,$N20),IF($M20="T",INDEX($V$5:$V$16,$J20),""))))</f>
        <v>결제금액 0원</v>
      </c>
      <c r="G20" s="25" t="str">
        <f>IF($M20="H","실수익 "&amp;TEXT(INDEX($W$5:$W$16,$J20),"#,##0")&amp;"원",IF($M20="C","실수익",IF($M20="I",INDEX('완료 체험단'!$H$4:$H$2000,$N20),IF($M20="T",INDEX($W$5:$W$16,$J20),""))))</f>
        <v>실수익 0원</v>
      </c>
      <c r="I20" s="31">
        <f>ROWS(I$5:I20)</f>
        <v>16</v>
      </c>
      <c r="J20" s="31">
        <f t="shared" si="0"/>
        <v>11</v>
      </c>
      <c r="K20" s="31">
        <f t="shared" si="1"/>
        <v>1</v>
      </c>
      <c r="L20" s="31">
        <f t="shared" si="2"/>
        <v>0</v>
      </c>
      <c r="M20" t="str">
        <f t="shared" si="3"/>
        <v>H</v>
      </c>
      <c r="N20" s="31" t="str">
        <f>IF($M20="I",MATCH(SMALL('완료 체험단'!$K$4:$K$2000,INDEX($T$5:$T$16,$J20)+$K20-2),'완료 체험단'!$K$4:$K$2000,0),"")</f>
        <v/>
      </c>
    </row>
    <row r="21" spans="2:20">
      <c r="B21" s="23" t="str">
        <f>IF($M21="H",$J21&amp;"월",IF($M21="C","매장명",IF($M21="I",INDEX('완료 체험단'!$A$4:$A$2000,$N21),IF($M21="T","합계",""))))</f>
        <v>12월</v>
      </c>
      <c r="C21" s="29" t="str">
        <f>IF($M21="H",$L21&amp;"건",IF($M21="C","사이트",IF($M21="I",INDEX('완료 체험단'!$C$4:$C$2000,$N21),IF($M21="T",$L21&amp;"건",""))))</f>
        <v>0건</v>
      </c>
      <c r="D21" s="30" t="str">
        <f>IF($M21="C","방문일",IF($M21="I",INDEX('완료 체험단'!$D$4:$D$2000,$N21),""))</f>
        <v/>
      </c>
      <c r="E21" s="25" t="str">
        <f>IF($M21="H","제공금액 "&amp;TEXT(INDEX($U$5:$U$16,$J21),"#,##0")&amp;"원",IF($M21="C","제공금액",IF($M21="I",INDEX('완료 체험단'!$F$4:$F$2000,$N21),IF($M21="T",INDEX($U$5:$U$16,$J21),""))))</f>
        <v>제공금액 0원</v>
      </c>
      <c r="F21" s="25" t="str">
        <f>IF($M21="H","결제금액 "&amp;TEXT(INDEX($V$5:$V$16,$J21),"#,##0")&amp;"원",IF($M21="C","결제금액",IF($M21="I",INDEX('완료 체험단'!$G$4:$G$2000,$N21),IF($M21="T",INDEX($V$5:$V$16,$J21),""))))</f>
        <v>결제금액 0원</v>
      </c>
      <c r="G21" s="25" t="str">
        <f>IF($M21="H","실수익 "&amp;TEXT(INDEX($W$5:$W$16,$J21),"#,##0")&amp;"원",IF($M21="C","실수익",IF($M21="I",INDEX('완료 체험단'!$H$4:$H$2000,$N21),IF($M21="T",INDEX($W$5:$W$16,$J21),""))))</f>
        <v>실수익 0원</v>
      </c>
      <c r="I21" s="31">
        <f>ROWS(I$5:I21)</f>
        <v>17</v>
      </c>
      <c r="J21" s="31">
        <f t="shared" si="0"/>
        <v>12</v>
      </c>
      <c r="K21" s="31">
        <f t="shared" si="1"/>
        <v>1</v>
      </c>
      <c r="L21" s="31">
        <f t="shared" si="2"/>
        <v>0</v>
      </c>
      <c r="M21" t="str">
        <f t="shared" si="3"/>
        <v>H</v>
      </c>
      <c r="N21" t="str">
        <f>IF($M21="I",MATCH(SMALL('완료 체험단'!$K$4:$K$2000,INDEX($T$5:$T$16,$J21)+$K21-2),'완료 체험단'!$K$4:$K$2000,0),"")</f>
        <v/>
      </c>
    </row>
    <row r="22" spans="2:20">
      <c r="B22" s="23" t="str">
        <f>IF($M22="H",$J22&amp;"월",IF($M22="C","매장명",IF($M22="I",INDEX('완료 체험단'!$A$4:$A$2000,$N22),IF($M22="T","합계",""))))</f>
        <v/>
      </c>
      <c r="C22" s="29" t="str">
        <f>IF($M22="H",$L22&amp;"건",IF($M22="C","사이트",IF($M22="I",INDEX('완료 체험단'!$C$4:$C$2000,$N22),IF($M22="T",$L22&amp;"건",""))))</f>
        <v/>
      </c>
      <c r="D22" s="30" t="str">
        <f>IF($M22="C","방문일",IF($M22="I",INDEX('완료 체험단'!$D$4:$D$2000,$N22),""))</f>
        <v/>
      </c>
      <c r="E22" s="25" t="str">
        <f>IF($M22="H","제공금액 "&amp;TEXT(INDEX($U$5:$U$16,$J22),"#,##0")&amp;"원",IF($M22="C","제공금액",IF($M22="I",INDEX('완료 체험단'!$F$4:$F$2000,$N22),IF($M22="T",INDEX($U$5:$U$16,$J22),""))))</f>
        <v/>
      </c>
      <c r="F22" s="25" t="str">
        <f>IF($M22="H","결제금액 "&amp;TEXT(INDEX($V$5:$V$16,$J22),"#,##0")&amp;"원",IF($M22="C","결제금액",IF($M22="I",INDEX('완료 체험단'!$G$4:$G$2000,$N22),IF($M22="T",INDEX($V$5:$V$16,$J22),""))))</f>
        <v/>
      </c>
      <c r="G22" s="25" t="str">
        <f>IF($M22="H","실수익 "&amp;TEXT(INDEX($W$5:$W$16,$J22),"#,##0")&amp;"원",IF($M22="C","실수익",IF($M22="I",INDEX('완료 체험단'!$H$4:$H$2000,$N22),IF($M22="T",INDEX($W$5:$W$16,$J22),""))))</f>
        <v/>
      </c>
      <c r="I22" s="31">
        <f>ROWS(I$5:I22)</f>
        <v>18</v>
      </c>
      <c r="J22" s="31" t="str">
        <f t="shared" si="0"/>
        <v/>
      </c>
      <c r="K22" s="31" t="str">
        <f t="shared" si="1"/>
        <v/>
      </c>
      <c r="L22" s="31" t="str">
        <f t="shared" si="2"/>
        <v/>
      </c>
      <c r="M22" t="str">
        <f t="shared" si="3"/>
        <v/>
      </c>
      <c r="N22" t="str">
        <f>IF($M22="I",MATCH(SMALL('완료 체험단'!$K$4:$K$2000,INDEX($T$5:$T$16,$J22)+$K22-2),'완료 체험단'!$K$4:$K$2000,0),"")</f>
        <v/>
      </c>
    </row>
    <row r="23" spans="2:20">
      <c r="B23" s="23" t="str">
        <f>IF($M23="H",$J23&amp;"월",IF($M23="C","매장명",IF($M23="I",INDEX('완료 체험단'!$A$4:$A$2000,$N23),IF($M23="T","합계",""))))</f>
        <v/>
      </c>
      <c r="C23" s="29" t="str">
        <f>IF($M23="H",$L23&amp;"건",IF($M23="C","사이트",IF($M23="I",INDEX('완료 체험단'!$C$4:$C$2000,$N23),IF($M23="T",$L23&amp;"건",""))))</f>
        <v/>
      </c>
      <c r="D23" s="30" t="str">
        <f>IF($M23="C","방문일",IF($M23="I",INDEX('완료 체험단'!$D$4:$D$2000,$N23),""))</f>
        <v/>
      </c>
      <c r="E23" s="25" t="str">
        <f>IF($M23="H","제공금액 "&amp;TEXT(INDEX($U$5:$U$16,$J23),"#,##0")&amp;"원",IF($M23="C","제공금액",IF($M23="I",INDEX('완료 체험단'!$F$4:$F$2000,$N23),IF($M23="T",INDEX($U$5:$U$16,$J23),""))))</f>
        <v/>
      </c>
      <c r="F23" s="25" t="str">
        <f>IF($M23="H","결제금액 "&amp;TEXT(INDEX($V$5:$V$16,$J23),"#,##0")&amp;"원",IF($M23="C","결제금액",IF($M23="I",INDEX('완료 체험단'!$G$4:$G$2000,$N23),IF($M23="T",INDEX($V$5:$V$16,$J23),""))))</f>
        <v/>
      </c>
      <c r="G23" s="25" t="str">
        <f>IF($M23="H","실수익 "&amp;TEXT(INDEX($W$5:$W$16,$J23),"#,##0")&amp;"원",IF($M23="C","실수익",IF($M23="I",INDEX('완료 체험단'!$H$4:$H$2000,$N23),IF($M23="T",INDEX($W$5:$W$16,$J23),""))))</f>
        <v/>
      </c>
      <c r="I23" s="31">
        <f>ROWS(I$5:I23)</f>
        <v>19</v>
      </c>
      <c r="J23" s="31" t="str">
        <f t="shared" si="0"/>
        <v/>
      </c>
      <c r="K23" s="31" t="str">
        <f t="shared" si="1"/>
        <v/>
      </c>
      <c r="L23" s="31" t="str">
        <f t="shared" si="2"/>
        <v/>
      </c>
      <c r="M23" t="str">
        <f t="shared" si="3"/>
        <v/>
      </c>
      <c r="N23" t="str">
        <f>IF($M23="I",MATCH(SMALL('완료 체험단'!$K$4:$K$2000,INDEX($T$5:$T$16,$J23)+$K23-2),'완료 체험단'!$K$4:$K$2000,0),"")</f>
        <v/>
      </c>
    </row>
    <row r="24" spans="2:20">
      <c r="B24" s="23" t="str">
        <f>IF($M24="H",$J24&amp;"월",IF($M24="C","매장명",IF($M24="I",INDEX('완료 체험단'!$A$4:$A$2000,$N24),IF($M24="T","합계",""))))</f>
        <v/>
      </c>
      <c r="C24" s="29" t="str">
        <f>IF($M24="H",$L24&amp;"건",IF($M24="C","사이트",IF($M24="I",INDEX('완료 체험단'!$C$4:$C$2000,$N24),IF($M24="T",$L24&amp;"건",""))))</f>
        <v/>
      </c>
      <c r="D24" s="30" t="str">
        <f>IF($M24="C","방문일",IF($M24="I",INDEX('완료 체험단'!$D$4:$D$2000,$N24),""))</f>
        <v/>
      </c>
      <c r="E24" s="25" t="str">
        <f>IF($M24="H","제공금액 "&amp;TEXT(INDEX($U$5:$U$16,$J24),"#,##0")&amp;"원",IF($M24="C","제공금액",IF($M24="I",INDEX('완료 체험단'!$F$4:$F$2000,$N24),IF($M24="T",INDEX($U$5:$U$16,$J24),""))))</f>
        <v/>
      </c>
      <c r="F24" s="25" t="str">
        <f>IF($M24="H","결제금액 "&amp;TEXT(INDEX($V$5:$V$16,$J24),"#,##0")&amp;"원",IF($M24="C","결제금액",IF($M24="I",INDEX('완료 체험단'!$G$4:$G$2000,$N24),IF($M24="T",INDEX($V$5:$V$16,$J24),""))))</f>
        <v/>
      </c>
      <c r="G24" s="25" t="str">
        <f>IF($M24="H","실수익 "&amp;TEXT(INDEX($W$5:$W$16,$J24),"#,##0")&amp;"원",IF($M24="C","실수익",IF($M24="I",INDEX('완료 체험단'!$H$4:$H$2000,$N24),IF($M24="T",INDEX($W$5:$W$16,$J24),""))))</f>
        <v/>
      </c>
      <c r="I24" s="31">
        <f>ROWS(I$5:I24)</f>
        <v>20</v>
      </c>
      <c r="J24" s="31" t="str">
        <f t="shared" si="0"/>
        <v/>
      </c>
      <c r="K24" s="31" t="str">
        <f t="shared" si="1"/>
        <v/>
      </c>
      <c r="L24" s="31" t="str">
        <f t="shared" si="2"/>
        <v/>
      </c>
      <c r="M24" t="str">
        <f t="shared" si="3"/>
        <v/>
      </c>
      <c r="N24" t="str">
        <f>IF($M24="I",MATCH(SMALL('완료 체험단'!$K$4:$K$2000,INDEX($T$5:$T$16,$J24)+$K24-2),'완료 체험단'!$K$4:$K$2000,0),"")</f>
        <v/>
      </c>
    </row>
    <row r="25" spans="2:20">
      <c r="B25" s="23" t="str">
        <f>IF($M25="H",$J25&amp;"월",IF($M25="C","매장명",IF($M25="I",INDEX('완료 체험단'!$A$4:$A$2000,$N25),IF($M25="T","합계",""))))</f>
        <v/>
      </c>
      <c r="C25" s="29" t="str">
        <f>IF($M25="H",$L25&amp;"건",IF($M25="C","사이트",IF($M25="I",INDEX('완료 체험단'!$C$4:$C$2000,$N25),IF($M25="T",$L25&amp;"건",""))))</f>
        <v/>
      </c>
      <c r="D25" s="30" t="str">
        <f>IF($M25="C","방문일",IF($M25="I",INDEX('완료 체험단'!$D$4:$D$2000,$N25),""))</f>
        <v/>
      </c>
      <c r="E25" s="25" t="str">
        <f>IF($M25="H","제공금액 "&amp;TEXT(INDEX($U$5:$U$16,$J25),"#,##0")&amp;"원",IF($M25="C","제공금액",IF($M25="I",INDEX('완료 체험단'!$F$4:$F$2000,$N25),IF($M25="T",INDEX($U$5:$U$16,$J25),""))))</f>
        <v/>
      </c>
      <c r="F25" s="25" t="str">
        <f>IF($M25="H","결제금액 "&amp;TEXT(INDEX($V$5:$V$16,$J25),"#,##0")&amp;"원",IF($M25="C","결제금액",IF($M25="I",INDEX('완료 체험단'!$G$4:$G$2000,$N25),IF($M25="T",INDEX($V$5:$V$16,$J25),""))))</f>
        <v/>
      </c>
      <c r="G25" s="25" t="str">
        <f>IF($M25="H","실수익 "&amp;TEXT(INDEX($W$5:$W$16,$J25),"#,##0")&amp;"원",IF($M25="C","실수익",IF($M25="I",INDEX('완료 체험단'!$H$4:$H$2000,$N25),IF($M25="T",INDEX($W$5:$W$16,$J25),""))))</f>
        <v/>
      </c>
      <c r="I25" s="31">
        <f>ROWS(I$5:I25)</f>
        <v>21</v>
      </c>
      <c r="J25" s="31" t="str">
        <f t="shared" si="0"/>
        <v/>
      </c>
      <c r="K25" s="31" t="str">
        <f t="shared" si="1"/>
        <v/>
      </c>
      <c r="L25" s="31" t="str">
        <f t="shared" si="2"/>
        <v/>
      </c>
      <c r="M25" t="str">
        <f t="shared" si="3"/>
        <v/>
      </c>
      <c r="N25" t="str">
        <f>IF($M25="I",MATCH(SMALL('완료 체험단'!$K$4:$K$2000,INDEX($T$5:$T$16,$J25)+$K25-2),'완료 체험단'!$K$4:$K$2000,0),"")</f>
        <v/>
      </c>
    </row>
    <row r="26" spans="2:20">
      <c r="B26" s="23" t="str">
        <f>IF($M26="H",$J26&amp;"월",IF($M26="C","매장명",IF($M26="I",INDEX('완료 체험단'!$A$4:$A$2000,$N26),IF($M26="T","합계",""))))</f>
        <v/>
      </c>
      <c r="C26" s="29" t="str">
        <f>IF($M26="H",$L26&amp;"건",IF($M26="C","사이트",IF($M26="I",INDEX('완료 체험단'!$C$4:$C$2000,$N26),IF($M26="T",$L26&amp;"건",""))))</f>
        <v/>
      </c>
      <c r="D26" s="30" t="str">
        <f>IF($M26="C","방문일",IF($M26="I",INDEX('완료 체험단'!$D$4:$D$2000,$N26),""))</f>
        <v/>
      </c>
      <c r="E26" s="25" t="str">
        <f>IF($M26="H","제공금액 "&amp;TEXT(INDEX($U$5:$U$16,$J26),"#,##0")&amp;"원",IF($M26="C","제공금액",IF($M26="I",INDEX('완료 체험단'!$F$4:$F$2000,$N26),IF($M26="T",INDEX($U$5:$U$16,$J26),""))))</f>
        <v/>
      </c>
      <c r="F26" s="25" t="str">
        <f>IF($M26="H","결제금액 "&amp;TEXT(INDEX($V$5:$V$16,$J26),"#,##0")&amp;"원",IF($M26="C","결제금액",IF($M26="I",INDEX('완료 체험단'!$G$4:$G$2000,$N26),IF($M26="T",INDEX($V$5:$V$16,$J26),""))))</f>
        <v/>
      </c>
      <c r="G26" s="25" t="str">
        <f>IF($M26="H","실수익 "&amp;TEXT(INDEX($W$5:$W$16,$J26),"#,##0")&amp;"원",IF($M26="C","실수익",IF($M26="I",INDEX('완료 체험단'!$H$4:$H$2000,$N26),IF($M26="T",INDEX($W$5:$W$16,$J26),""))))</f>
        <v/>
      </c>
      <c r="I26" s="31">
        <f>ROWS(I$5:I26)</f>
        <v>22</v>
      </c>
      <c r="J26" s="31" t="str">
        <f t="shared" si="0"/>
        <v/>
      </c>
      <c r="K26" s="31" t="str">
        <f t="shared" si="1"/>
        <v/>
      </c>
      <c r="L26" s="31" t="str">
        <f t="shared" si="2"/>
        <v/>
      </c>
      <c r="M26" t="str">
        <f t="shared" si="3"/>
        <v/>
      </c>
      <c r="N26" s="31" t="str">
        <f>IF($M26="I",MATCH(SMALL('완료 체험단'!$K$4:$K$2000,INDEX($T$5:$T$16,$J26)+$K26-2),'완료 체험단'!$K$4:$K$2000,0),"")</f>
        <v/>
      </c>
    </row>
    <row r="27" spans="2:20">
      <c r="B27" s="23" t="str">
        <f>IF($M27="H",$J27&amp;"월",IF($M27="C","매장명",IF($M27="I",INDEX('완료 체험단'!$A$4:$A$2000,$N27),IF($M27="T","합계",""))))</f>
        <v/>
      </c>
      <c r="C27" s="29" t="str">
        <f>IF($M27="H",$L27&amp;"건",IF($M27="C","사이트",IF($M27="I",INDEX('완료 체험단'!$C$4:$C$2000,$N27),IF($M27="T",$L27&amp;"건",""))))</f>
        <v/>
      </c>
      <c r="D27" s="30" t="str">
        <f>IF($M27="C","방문일",IF($M27="I",INDEX('완료 체험단'!$D$4:$D$2000,$N27),""))</f>
        <v/>
      </c>
      <c r="E27" s="25" t="str">
        <f>IF($M27="H","제공금액 "&amp;TEXT(INDEX($U$5:$U$16,$J27),"#,##0")&amp;"원",IF($M27="C","제공금액",IF($M27="I",INDEX('완료 체험단'!$F$4:$F$2000,$N27),IF($M27="T",INDEX($U$5:$U$16,$J27),""))))</f>
        <v/>
      </c>
      <c r="F27" s="25" t="str">
        <f>IF($M27="H","결제금액 "&amp;TEXT(INDEX($V$5:$V$16,$J27),"#,##0")&amp;"원",IF($M27="C","결제금액",IF($M27="I",INDEX('완료 체험단'!$G$4:$G$2000,$N27),IF($M27="T",INDEX($V$5:$V$16,$J27),""))))</f>
        <v/>
      </c>
      <c r="G27" s="25" t="str">
        <f>IF($M27="H","실수익 "&amp;TEXT(INDEX($W$5:$W$16,$J27),"#,##0")&amp;"원",IF($M27="C","실수익",IF($M27="I",INDEX('완료 체험단'!$H$4:$H$2000,$N27),IF($M27="T",INDEX($W$5:$W$16,$J27),""))))</f>
        <v/>
      </c>
      <c r="I27" s="31">
        <f>ROWS(I$5:I27)</f>
        <v>23</v>
      </c>
      <c r="J27" s="31" t="str">
        <f t="shared" si="0"/>
        <v/>
      </c>
      <c r="K27" s="31" t="str">
        <f t="shared" si="1"/>
        <v/>
      </c>
      <c r="L27" s="31" t="str">
        <f t="shared" si="2"/>
        <v/>
      </c>
      <c r="M27" t="str">
        <f t="shared" si="3"/>
        <v/>
      </c>
      <c r="N27" s="31" t="str">
        <f>IF($M27="I",MATCH(SMALL('완료 체험단'!$K$4:$K$2000,INDEX($T$5:$T$16,$J27)+$K27-2),'완료 체험단'!$K$4:$K$2000,0),"")</f>
        <v/>
      </c>
    </row>
    <row r="28" spans="2:20">
      <c r="B28" s="23" t="str">
        <f>IF($M28="H",$J28&amp;"월",IF($M28="C","매장명",IF($M28="I",INDEX('완료 체험단'!$A$4:$A$2000,$N28),IF($M28="T","합계",""))))</f>
        <v/>
      </c>
      <c r="C28" s="29" t="str">
        <f>IF($M28="H",$L28&amp;"건",IF($M28="C","사이트",IF($M28="I",INDEX('완료 체험단'!$C$4:$C$2000,$N28),IF($M28="T",$L28&amp;"건",""))))</f>
        <v/>
      </c>
      <c r="D28" s="30" t="str">
        <f>IF($M28="C","방문일",IF($M28="I",INDEX('완료 체험단'!$D$4:$D$2000,$N28),""))</f>
        <v/>
      </c>
      <c r="E28" s="25" t="str">
        <f>IF($M28="H","제공금액 "&amp;TEXT(INDEX($U$5:$U$16,$J28),"#,##0")&amp;"원",IF($M28="C","제공금액",IF($M28="I",INDEX('완료 체험단'!$F$4:$F$2000,$N28),IF($M28="T",INDEX($U$5:$U$16,$J28),""))))</f>
        <v/>
      </c>
      <c r="F28" s="25" t="str">
        <f>IF($M28="H","결제금액 "&amp;TEXT(INDEX($V$5:$V$16,$J28),"#,##0")&amp;"원",IF($M28="C","결제금액",IF($M28="I",INDEX('완료 체험단'!$G$4:$G$2000,$N28),IF($M28="T",INDEX($V$5:$V$16,$J28),""))))</f>
        <v/>
      </c>
      <c r="G28" s="25" t="str">
        <f>IF($M28="H","실수익 "&amp;TEXT(INDEX($W$5:$W$16,$J28),"#,##0")&amp;"원",IF($M28="C","실수익",IF($M28="I",INDEX('완료 체험단'!$H$4:$H$2000,$N28),IF($M28="T",INDEX($W$5:$W$16,$J28),""))))</f>
        <v/>
      </c>
      <c r="I28" s="31">
        <f>ROWS(I$5:I28)</f>
        <v>24</v>
      </c>
      <c r="J28" s="31" t="str">
        <f t="shared" si="0"/>
        <v/>
      </c>
      <c r="K28" s="31" t="str">
        <f t="shared" si="1"/>
        <v/>
      </c>
      <c r="L28" s="31" t="str">
        <f t="shared" si="2"/>
        <v/>
      </c>
      <c r="M28" t="str">
        <f t="shared" si="3"/>
        <v/>
      </c>
      <c r="N28" s="31" t="str">
        <f>IF($M28="I",MATCH(SMALL('완료 체험단'!$K$4:$K$2000,INDEX($T$5:$T$16,$J28)+$K28-2),'완료 체험단'!$K$4:$K$2000,0),"")</f>
        <v/>
      </c>
    </row>
    <row r="29" spans="2:20">
      <c r="B29" s="23" t="str">
        <f>IF($M29="H",$J29&amp;"월",IF($M29="C","매장명",IF($M29="I",INDEX('완료 체험단'!$A$4:$A$2000,$N29),IF($M29="T","합계",""))))</f>
        <v/>
      </c>
      <c r="C29" s="29" t="str">
        <f>IF($M29="H",$L29&amp;"건",IF($M29="C","사이트",IF($M29="I",INDEX('완료 체험단'!$C$4:$C$2000,$N29),IF($M29="T",$L29&amp;"건",""))))</f>
        <v/>
      </c>
      <c r="D29" s="30" t="str">
        <f>IF($M29="C","방문일",IF($M29="I",INDEX('완료 체험단'!$D$4:$D$2000,$N29),""))</f>
        <v/>
      </c>
      <c r="E29" s="25" t="str">
        <f>IF($M29="H","제공금액 "&amp;TEXT(INDEX($U$5:$U$16,$J29),"#,##0")&amp;"원",IF($M29="C","제공금액",IF($M29="I",INDEX('완료 체험단'!$F$4:$F$2000,$N29),IF($M29="T",INDEX($U$5:$U$16,$J29),""))))</f>
        <v/>
      </c>
      <c r="F29" s="25" t="str">
        <f>IF($M29="H","결제금액 "&amp;TEXT(INDEX($V$5:$V$16,$J29),"#,##0")&amp;"원",IF($M29="C","결제금액",IF($M29="I",INDEX('완료 체험단'!$G$4:$G$2000,$N29),IF($M29="T",INDEX($V$5:$V$16,$J29),""))))</f>
        <v/>
      </c>
      <c r="G29" s="25" t="str">
        <f>IF($M29="H","실수익 "&amp;TEXT(INDEX($W$5:$W$16,$J29),"#,##0")&amp;"원",IF($M29="C","실수익",IF($M29="I",INDEX('완료 체험단'!$H$4:$H$2000,$N29),IF($M29="T",INDEX($W$5:$W$16,$J29),""))))</f>
        <v/>
      </c>
      <c r="I29" s="31">
        <f>ROWS(I$5:I29)</f>
        <v>25</v>
      </c>
      <c r="J29" s="31" t="str">
        <f t="shared" si="0"/>
        <v/>
      </c>
      <c r="K29" s="31" t="str">
        <f t="shared" si="1"/>
        <v/>
      </c>
      <c r="L29" s="31" t="str">
        <f t="shared" si="2"/>
        <v/>
      </c>
      <c r="M29" t="str">
        <f t="shared" si="3"/>
        <v/>
      </c>
      <c r="N29" t="str">
        <f>IF($M29="I",MATCH(SMALL('완료 체험단'!$K$4:$K$2000,INDEX($T$5:$T$16,$J29)+$K29-2),'완료 체험단'!$K$4:$K$2000,0),"")</f>
        <v/>
      </c>
    </row>
    <row r="30" spans="2:20">
      <c r="B30" s="23" t="str">
        <f>IF($M30="H",$J30&amp;"월",IF($M30="C","매장명",IF($M30="I",INDEX('완료 체험단'!$A$4:$A$2000,$N30),IF($M30="T","합계",""))))</f>
        <v/>
      </c>
      <c r="C30" s="29" t="str">
        <f>IF($M30="H",$L30&amp;"건",IF($M30="C","사이트",IF($M30="I",INDEX('완료 체험단'!$C$4:$C$2000,$N30),IF($M30="T",$L30&amp;"건",""))))</f>
        <v/>
      </c>
      <c r="D30" s="30" t="str">
        <f>IF($M30="C","방문일",IF($M30="I",INDEX('완료 체험단'!$D$4:$D$2000,$N30),""))</f>
        <v/>
      </c>
      <c r="E30" s="25" t="str">
        <f>IF($M30="H","제공금액 "&amp;TEXT(INDEX($U$5:$U$16,$J30),"#,##0")&amp;"원",IF($M30="C","제공금액",IF($M30="I",INDEX('완료 체험단'!$F$4:$F$2000,$N30),IF($M30="T",INDEX($U$5:$U$16,$J30),""))))</f>
        <v/>
      </c>
      <c r="F30" s="25" t="str">
        <f>IF($M30="H","결제금액 "&amp;TEXT(INDEX($V$5:$V$16,$J30),"#,##0")&amp;"원",IF($M30="C","결제금액",IF($M30="I",INDEX('완료 체험단'!$G$4:$G$2000,$N30),IF($M30="T",INDEX($V$5:$V$16,$J30),""))))</f>
        <v/>
      </c>
      <c r="G30" s="25" t="str">
        <f>IF($M30="H","실수익 "&amp;TEXT(INDEX($W$5:$W$16,$J30),"#,##0")&amp;"원",IF($M30="C","실수익",IF($M30="I",INDEX('완료 체험단'!$H$4:$H$2000,$N30),IF($M30="T",INDEX($W$5:$W$16,$J30),""))))</f>
        <v/>
      </c>
      <c r="I30" s="31">
        <f>ROWS(I$5:I30)</f>
        <v>26</v>
      </c>
      <c r="J30" s="31" t="str">
        <f t="shared" si="0"/>
        <v/>
      </c>
      <c r="K30" s="31" t="str">
        <f t="shared" si="1"/>
        <v/>
      </c>
      <c r="L30" s="31" t="str">
        <f t="shared" si="2"/>
        <v/>
      </c>
      <c r="M30" t="str">
        <f t="shared" si="3"/>
        <v/>
      </c>
      <c r="N30" t="str">
        <f>IF($M30="I",MATCH(SMALL('완료 체험단'!$K$4:$K$2000,INDEX($T$5:$T$16,$J30)+$K30-2),'완료 체험단'!$K$4:$K$2000,0),"")</f>
        <v/>
      </c>
    </row>
    <row r="31" spans="2:20">
      <c r="B31" s="23" t="str">
        <f>IF($M31="H",$J31&amp;"월",IF($M31="C","매장명",IF($M31="I",INDEX('완료 체험단'!$A$4:$A$2000,$N31),IF($M31="T","합계",""))))</f>
        <v/>
      </c>
      <c r="C31" s="29" t="str">
        <f>IF($M31="H",$L31&amp;"건",IF($M31="C","사이트",IF($M31="I",INDEX('완료 체험단'!$C$4:$C$2000,$N31),IF($M31="T",$L31&amp;"건",""))))</f>
        <v/>
      </c>
      <c r="D31" s="30" t="str">
        <f>IF($M31="C","방문일",IF($M31="I",INDEX('완료 체험단'!$D$4:$D$2000,$N31),""))</f>
        <v/>
      </c>
      <c r="E31" s="25" t="str">
        <f>IF($M31="H","제공금액 "&amp;TEXT(INDEX($U$5:$U$16,$J31),"#,##0")&amp;"원",IF($M31="C","제공금액",IF($M31="I",INDEX('완료 체험단'!$F$4:$F$2000,$N31),IF($M31="T",INDEX($U$5:$U$16,$J31),""))))</f>
        <v/>
      </c>
      <c r="F31" s="25" t="str">
        <f>IF($M31="H","결제금액 "&amp;TEXT(INDEX($V$5:$V$16,$J31),"#,##0")&amp;"원",IF($M31="C","결제금액",IF($M31="I",INDEX('완료 체험단'!$G$4:$G$2000,$N31),IF($M31="T",INDEX($V$5:$V$16,$J31),""))))</f>
        <v/>
      </c>
      <c r="G31" s="25" t="str">
        <f>IF($M31="H","실수익 "&amp;TEXT(INDEX($W$5:$W$16,$J31),"#,##0")&amp;"원",IF($M31="C","실수익",IF($M31="I",INDEX('완료 체험단'!$H$4:$H$2000,$N31),IF($M31="T",INDEX($W$5:$W$16,$J31),""))))</f>
        <v/>
      </c>
      <c r="I31" s="31">
        <f>ROWS(I$5:I31)</f>
        <v>27</v>
      </c>
      <c r="J31" s="31" t="str">
        <f t="shared" si="0"/>
        <v/>
      </c>
      <c r="K31" s="31" t="str">
        <f t="shared" si="1"/>
        <v/>
      </c>
      <c r="L31" s="31" t="str">
        <f t="shared" si="2"/>
        <v/>
      </c>
      <c r="M31" t="str">
        <f t="shared" si="3"/>
        <v/>
      </c>
      <c r="N31" t="str">
        <f>IF($M31="I",MATCH(SMALL('완료 체험단'!$K$4:$K$2000,INDEX($T$5:$T$16,$J31)+$K31-2),'완료 체험단'!$K$4:$K$2000,0),"")</f>
        <v/>
      </c>
    </row>
    <row r="32" spans="2:20">
      <c r="B32" s="23" t="str">
        <f>IF($M32="H",$J32&amp;"월",IF($M32="C","매장명",IF($M32="I",INDEX('완료 체험단'!$A$4:$A$2000,$N32),IF($M32="T","합계",""))))</f>
        <v/>
      </c>
      <c r="C32" s="29" t="str">
        <f>IF($M32="H",$L32&amp;"건",IF($M32="C","사이트",IF($M32="I",INDEX('완료 체험단'!$C$4:$C$2000,$N32),IF($M32="T",$L32&amp;"건",""))))</f>
        <v/>
      </c>
      <c r="D32" s="30" t="str">
        <f>IF($M32="C","방문일",IF($M32="I",INDEX('완료 체험단'!$D$4:$D$2000,$N32),""))</f>
        <v/>
      </c>
      <c r="E32" s="25" t="str">
        <f>IF($M32="H","제공금액 "&amp;TEXT(INDEX($U$5:$U$16,$J32),"#,##0")&amp;"원",IF($M32="C","제공금액",IF($M32="I",INDEX('완료 체험단'!$F$4:$F$2000,$N32),IF($M32="T",INDEX($U$5:$U$16,$J32),""))))</f>
        <v/>
      </c>
      <c r="F32" s="25" t="str">
        <f>IF($M32="H","결제금액 "&amp;TEXT(INDEX($V$5:$V$16,$J32),"#,##0")&amp;"원",IF($M32="C","결제금액",IF($M32="I",INDEX('완료 체험단'!$G$4:$G$2000,$N32),IF($M32="T",INDEX($V$5:$V$16,$J32),""))))</f>
        <v/>
      </c>
      <c r="G32" s="25" t="str">
        <f>IF($M32="H","실수익 "&amp;TEXT(INDEX($W$5:$W$16,$J32),"#,##0")&amp;"원",IF($M32="C","실수익",IF($M32="I",INDEX('완료 체험단'!$H$4:$H$2000,$N32),IF($M32="T",INDEX($W$5:$W$16,$J32),""))))</f>
        <v/>
      </c>
      <c r="I32" s="31">
        <f>ROWS(I$5:I32)</f>
        <v>28</v>
      </c>
      <c r="J32" s="31" t="str">
        <f t="shared" si="0"/>
        <v/>
      </c>
      <c r="K32" s="31" t="str">
        <f t="shared" si="1"/>
        <v/>
      </c>
      <c r="L32" s="31" t="str">
        <f t="shared" si="2"/>
        <v/>
      </c>
      <c r="M32" t="str">
        <f t="shared" si="3"/>
        <v/>
      </c>
      <c r="N32" t="str">
        <f>IF($M32="I",MATCH(SMALL('완료 체험단'!$K$4:$K$2000,INDEX($T$5:$T$16,$J32)+$K32-2),'완료 체험단'!$K$4:$K$2000,0),"")</f>
        <v/>
      </c>
    </row>
    <row r="33" spans="2:14">
      <c r="B33" s="23" t="str">
        <f>IF($M33="H",$J33&amp;"월",IF($M33="C","매장명",IF($M33="I",INDEX('완료 체험단'!$A$4:$A$2000,$N33),IF($M33="T","합계",""))))</f>
        <v/>
      </c>
      <c r="C33" s="29" t="str">
        <f>IF($M33="H",$L33&amp;"건",IF($M33="C","사이트",IF($M33="I",INDEX('완료 체험단'!$C$4:$C$2000,$N33),IF($M33="T",$L33&amp;"건",""))))</f>
        <v/>
      </c>
      <c r="D33" s="30" t="str">
        <f>IF($M33="C","방문일",IF($M33="I",INDEX('완료 체험단'!$D$4:$D$2000,$N33),""))</f>
        <v/>
      </c>
      <c r="E33" s="25" t="str">
        <f>IF($M33="H","제공금액 "&amp;TEXT(INDEX($U$5:$U$16,$J33),"#,##0")&amp;"원",IF($M33="C","제공금액",IF($M33="I",INDEX('완료 체험단'!$F$4:$F$2000,$N33),IF($M33="T",INDEX($U$5:$U$16,$J33),""))))</f>
        <v/>
      </c>
      <c r="F33" s="25" t="str">
        <f>IF($M33="H","결제금액 "&amp;TEXT(INDEX($V$5:$V$16,$J33),"#,##0")&amp;"원",IF($M33="C","결제금액",IF($M33="I",INDEX('완료 체험단'!$G$4:$G$2000,$N33),IF($M33="T",INDEX($V$5:$V$16,$J33),""))))</f>
        <v/>
      </c>
      <c r="G33" s="25" t="str">
        <f>IF($M33="H","실수익 "&amp;TEXT(INDEX($W$5:$W$16,$J33),"#,##0")&amp;"원",IF($M33="C","실수익",IF($M33="I",INDEX('완료 체험단'!$H$4:$H$2000,$N33),IF($M33="T",INDEX($W$5:$W$16,$J33),""))))</f>
        <v/>
      </c>
      <c r="I33" s="31">
        <f>ROWS(I$5:I33)</f>
        <v>29</v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>IF($M33="I",MATCH(SMALL('완료 체험단'!$K$4:$K$2000,INDEX($T$5:$T$16,$J33)+$K33-2),'완료 체험단'!$K$4:$K$2000,0),"")</f>
        <v/>
      </c>
    </row>
    <row r="34" spans="2:14">
      <c r="B34" s="23" t="str">
        <f>IF($M34="H",$J34&amp;"월",IF($M34="C","매장명",IF($M34="I",INDEX('완료 체험단'!$A$4:$A$2000,$N34),IF($M34="T","합계",""))))</f>
        <v/>
      </c>
      <c r="C34" s="29" t="str">
        <f>IF($M34="H",$L34&amp;"건",IF($M34="C","사이트",IF($M34="I",INDEX('완료 체험단'!$C$4:$C$2000,$N34),IF($M34="T",$L34&amp;"건",""))))</f>
        <v/>
      </c>
      <c r="D34" s="30" t="str">
        <f>IF($M34="C","방문일",IF($M34="I",INDEX('완료 체험단'!$D$4:$D$2000,$N34),""))</f>
        <v/>
      </c>
      <c r="E34" s="25" t="str">
        <f>IF($M34="H","제공금액 "&amp;TEXT(INDEX($U$5:$U$16,$J34),"#,##0")&amp;"원",IF($M34="C","제공금액",IF($M34="I",INDEX('완료 체험단'!$F$4:$F$2000,$N34),IF($M34="T",INDEX($U$5:$U$16,$J34),""))))</f>
        <v/>
      </c>
      <c r="F34" s="25" t="str">
        <f>IF($M34="H","결제금액 "&amp;TEXT(INDEX($V$5:$V$16,$J34),"#,##0")&amp;"원",IF($M34="C","결제금액",IF($M34="I",INDEX('완료 체험단'!$G$4:$G$2000,$N34),IF($M34="T",INDEX($V$5:$V$16,$J34),""))))</f>
        <v/>
      </c>
      <c r="G34" s="25" t="str">
        <f>IF($M34="H","실수익 "&amp;TEXT(INDEX($W$5:$W$16,$J34),"#,##0")&amp;"원",IF($M34="C","실수익",IF($M34="I",INDEX('완료 체험단'!$H$4:$H$2000,$N34),IF($M34="T",INDEX($W$5:$W$16,$J34),""))))</f>
        <v/>
      </c>
      <c r="I34" s="31">
        <f>ROWS(I$5:I34)</f>
        <v>30</v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>IF($M34="I",MATCH(SMALL('완료 체험단'!$K$4:$K$2000,INDEX($T$5:$T$16,$J34)+$K34-2),'완료 체험단'!$K$4:$K$2000,0),"")</f>
        <v/>
      </c>
    </row>
    <row r="35" spans="2:14">
      <c r="B35" s="23" t="str">
        <f>IF($M35="H",$J35&amp;"월",IF($M35="C","매장명",IF($M35="I",INDEX('완료 체험단'!$A$4:$A$2000,$N35),IF($M35="T","합계",""))))</f>
        <v/>
      </c>
      <c r="C35" s="29" t="str">
        <f>IF($M35="H",$L35&amp;"건",IF($M35="C","사이트",IF($M35="I",INDEX('완료 체험단'!$C$4:$C$2000,$N35),IF($M35="T",$L35&amp;"건",""))))</f>
        <v/>
      </c>
      <c r="D35" s="30" t="str">
        <f>IF($M35="C","방문일",IF($M35="I",INDEX('완료 체험단'!$D$4:$D$2000,$N35),""))</f>
        <v/>
      </c>
      <c r="E35" s="25" t="str">
        <f>IF($M35="H","제공금액 "&amp;TEXT(INDEX($U$5:$U$16,$J35),"#,##0")&amp;"원",IF($M35="C","제공금액",IF($M35="I",INDEX('완료 체험단'!$F$4:$F$2000,$N35),IF($M35="T",INDEX($U$5:$U$16,$J35),""))))</f>
        <v/>
      </c>
      <c r="F35" s="25" t="str">
        <f>IF($M35="H","결제금액 "&amp;TEXT(INDEX($V$5:$V$16,$J35),"#,##0")&amp;"원",IF($M35="C","결제금액",IF($M35="I",INDEX('완료 체험단'!$G$4:$G$2000,$N35),IF($M35="T",INDEX($V$5:$V$16,$J35),""))))</f>
        <v/>
      </c>
      <c r="G35" s="25" t="str">
        <f>IF($M35="H","실수익 "&amp;TEXT(INDEX($W$5:$W$16,$J35),"#,##0")&amp;"원",IF($M35="C","실수익",IF($M35="I",INDEX('완료 체험단'!$H$4:$H$2000,$N35),IF($M35="T",INDEX($W$5:$W$16,$J35),""))))</f>
        <v/>
      </c>
      <c r="I35" s="31">
        <f>ROWS(I$5:I35)</f>
        <v>31</v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>IF($M35="I",MATCH(SMALL('완료 체험단'!$K$4:$K$2000,INDEX($T$5:$T$16,$J35)+$K35-2),'완료 체험단'!$K$4:$K$2000,0),"")</f>
        <v/>
      </c>
    </row>
    <row r="36" spans="2:14">
      <c r="B36" s="23" t="str">
        <f>IF($M36="H",$J36&amp;"월",IF($M36="C","매장명",IF($M36="I",INDEX('완료 체험단'!$A$4:$A$2000,$N36),IF($M36="T","합계",""))))</f>
        <v/>
      </c>
      <c r="C36" s="29" t="str">
        <f>IF($M36="H",$L36&amp;"건",IF($M36="C","사이트",IF($M36="I",INDEX('완료 체험단'!$C$4:$C$2000,$N36),IF($M36="T",$L36&amp;"건",""))))</f>
        <v/>
      </c>
      <c r="D36" s="30" t="str">
        <f>IF($M36="C","방문일",IF($M36="I",INDEX('완료 체험단'!$D$4:$D$2000,$N36),""))</f>
        <v/>
      </c>
      <c r="E36" s="25" t="str">
        <f>IF($M36="H","제공금액 "&amp;TEXT(INDEX($U$5:$U$16,$J36),"#,##0")&amp;"원",IF($M36="C","제공금액",IF($M36="I",INDEX('완료 체험단'!$F$4:$F$2000,$N36),IF($M36="T",INDEX($U$5:$U$16,$J36),""))))</f>
        <v/>
      </c>
      <c r="F36" s="25" t="str">
        <f>IF($M36="H","결제금액 "&amp;TEXT(INDEX($V$5:$V$16,$J36),"#,##0")&amp;"원",IF($M36="C","결제금액",IF($M36="I",INDEX('완료 체험단'!$G$4:$G$2000,$N36),IF($M36="T",INDEX($V$5:$V$16,$J36),""))))</f>
        <v/>
      </c>
      <c r="G36" s="25" t="str">
        <f>IF($M36="H","실수익 "&amp;TEXT(INDEX($W$5:$W$16,$J36),"#,##0")&amp;"원",IF($M36="C","실수익",IF($M36="I",INDEX('완료 체험단'!$H$4:$H$2000,$N36),IF($M36="T",INDEX($W$5:$W$16,$J36),""))))</f>
        <v/>
      </c>
      <c r="I36" s="31">
        <f>ROWS(I$5:I36)</f>
        <v>32</v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>IF($M36="I",MATCH(SMALL('완료 체험단'!$K$4:$K$2000,INDEX($T$5:$T$16,$J36)+$K36-2),'완료 체험단'!$K$4:$K$2000,0),"")</f>
        <v/>
      </c>
    </row>
    <row r="37" spans="2:14">
      <c r="B37" s="23" t="str">
        <f>IF($M37="H",$J37&amp;"월",IF($M37="C","매장명",IF($M37="I",INDEX('완료 체험단'!$A$4:$A$2000,$N37),IF($M37="T","합계",""))))</f>
        <v/>
      </c>
      <c r="C37" s="29" t="str">
        <f>IF($M37="H",$L37&amp;"건",IF($M37="C","사이트",IF($M37="I",INDEX('완료 체험단'!$C$4:$C$2000,$N37),IF($M37="T",$L37&amp;"건",""))))</f>
        <v/>
      </c>
      <c r="D37" s="30" t="str">
        <f>IF($M37="C","방문일",IF($M37="I",INDEX('완료 체험단'!$D$4:$D$2000,$N37),""))</f>
        <v/>
      </c>
      <c r="E37" s="25" t="str">
        <f>IF($M37="H","제공금액 "&amp;TEXT(INDEX($U$5:$U$16,$J37),"#,##0")&amp;"원",IF($M37="C","제공금액",IF($M37="I",INDEX('완료 체험단'!$F$4:$F$2000,$N37),IF($M37="T",INDEX($U$5:$U$16,$J37),""))))</f>
        <v/>
      </c>
      <c r="F37" s="25" t="str">
        <f>IF($M37="H","결제금액 "&amp;TEXT(INDEX($V$5:$V$16,$J37),"#,##0")&amp;"원",IF($M37="C","결제금액",IF($M37="I",INDEX('완료 체험단'!$G$4:$G$2000,$N37),IF($M37="T",INDEX($V$5:$V$16,$J37),""))))</f>
        <v/>
      </c>
      <c r="G37" s="25" t="str">
        <f>IF($M37="H","실수익 "&amp;TEXT(INDEX($W$5:$W$16,$J37),"#,##0")&amp;"원",IF($M37="C","실수익",IF($M37="I",INDEX('완료 체험단'!$H$4:$H$2000,$N37),IF($M37="T",INDEX($W$5:$W$16,$J37),""))))</f>
        <v/>
      </c>
      <c r="I37" s="31">
        <f>ROWS(I$5:I37)</f>
        <v>33</v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>IF($M37="I",MATCH(SMALL('완료 체험단'!$K$4:$K$2000,INDEX($T$5:$T$16,$J37)+$K37-2),'완료 체험단'!$K$4:$K$2000,0),"")</f>
        <v/>
      </c>
    </row>
    <row r="38" spans="2:14">
      <c r="B38" s="23" t="str">
        <f>IF($M38="H",$J38&amp;"월",IF($M38="C","매장명",IF($M38="I",INDEX('완료 체험단'!$A$4:$A$2000,$N38),IF($M38="T","합계",""))))</f>
        <v/>
      </c>
      <c r="C38" s="29" t="str">
        <f>IF($M38="H",$L38&amp;"건",IF($M38="C","사이트",IF($M38="I",INDEX('완료 체험단'!$C$4:$C$2000,$N38),IF($M38="T",$L38&amp;"건",""))))</f>
        <v/>
      </c>
      <c r="D38" s="30" t="str">
        <f>IF($M38="C","방문일",IF($M38="I",INDEX('완료 체험단'!$D$4:$D$2000,$N38),""))</f>
        <v/>
      </c>
      <c r="E38" s="25" t="str">
        <f>IF($M38="H","제공금액 "&amp;TEXT(INDEX($U$5:$U$16,$J38),"#,##0")&amp;"원",IF($M38="C","제공금액",IF($M38="I",INDEX('완료 체험단'!$F$4:$F$2000,$N38),IF($M38="T",INDEX($U$5:$U$16,$J38),""))))</f>
        <v/>
      </c>
      <c r="F38" s="25" t="str">
        <f>IF($M38="H","결제금액 "&amp;TEXT(INDEX($V$5:$V$16,$J38),"#,##0")&amp;"원",IF($M38="C","결제금액",IF($M38="I",INDEX('완료 체험단'!$G$4:$G$2000,$N38),IF($M38="T",INDEX($V$5:$V$16,$J38),""))))</f>
        <v/>
      </c>
      <c r="G38" s="25" t="str">
        <f>IF($M38="H","실수익 "&amp;TEXT(INDEX($W$5:$W$16,$J38),"#,##0")&amp;"원",IF($M38="C","실수익",IF($M38="I",INDEX('완료 체험단'!$H$4:$H$2000,$N38),IF($M38="T",INDEX($W$5:$W$16,$J38),""))))</f>
        <v/>
      </c>
      <c r="I38" s="31">
        <f>ROWS(I$5:I38)</f>
        <v>34</v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>IF($M38="I",MATCH(SMALL('완료 체험단'!$K$4:$K$2000,INDEX($T$5:$T$16,$J38)+$K38-2),'완료 체험단'!$K$4:$K$2000,0),"")</f>
        <v/>
      </c>
    </row>
    <row r="39" spans="2:14">
      <c r="B39" s="23" t="str">
        <f>IF($M39="H",$J39&amp;"월",IF($M39="C","매장명",IF($M39="I",INDEX('완료 체험단'!$A$4:$A$2000,$N39),IF($M39="T","합계",""))))</f>
        <v/>
      </c>
      <c r="C39" s="29" t="str">
        <f>IF($M39="H",$L39&amp;"건",IF($M39="C","사이트",IF($M39="I",INDEX('완료 체험단'!$C$4:$C$2000,$N39),IF($M39="T",$L39&amp;"건",""))))</f>
        <v/>
      </c>
      <c r="D39" s="30" t="str">
        <f>IF($M39="C","방문일",IF($M39="I",INDEX('완료 체험단'!$D$4:$D$2000,$N39),""))</f>
        <v/>
      </c>
      <c r="E39" s="25" t="str">
        <f>IF($M39="H","제공금액 "&amp;TEXT(INDEX($U$5:$U$16,$J39),"#,##0")&amp;"원",IF($M39="C","제공금액",IF($M39="I",INDEX('완료 체험단'!$F$4:$F$2000,$N39),IF($M39="T",INDEX($U$5:$U$16,$J39),""))))</f>
        <v/>
      </c>
      <c r="F39" s="25" t="str">
        <f>IF($M39="H","결제금액 "&amp;TEXT(INDEX($V$5:$V$16,$J39),"#,##0")&amp;"원",IF($M39="C","결제금액",IF($M39="I",INDEX('완료 체험단'!$G$4:$G$2000,$N39),IF($M39="T",INDEX($V$5:$V$16,$J39),""))))</f>
        <v/>
      </c>
      <c r="G39" s="25" t="str">
        <f>IF($M39="H","실수익 "&amp;TEXT(INDEX($W$5:$W$16,$J39),"#,##0")&amp;"원",IF($M39="C","실수익",IF($M39="I",INDEX('완료 체험단'!$H$4:$H$2000,$N39),IF($M39="T",INDEX($W$5:$W$16,$J39),""))))</f>
        <v/>
      </c>
      <c r="I39" s="31">
        <f>ROWS(I$5:I39)</f>
        <v>35</v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>IF($M39="I",MATCH(SMALL('완료 체험단'!$K$4:$K$2000,INDEX($T$5:$T$16,$J39)+$K39-2),'완료 체험단'!$K$4:$K$2000,0),"")</f>
        <v/>
      </c>
    </row>
    <row r="40" spans="2:14">
      <c r="B40" s="23" t="str">
        <f>IF($M40="H",$J40&amp;"월",IF($M40="C","매장명",IF($M40="I",INDEX('완료 체험단'!$A$4:$A$2000,$N40),IF($M40="T","합계",""))))</f>
        <v/>
      </c>
      <c r="C40" s="29" t="str">
        <f>IF($M40="H",$L40&amp;"건",IF($M40="C","사이트",IF($M40="I",INDEX('완료 체험단'!$C$4:$C$2000,$N40),IF($M40="T",$L40&amp;"건",""))))</f>
        <v/>
      </c>
      <c r="D40" s="30" t="str">
        <f>IF($M40="C","방문일",IF($M40="I",INDEX('완료 체험단'!$D$4:$D$2000,$N40),""))</f>
        <v/>
      </c>
      <c r="E40" s="25" t="str">
        <f>IF($M40="H","제공금액 "&amp;TEXT(INDEX($U$5:$U$16,$J40),"#,##0")&amp;"원",IF($M40="C","제공금액",IF($M40="I",INDEX('완료 체험단'!$F$4:$F$2000,$N40),IF($M40="T",INDEX($U$5:$U$16,$J40),""))))</f>
        <v/>
      </c>
      <c r="F40" s="25" t="str">
        <f>IF($M40="H","결제금액 "&amp;TEXT(INDEX($V$5:$V$16,$J40),"#,##0")&amp;"원",IF($M40="C","결제금액",IF($M40="I",INDEX('완료 체험단'!$G$4:$G$2000,$N40),IF($M40="T",INDEX($V$5:$V$16,$J40),""))))</f>
        <v/>
      </c>
      <c r="G40" s="25" t="str">
        <f>IF($M40="H","실수익 "&amp;TEXT(INDEX($W$5:$W$16,$J40),"#,##0")&amp;"원",IF($M40="C","실수익",IF($M40="I",INDEX('완료 체험단'!$H$4:$H$2000,$N40),IF($M40="T",INDEX($W$5:$W$16,$J40),""))))</f>
        <v/>
      </c>
      <c r="I40" s="31">
        <f>ROWS(I$5:I40)</f>
        <v>36</v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>IF($M40="I",MATCH(SMALL('완료 체험단'!$K$4:$K$2000,INDEX($T$5:$T$16,$J40)+$K40-2),'완료 체험단'!$K$4:$K$2000,0),"")</f>
        <v/>
      </c>
    </row>
    <row r="41" spans="2:14">
      <c r="B41" s="23" t="str">
        <f>IF($M41="H",$J41&amp;"월",IF($M41="C","매장명",IF($M41="I",INDEX('완료 체험단'!$A$4:$A$2000,$N41),IF($M41="T","합계",""))))</f>
        <v/>
      </c>
      <c r="C41" s="29" t="str">
        <f>IF($M41="H",$L41&amp;"건",IF($M41="C","사이트",IF($M41="I",INDEX('완료 체험단'!$C$4:$C$2000,$N41),IF($M41="T",$L41&amp;"건",""))))</f>
        <v/>
      </c>
      <c r="D41" s="30" t="str">
        <f>IF($M41="C","방문일",IF($M41="I",INDEX('완료 체험단'!$D$4:$D$2000,$N41),""))</f>
        <v/>
      </c>
      <c r="E41" s="25" t="str">
        <f>IF($M41="H","제공금액 "&amp;TEXT(INDEX($U$5:$U$16,$J41),"#,##0")&amp;"원",IF($M41="C","제공금액",IF($M41="I",INDEX('완료 체험단'!$F$4:$F$2000,$N41),IF($M41="T",INDEX($U$5:$U$16,$J41),""))))</f>
        <v/>
      </c>
      <c r="F41" s="25" t="str">
        <f>IF($M41="H","결제금액 "&amp;TEXT(INDEX($V$5:$V$16,$J41),"#,##0")&amp;"원",IF($M41="C","결제금액",IF($M41="I",INDEX('완료 체험단'!$G$4:$G$2000,$N41),IF($M41="T",INDEX($V$5:$V$16,$J41),""))))</f>
        <v/>
      </c>
      <c r="G41" s="25" t="str">
        <f>IF($M41="H","실수익 "&amp;TEXT(INDEX($W$5:$W$16,$J41),"#,##0")&amp;"원",IF($M41="C","실수익",IF($M41="I",INDEX('완료 체험단'!$H$4:$H$2000,$N41),IF($M41="T",INDEX($W$5:$W$16,$J41),""))))</f>
        <v/>
      </c>
      <c r="I41" s="31">
        <f>ROWS(I$5:I41)</f>
        <v>37</v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>IF($M41="I",MATCH(SMALL('완료 체험단'!$K$4:$K$2000,INDEX($T$5:$T$16,$J41)+$K41-2),'완료 체험단'!$K$4:$K$2000,0),"")</f>
        <v/>
      </c>
    </row>
    <row r="42" spans="2:14">
      <c r="B42" s="23" t="str">
        <f>IF($M42="H",$J42&amp;"월",IF($M42="C","매장명",IF($M42="I",INDEX('완료 체험단'!$A$4:$A$2000,$N42),IF($M42="T","합계",""))))</f>
        <v/>
      </c>
      <c r="C42" s="29" t="str">
        <f>IF($M42="H",$L42&amp;"건",IF($M42="C","사이트",IF($M42="I",INDEX('완료 체험단'!$C$4:$C$2000,$N42),IF($M42="T",$L42&amp;"건",""))))</f>
        <v/>
      </c>
      <c r="D42" s="30" t="str">
        <f>IF($M42="C","방문일",IF($M42="I",INDEX('완료 체험단'!$D$4:$D$2000,$N42),""))</f>
        <v/>
      </c>
      <c r="E42" s="25" t="str">
        <f>IF($M42="H","제공금액 "&amp;TEXT(INDEX($U$5:$U$16,$J42),"#,##0")&amp;"원",IF($M42="C","제공금액",IF($M42="I",INDEX('완료 체험단'!$F$4:$F$2000,$N42),IF($M42="T",INDEX($U$5:$U$16,$J42),""))))</f>
        <v/>
      </c>
      <c r="F42" s="25" t="str">
        <f>IF($M42="H","결제금액 "&amp;TEXT(INDEX($V$5:$V$16,$J42),"#,##0")&amp;"원",IF($M42="C","결제금액",IF($M42="I",INDEX('완료 체험단'!$G$4:$G$2000,$N42),IF($M42="T",INDEX($V$5:$V$16,$J42),""))))</f>
        <v/>
      </c>
      <c r="G42" s="25" t="str">
        <f>IF($M42="H","실수익 "&amp;TEXT(INDEX($W$5:$W$16,$J42),"#,##0")&amp;"원",IF($M42="C","실수익",IF($M42="I",INDEX('완료 체험단'!$H$4:$H$2000,$N42),IF($M42="T",INDEX($W$5:$W$16,$J42),""))))</f>
        <v/>
      </c>
      <c r="I42" s="31">
        <f>ROWS(I$5:I42)</f>
        <v>38</v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>IF($M42="I",MATCH(SMALL('완료 체험단'!$K$4:$K$2000,INDEX($T$5:$T$16,$J42)+$K42-2),'완료 체험단'!$K$4:$K$2000,0),"")</f>
        <v/>
      </c>
    </row>
    <row r="43" spans="2:14">
      <c r="B43" s="23" t="str">
        <f>IF($M43="H",$J43&amp;"월",IF($M43="C","매장명",IF($M43="I",INDEX('완료 체험단'!$A$4:$A$2000,$N43),IF($M43="T","합계",""))))</f>
        <v/>
      </c>
      <c r="C43" s="29" t="str">
        <f>IF($M43="H",$L43&amp;"건",IF($M43="C","사이트",IF($M43="I",INDEX('완료 체험단'!$C$4:$C$2000,$N43),IF($M43="T",$L43&amp;"건",""))))</f>
        <v/>
      </c>
      <c r="D43" s="30" t="str">
        <f>IF($M43="C","방문일",IF($M43="I",INDEX('완료 체험단'!$D$4:$D$2000,$N43),""))</f>
        <v/>
      </c>
      <c r="E43" s="25" t="str">
        <f>IF($M43="H","제공금액 "&amp;TEXT(INDEX($U$5:$U$16,$J43),"#,##0")&amp;"원",IF($M43="C","제공금액",IF($M43="I",INDEX('완료 체험단'!$F$4:$F$2000,$N43),IF($M43="T",INDEX($U$5:$U$16,$J43),""))))</f>
        <v/>
      </c>
      <c r="F43" s="25" t="str">
        <f>IF($M43="H","결제금액 "&amp;TEXT(INDEX($V$5:$V$16,$J43),"#,##0")&amp;"원",IF($M43="C","결제금액",IF($M43="I",INDEX('완료 체험단'!$G$4:$G$2000,$N43),IF($M43="T",INDEX($V$5:$V$16,$J43),""))))</f>
        <v/>
      </c>
      <c r="G43" s="25" t="str">
        <f>IF($M43="H","실수익 "&amp;TEXT(INDEX($W$5:$W$16,$J43),"#,##0")&amp;"원",IF($M43="C","실수익",IF($M43="I",INDEX('완료 체험단'!$H$4:$H$2000,$N43),IF($M43="T",INDEX($W$5:$W$16,$J43),""))))</f>
        <v/>
      </c>
      <c r="I43" s="31">
        <f>ROWS(I$5:I43)</f>
        <v>39</v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>IF($M43="I",MATCH(SMALL('완료 체험단'!$K$4:$K$2000,INDEX($T$5:$T$16,$J43)+$K43-2),'완료 체험단'!$K$4:$K$2000,0),"")</f>
        <v/>
      </c>
    </row>
    <row r="44" spans="2:14">
      <c r="B44" s="23" t="str">
        <f>IF($M44="H",$J44&amp;"월",IF($M44="C","매장명",IF($M44="I",INDEX('완료 체험단'!$A$4:$A$2000,$N44),IF($M44="T","합계",""))))</f>
        <v/>
      </c>
      <c r="C44" s="29" t="str">
        <f>IF($M44="H",$L44&amp;"건",IF($M44="C","사이트",IF($M44="I",INDEX('완료 체험단'!$C$4:$C$2000,$N44),IF($M44="T",$L44&amp;"건",""))))</f>
        <v/>
      </c>
      <c r="D44" s="30" t="str">
        <f>IF($M44="C","방문일",IF($M44="I",INDEX('완료 체험단'!$D$4:$D$2000,$N44),""))</f>
        <v/>
      </c>
      <c r="E44" s="25" t="str">
        <f>IF($M44="H","제공금액 "&amp;TEXT(INDEX($U$5:$U$16,$J44),"#,##0")&amp;"원",IF($M44="C","제공금액",IF($M44="I",INDEX('완료 체험단'!$F$4:$F$2000,$N44),IF($M44="T",INDEX($U$5:$U$16,$J44),""))))</f>
        <v/>
      </c>
      <c r="F44" s="25" t="str">
        <f>IF($M44="H","결제금액 "&amp;TEXT(INDEX($V$5:$V$16,$J44),"#,##0")&amp;"원",IF($M44="C","결제금액",IF($M44="I",INDEX('완료 체험단'!$G$4:$G$2000,$N44),IF($M44="T",INDEX($V$5:$V$16,$J44),""))))</f>
        <v/>
      </c>
      <c r="G44" s="25" t="str">
        <f>IF($M44="H","실수익 "&amp;TEXT(INDEX($W$5:$W$16,$J44),"#,##0")&amp;"원",IF($M44="C","실수익",IF($M44="I",INDEX('완료 체험단'!$H$4:$H$2000,$N44),IF($M44="T",INDEX($W$5:$W$16,$J44),""))))</f>
        <v/>
      </c>
      <c r="I44" s="31">
        <f>ROWS(I$5:I44)</f>
        <v>40</v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>IF($M44="I",MATCH(SMALL('완료 체험단'!$K$4:$K$2000,INDEX($T$5:$T$16,$J44)+$K44-2),'완료 체험단'!$K$4:$K$2000,0),"")</f>
        <v/>
      </c>
    </row>
    <row r="45" spans="2:14">
      <c r="B45" s="23" t="str">
        <f>IF($M45="H",$J45&amp;"월",IF($M45="C","매장명",IF($M45="I",INDEX('완료 체험단'!$A$4:$A$2000,$N45),IF($M45="T","합계",""))))</f>
        <v/>
      </c>
      <c r="C45" s="29" t="str">
        <f>IF($M45="H",$L45&amp;"건",IF($M45="C","사이트",IF($M45="I",INDEX('완료 체험단'!$C$4:$C$2000,$N45),IF($M45="T",$L45&amp;"건",""))))</f>
        <v/>
      </c>
      <c r="D45" s="30" t="str">
        <f>IF($M45="C","방문일",IF($M45="I",INDEX('완료 체험단'!$D$4:$D$2000,$N45),""))</f>
        <v/>
      </c>
      <c r="E45" s="25" t="str">
        <f>IF($M45="H","제공금액 "&amp;TEXT(INDEX($U$5:$U$16,$J45),"#,##0")&amp;"원",IF($M45="C","제공금액",IF($M45="I",INDEX('완료 체험단'!$F$4:$F$2000,$N45),IF($M45="T",INDEX($U$5:$U$16,$J45),""))))</f>
        <v/>
      </c>
      <c r="F45" s="25" t="str">
        <f>IF($M45="H","결제금액 "&amp;TEXT(INDEX($V$5:$V$16,$J45),"#,##0")&amp;"원",IF($M45="C","결제금액",IF($M45="I",INDEX('완료 체험단'!$G$4:$G$2000,$N45),IF($M45="T",INDEX($V$5:$V$16,$J45),""))))</f>
        <v/>
      </c>
      <c r="G45" s="25" t="str">
        <f>IF($M45="H","실수익 "&amp;TEXT(INDEX($W$5:$W$16,$J45),"#,##0")&amp;"원",IF($M45="C","실수익",IF($M45="I",INDEX('완료 체험단'!$H$4:$H$2000,$N45),IF($M45="T",INDEX($W$5:$W$16,$J45),""))))</f>
        <v/>
      </c>
      <c r="I45" s="31">
        <f>ROWS(I$5:I45)</f>
        <v>41</v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>IF($M45="I",MATCH(SMALL('완료 체험단'!$K$4:$K$2000,INDEX($T$5:$T$16,$J45)+$K45-2),'완료 체험단'!$K$4:$K$2000,0),"")</f>
        <v/>
      </c>
    </row>
    <row r="46" spans="2:14">
      <c r="B46" s="23" t="str">
        <f>IF($M46="H",$J46&amp;"월",IF($M46="C","매장명",IF($M46="I",INDEX('완료 체험단'!$A$4:$A$2000,$N46),IF($M46="T","합계",""))))</f>
        <v/>
      </c>
      <c r="C46" s="29" t="str">
        <f>IF($M46="H",$L46&amp;"건",IF($M46="C","사이트",IF($M46="I",INDEX('완료 체험단'!$C$4:$C$2000,$N46),IF($M46="T",$L46&amp;"건",""))))</f>
        <v/>
      </c>
      <c r="D46" s="30" t="str">
        <f>IF($M46="C","방문일",IF($M46="I",INDEX('완료 체험단'!$D$4:$D$2000,$N46),""))</f>
        <v/>
      </c>
      <c r="E46" s="25" t="str">
        <f>IF($M46="H","제공금액 "&amp;TEXT(INDEX($U$5:$U$16,$J46),"#,##0")&amp;"원",IF($M46="C","제공금액",IF($M46="I",INDEX('완료 체험단'!$F$4:$F$2000,$N46),IF($M46="T",INDEX($U$5:$U$16,$J46),""))))</f>
        <v/>
      </c>
      <c r="F46" s="25" t="str">
        <f>IF($M46="H","결제금액 "&amp;TEXT(INDEX($V$5:$V$16,$J46),"#,##0")&amp;"원",IF($M46="C","결제금액",IF($M46="I",INDEX('완료 체험단'!$G$4:$G$2000,$N46),IF($M46="T",INDEX($V$5:$V$16,$J46),""))))</f>
        <v/>
      </c>
      <c r="G46" s="25" t="str">
        <f>IF($M46="H","실수익 "&amp;TEXT(INDEX($W$5:$W$16,$J46),"#,##0")&amp;"원",IF($M46="C","실수익",IF($M46="I",INDEX('완료 체험단'!$H$4:$H$2000,$N46),IF($M46="T",INDEX($W$5:$W$16,$J46),""))))</f>
        <v/>
      </c>
      <c r="I46" s="31">
        <f>ROWS(I$5:I46)</f>
        <v>42</v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>IF($M46="I",MATCH(SMALL('완료 체험단'!$K$4:$K$2000,INDEX($T$5:$T$16,$J46)+$K46-2),'완료 체험단'!$K$4:$K$2000,0),"")</f>
        <v/>
      </c>
    </row>
    <row r="47" spans="2:14">
      <c r="B47" s="23" t="str">
        <f>IF($M47="H",$J47&amp;"월",IF($M47="C","매장명",IF($M47="I",INDEX('완료 체험단'!$A$4:$A$2000,$N47),IF($M47="T","합계",""))))</f>
        <v/>
      </c>
      <c r="C47" s="29" t="str">
        <f>IF($M47="H",$L47&amp;"건",IF($M47="C","사이트",IF($M47="I",INDEX('완료 체험단'!$C$4:$C$2000,$N47),IF($M47="T",$L47&amp;"건",""))))</f>
        <v/>
      </c>
      <c r="D47" s="30" t="str">
        <f>IF($M47="C","방문일",IF($M47="I",INDEX('완료 체험단'!$D$4:$D$2000,$N47),""))</f>
        <v/>
      </c>
      <c r="E47" s="25" t="str">
        <f>IF($M47="H","제공금액 "&amp;TEXT(INDEX($U$5:$U$16,$J47),"#,##0")&amp;"원",IF($M47="C","제공금액",IF($M47="I",INDEX('완료 체험단'!$F$4:$F$2000,$N47),IF($M47="T",INDEX($U$5:$U$16,$J47),""))))</f>
        <v/>
      </c>
      <c r="F47" s="25" t="str">
        <f>IF($M47="H","결제금액 "&amp;TEXT(INDEX($V$5:$V$16,$J47),"#,##0")&amp;"원",IF($M47="C","결제금액",IF($M47="I",INDEX('완료 체험단'!$G$4:$G$2000,$N47),IF($M47="T",INDEX($V$5:$V$16,$J47),""))))</f>
        <v/>
      </c>
      <c r="G47" s="25" t="str">
        <f>IF($M47="H","실수익 "&amp;TEXT(INDEX($W$5:$W$16,$J47),"#,##0")&amp;"원",IF($M47="C","실수익",IF($M47="I",INDEX('완료 체험단'!$H$4:$H$2000,$N47),IF($M47="T",INDEX($W$5:$W$16,$J47),""))))</f>
        <v/>
      </c>
      <c r="I47" s="31">
        <f>ROWS(I$5:I47)</f>
        <v>43</v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>IF($M47="I",MATCH(SMALL('완료 체험단'!$K$4:$K$2000,INDEX($T$5:$T$16,$J47)+$K47-2),'완료 체험단'!$K$4:$K$2000,0),"")</f>
        <v/>
      </c>
    </row>
    <row r="48" spans="2:14">
      <c r="B48" s="23" t="str">
        <f>IF($M48="H",$J48&amp;"월",IF($M48="C","매장명",IF($M48="I",INDEX('완료 체험단'!$A$4:$A$2000,$N48),IF($M48="T","합계",""))))</f>
        <v/>
      </c>
      <c r="C48" s="29" t="str">
        <f>IF($M48="H",$L48&amp;"건",IF($M48="C","사이트",IF($M48="I",INDEX('완료 체험단'!$C$4:$C$2000,$N48),IF($M48="T",$L48&amp;"건",""))))</f>
        <v/>
      </c>
      <c r="D48" s="30" t="str">
        <f>IF($M48="C","방문일",IF($M48="I",INDEX('완료 체험단'!$D$4:$D$2000,$N48),""))</f>
        <v/>
      </c>
      <c r="E48" s="25" t="str">
        <f>IF($M48="H","제공금액 "&amp;TEXT(INDEX($U$5:$U$16,$J48),"#,##0")&amp;"원",IF($M48="C","제공금액",IF($M48="I",INDEX('완료 체험단'!$F$4:$F$2000,$N48),IF($M48="T",INDEX($U$5:$U$16,$J48),""))))</f>
        <v/>
      </c>
      <c r="F48" s="25" t="str">
        <f>IF($M48="H","결제금액 "&amp;TEXT(INDEX($V$5:$V$16,$J48),"#,##0")&amp;"원",IF($M48="C","결제금액",IF($M48="I",INDEX('완료 체험단'!$G$4:$G$2000,$N48),IF($M48="T",INDEX($V$5:$V$16,$J48),""))))</f>
        <v/>
      </c>
      <c r="G48" s="25" t="str">
        <f>IF($M48="H","실수익 "&amp;TEXT(INDEX($W$5:$W$16,$J48),"#,##0")&amp;"원",IF($M48="C","실수익",IF($M48="I",INDEX('완료 체험단'!$H$4:$H$2000,$N48),IF($M48="T",INDEX($W$5:$W$16,$J48),""))))</f>
        <v/>
      </c>
      <c r="I48" s="31">
        <f>ROWS(I$5:I48)</f>
        <v>44</v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>IF($M48="I",MATCH(SMALL('완료 체험단'!$K$4:$K$2000,INDEX($T$5:$T$16,$J48)+$K48-2),'완료 체험단'!$K$4:$K$2000,0),"")</f>
        <v/>
      </c>
    </row>
    <row r="49" spans="2:14">
      <c r="B49" s="23" t="str">
        <f>IF($M49="H",$J49&amp;"월",IF($M49="C","매장명",IF($M49="I",INDEX('완료 체험단'!$A$4:$A$2000,$N49),IF($M49="T","합계",""))))</f>
        <v/>
      </c>
      <c r="C49" s="29" t="str">
        <f>IF($M49="H",$L49&amp;"건",IF($M49="C","사이트",IF($M49="I",INDEX('완료 체험단'!$C$4:$C$2000,$N49),IF($M49="T",$L49&amp;"건",""))))</f>
        <v/>
      </c>
      <c r="D49" s="30" t="str">
        <f>IF($M49="C","방문일",IF($M49="I",INDEX('완료 체험단'!$D$4:$D$2000,$N49),""))</f>
        <v/>
      </c>
      <c r="E49" s="25" t="str">
        <f>IF($M49="H","제공금액 "&amp;TEXT(INDEX($U$5:$U$16,$J49),"#,##0")&amp;"원",IF($M49="C","제공금액",IF($M49="I",INDEX('완료 체험단'!$F$4:$F$2000,$N49),IF($M49="T",INDEX($U$5:$U$16,$J49),""))))</f>
        <v/>
      </c>
      <c r="F49" s="25" t="str">
        <f>IF($M49="H","결제금액 "&amp;TEXT(INDEX($V$5:$V$16,$J49),"#,##0")&amp;"원",IF($M49="C","결제금액",IF($M49="I",INDEX('완료 체험단'!$G$4:$G$2000,$N49),IF($M49="T",INDEX($V$5:$V$16,$J49),""))))</f>
        <v/>
      </c>
      <c r="G49" s="25" t="str">
        <f>IF($M49="H","실수익 "&amp;TEXT(INDEX($W$5:$W$16,$J49),"#,##0")&amp;"원",IF($M49="C","실수익",IF($M49="I",INDEX('완료 체험단'!$H$4:$H$2000,$N49),IF($M49="T",INDEX($W$5:$W$16,$J49),""))))</f>
        <v/>
      </c>
      <c r="I49" s="31">
        <f>ROWS(I$5:I49)</f>
        <v>45</v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>IF($M49="I",MATCH(SMALL('완료 체험단'!$K$4:$K$2000,INDEX($T$5:$T$16,$J49)+$K49-2),'완료 체험단'!$K$4:$K$2000,0),"")</f>
        <v/>
      </c>
    </row>
    <row r="50" spans="2:14">
      <c r="B50" s="23" t="str">
        <f>IF($M50="H",$J50&amp;"월",IF($M50="C","매장명",IF($M50="I",INDEX('완료 체험단'!$A$4:$A$2000,$N50),IF($M50="T","합계",""))))</f>
        <v/>
      </c>
      <c r="C50" s="29" t="str">
        <f>IF($M50="H",$L50&amp;"건",IF($M50="C","사이트",IF($M50="I",INDEX('완료 체험단'!$C$4:$C$2000,$N50),IF($M50="T",$L50&amp;"건",""))))</f>
        <v/>
      </c>
      <c r="D50" s="30" t="str">
        <f>IF($M50="C","방문일",IF($M50="I",INDEX('완료 체험단'!$D$4:$D$2000,$N50),""))</f>
        <v/>
      </c>
      <c r="E50" s="25" t="str">
        <f>IF($M50="H","제공금액 "&amp;TEXT(INDEX($U$5:$U$16,$J50),"#,##0")&amp;"원",IF($M50="C","제공금액",IF($M50="I",INDEX('완료 체험단'!$F$4:$F$2000,$N50),IF($M50="T",INDEX($U$5:$U$16,$J50),""))))</f>
        <v/>
      </c>
      <c r="F50" s="25" t="str">
        <f>IF($M50="H","결제금액 "&amp;TEXT(INDEX($V$5:$V$16,$J50),"#,##0")&amp;"원",IF($M50="C","결제금액",IF($M50="I",INDEX('완료 체험단'!$G$4:$G$2000,$N50),IF($M50="T",INDEX($V$5:$V$16,$J50),""))))</f>
        <v/>
      </c>
      <c r="G50" s="25" t="str">
        <f>IF($M50="H","실수익 "&amp;TEXT(INDEX($W$5:$W$16,$J50),"#,##0")&amp;"원",IF($M50="C","실수익",IF($M50="I",INDEX('완료 체험단'!$H$4:$H$2000,$N50),IF($M50="T",INDEX($W$5:$W$16,$J50),""))))</f>
        <v/>
      </c>
      <c r="I50" s="31">
        <f>ROWS(I$5:I50)</f>
        <v>46</v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>IF($M50="I",MATCH(SMALL('완료 체험단'!$K$4:$K$2000,INDEX($T$5:$T$16,$J50)+$K50-2),'완료 체험단'!$K$4:$K$2000,0),"")</f>
        <v/>
      </c>
    </row>
    <row r="51" spans="2:14">
      <c r="B51" s="23" t="str">
        <f>IF($M51="H",$J51&amp;"월",IF($M51="C","매장명",IF($M51="I",INDEX('완료 체험단'!$A$4:$A$2000,$N51),IF($M51="T","합계",""))))</f>
        <v/>
      </c>
      <c r="C51" s="29" t="str">
        <f>IF($M51="H",$L51&amp;"건",IF($M51="C","사이트",IF($M51="I",INDEX('완료 체험단'!$C$4:$C$2000,$N51),IF($M51="T",$L51&amp;"건",""))))</f>
        <v/>
      </c>
      <c r="D51" s="30" t="str">
        <f>IF($M51="C","방문일",IF($M51="I",INDEX('완료 체험단'!$D$4:$D$2000,$N51),""))</f>
        <v/>
      </c>
      <c r="E51" s="25" t="str">
        <f>IF($M51="H","제공금액 "&amp;TEXT(INDEX($U$5:$U$16,$J51),"#,##0")&amp;"원",IF($M51="C","제공금액",IF($M51="I",INDEX('완료 체험단'!$F$4:$F$2000,$N51),IF($M51="T",INDEX($U$5:$U$16,$J51),""))))</f>
        <v/>
      </c>
      <c r="F51" s="25" t="str">
        <f>IF($M51="H","결제금액 "&amp;TEXT(INDEX($V$5:$V$16,$J51),"#,##0")&amp;"원",IF($M51="C","결제금액",IF($M51="I",INDEX('완료 체험단'!$G$4:$G$2000,$N51),IF($M51="T",INDEX($V$5:$V$16,$J51),""))))</f>
        <v/>
      </c>
      <c r="G51" s="25" t="str">
        <f>IF($M51="H","실수익 "&amp;TEXT(INDEX($W$5:$W$16,$J51),"#,##0")&amp;"원",IF($M51="C","실수익",IF($M51="I",INDEX('완료 체험단'!$H$4:$H$2000,$N51),IF($M51="T",INDEX($W$5:$W$16,$J51),""))))</f>
        <v/>
      </c>
      <c r="I51" s="31">
        <f>ROWS(I$5:I51)</f>
        <v>47</v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>IF($M51="I",MATCH(SMALL('완료 체험단'!$K$4:$K$2000,INDEX($T$5:$T$16,$J51)+$K51-2),'완료 체험단'!$K$4:$K$2000,0),"")</f>
        <v/>
      </c>
    </row>
    <row r="52" spans="2:14">
      <c r="B52" s="23" t="str">
        <f>IF($M52="H",$J52&amp;"월",IF($M52="C","매장명",IF($M52="I",INDEX('완료 체험단'!$A$4:$A$2000,$N52),IF($M52="T","합계",""))))</f>
        <v/>
      </c>
      <c r="C52" s="29" t="str">
        <f>IF($M52="H",$L52&amp;"건",IF($M52="C","사이트",IF($M52="I",INDEX('완료 체험단'!$C$4:$C$2000,$N52),IF($M52="T",$L52&amp;"건",""))))</f>
        <v/>
      </c>
      <c r="D52" s="30" t="str">
        <f>IF($M52="C","방문일",IF($M52="I",INDEX('완료 체험단'!$D$4:$D$2000,$N52),""))</f>
        <v/>
      </c>
      <c r="E52" s="25" t="str">
        <f>IF($M52="H","제공금액 "&amp;TEXT(INDEX($U$5:$U$16,$J52),"#,##0")&amp;"원",IF($M52="C","제공금액",IF($M52="I",INDEX('완료 체험단'!$F$4:$F$2000,$N52),IF($M52="T",INDEX($U$5:$U$16,$J52),""))))</f>
        <v/>
      </c>
      <c r="F52" s="25" t="str">
        <f>IF($M52="H","결제금액 "&amp;TEXT(INDEX($V$5:$V$16,$J52),"#,##0")&amp;"원",IF($M52="C","결제금액",IF($M52="I",INDEX('완료 체험단'!$G$4:$G$2000,$N52),IF($M52="T",INDEX($V$5:$V$16,$J52),""))))</f>
        <v/>
      </c>
      <c r="G52" s="25" t="str">
        <f>IF($M52="H","실수익 "&amp;TEXT(INDEX($W$5:$W$16,$J52),"#,##0")&amp;"원",IF($M52="C","실수익",IF($M52="I",INDEX('완료 체험단'!$H$4:$H$2000,$N52),IF($M52="T",INDEX($W$5:$W$16,$J52),""))))</f>
        <v/>
      </c>
      <c r="I52" s="31">
        <f>ROWS(I$5:I52)</f>
        <v>48</v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>IF($M52="I",MATCH(SMALL('완료 체험단'!$K$4:$K$2000,INDEX($T$5:$T$16,$J52)+$K52-2),'완료 체험단'!$K$4:$K$2000,0),"")</f>
        <v/>
      </c>
    </row>
    <row r="53" spans="2:14">
      <c r="B53" s="23" t="str">
        <f>IF($M53="H",$J53&amp;"월",IF($M53="C","매장명",IF($M53="I",INDEX('완료 체험단'!$A$4:$A$2000,$N53),IF($M53="T","합계",""))))</f>
        <v/>
      </c>
      <c r="C53" s="29" t="str">
        <f>IF($M53="H",$L53&amp;"건",IF($M53="C","사이트",IF($M53="I",INDEX('완료 체험단'!$C$4:$C$2000,$N53),IF($M53="T",$L53&amp;"건",""))))</f>
        <v/>
      </c>
      <c r="D53" s="30" t="str">
        <f>IF($M53="C","방문일",IF($M53="I",INDEX('완료 체험단'!$D$4:$D$2000,$N53),""))</f>
        <v/>
      </c>
      <c r="E53" s="25" t="str">
        <f>IF($M53="H","제공금액 "&amp;TEXT(INDEX($U$5:$U$16,$J53),"#,##0")&amp;"원",IF($M53="C","제공금액",IF($M53="I",INDEX('완료 체험단'!$F$4:$F$2000,$N53),IF($M53="T",INDEX($U$5:$U$16,$J53),""))))</f>
        <v/>
      </c>
      <c r="F53" s="25" t="str">
        <f>IF($M53="H","결제금액 "&amp;TEXT(INDEX($V$5:$V$16,$J53),"#,##0")&amp;"원",IF($M53="C","결제금액",IF($M53="I",INDEX('완료 체험단'!$G$4:$G$2000,$N53),IF($M53="T",INDEX($V$5:$V$16,$J53),""))))</f>
        <v/>
      </c>
      <c r="G53" s="25" t="str">
        <f>IF($M53="H","실수익 "&amp;TEXT(INDEX($W$5:$W$16,$J53),"#,##0")&amp;"원",IF($M53="C","실수익",IF($M53="I",INDEX('완료 체험단'!$H$4:$H$2000,$N53),IF($M53="T",INDEX($W$5:$W$16,$J53),""))))</f>
        <v/>
      </c>
      <c r="I53" s="31">
        <f>ROWS(I$5:I53)</f>
        <v>49</v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>IF($M53="I",MATCH(SMALL('완료 체험단'!$K$4:$K$2000,INDEX($T$5:$T$16,$J53)+$K53-2),'완료 체험단'!$K$4:$K$2000,0),"")</f>
        <v/>
      </c>
    </row>
    <row r="54" spans="2:14">
      <c r="B54" s="23" t="str">
        <f>IF($M54="H",$J54&amp;"월",IF($M54="C","매장명",IF($M54="I",INDEX('완료 체험단'!$A$4:$A$2000,$N54),IF($M54="T","합계",""))))</f>
        <v/>
      </c>
      <c r="C54" s="29" t="str">
        <f>IF($M54="H",$L54&amp;"건",IF($M54="C","사이트",IF($M54="I",INDEX('완료 체험단'!$C$4:$C$2000,$N54),IF($M54="T",$L54&amp;"건",""))))</f>
        <v/>
      </c>
      <c r="D54" s="30" t="str">
        <f>IF($M54="C","방문일",IF($M54="I",INDEX('완료 체험단'!$D$4:$D$2000,$N54),""))</f>
        <v/>
      </c>
      <c r="E54" s="25" t="str">
        <f>IF($M54="H","제공금액 "&amp;TEXT(INDEX($U$5:$U$16,$J54),"#,##0")&amp;"원",IF($M54="C","제공금액",IF($M54="I",INDEX('완료 체험단'!$F$4:$F$2000,$N54),IF($M54="T",INDEX($U$5:$U$16,$J54),""))))</f>
        <v/>
      </c>
      <c r="F54" s="25" t="str">
        <f>IF($M54="H","결제금액 "&amp;TEXT(INDEX($V$5:$V$16,$J54),"#,##0")&amp;"원",IF($M54="C","결제금액",IF($M54="I",INDEX('완료 체험단'!$G$4:$G$2000,$N54),IF($M54="T",INDEX($V$5:$V$16,$J54),""))))</f>
        <v/>
      </c>
      <c r="G54" s="25" t="str">
        <f>IF($M54="H","실수익 "&amp;TEXT(INDEX($W$5:$W$16,$J54),"#,##0")&amp;"원",IF($M54="C","실수익",IF($M54="I",INDEX('완료 체험단'!$H$4:$H$2000,$N54),IF($M54="T",INDEX($W$5:$W$16,$J54),""))))</f>
        <v/>
      </c>
      <c r="I54" s="31">
        <f>ROWS(I$5:I54)</f>
        <v>50</v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>IF($M54="I",MATCH(SMALL('완료 체험단'!$K$4:$K$2000,INDEX($T$5:$T$16,$J54)+$K54-2),'완료 체험단'!$K$4:$K$2000,0),"")</f>
        <v/>
      </c>
    </row>
    <row r="55" spans="2:14">
      <c r="B55" s="23" t="str">
        <f>IF($M55="H",$J55&amp;"월",IF($M55="C","매장명",IF($M55="I",INDEX('완료 체험단'!$A$4:$A$2000,$N55),IF($M55="T","합계",""))))</f>
        <v/>
      </c>
      <c r="C55" s="29" t="str">
        <f>IF($M55="H",$L55&amp;"건",IF($M55="C","사이트",IF($M55="I",INDEX('완료 체험단'!$C$4:$C$2000,$N55),IF($M55="T",$L55&amp;"건",""))))</f>
        <v/>
      </c>
      <c r="D55" s="30" t="str">
        <f>IF($M55="C","방문일",IF($M55="I",INDEX('완료 체험단'!$D$4:$D$2000,$N55),""))</f>
        <v/>
      </c>
      <c r="E55" s="25" t="str">
        <f>IF($M55="H","제공금액 "&amp;TEXT(INDEX($U$5:$U$16,$J55),"#,##0")&amp;"원",IF($M55="C","제공금액",IF($M55="I",INDEX('완료 체험단'!$F$4:$F$2000,$N55),IF($M55="T",INDEX($U$5:$U$16,$J55),""))))</f>
        <v/>
      </c>
      <c r="F55" s="25" t="str">
        <f>IF($M55="H","결제금액 "&amp;TEXT(INDEX($V$5:$V$16,$J55),"#,##0")&amp;"원",IF($M55="C","결제금액",IF($M55="I",INDEX('완료 체험단'!$G$4:$G$2000,$N55),IF($M55="T",INDEX($V$5:$V$16,$J55),""))))</f>
        <v/>
      </c>
      <c r="G55" s="25" t="str">
        <f>IF($M55="H","실수익 "&amp;TEXT(INDEX($W$5:$W$16,$J55),"#,##0")&amp;"원",IF($M55="C","실수익",IF($M55="I",INDEX('완료 체험단'!$H$4:$H$2000,$N55),IF($M55="T",INDEX($W$5:$W$16,$J55),""))))</f>
        <v/>
      </c>
      <c r="I55" s="31">
        <f>ROWS(I$5:I55)</f>
        <v>51</v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>IF($M55="I",MATCH(SMALL('완료 체험단'!$K$4:$K$2000,INDEX($T$5:$T$16,$J55)+$K55-2),'완료 체험단'!$K$4:$K$2000,0),"")</f>
        <v/>
      </c>
    </row>
    <row r="56" spans="2:14">
      <c r="B56" s="23" t="str">
        <f>IF($M56="H",$J56&amp;"월",IF($M56="C","매장명",IF($M56="I",INDEX('완료 체험단'!$A$4:$A$2000,$N56),IF($M56="T","합계",""))))</f>
        <v/>
      </c>
      <c r="C56" s="29" t="str">
        <f>IF($M56="H",$L56&amp;"건",IF($M56="C","사이트",IF($M56="I",INDEX('완료 체험단'!$C$4:$C$2000,$N56),IF($M56="T",$L56&amp;"건",""))))</f>
        <v/>
      </c>
      <c r="D56" s="30" t="str">
        <f>IF($M56="C","방문일",IF($M56="I",INDEX('완료 체험단'!$D$4:$D$2000,$N56),""))</f>
        <v/>
      </c>
      <c r="E56" s="25" t="str">
        <f>IF($M56="H","제공금액 "&amp;TEXT(INDEX($U$5:$U$16,$J56),"#,##0")&amp;"원",IF($M56="C","제공금액",IF($M56="I",INDEX('완료 체험단'!$F$4:$F$2000,$N56),IF($M56="T",INDEX($U$5:$U$16,$J56),""))))</f>
        <v/>
      </c>
      <c r="F56" s="25" t="str">
        <f>IF($M56="H","결제금액 "&amp;TEXT(INDEX($V$5:$V$16,$J56),"#,##0")&amp;"원",IF($M56="C","결제금액",IF($M56="I",INDEX('완료 체험단'!$G$4:$G$2000,$N56),IF($M56="T",INDEX($V$5:$V$16,$J56),""))))</f>
        <v/>
      </c>
      <c r="G56" s="25" t="str">
        <f>IF($M56="H","실수익 "&amp;TEXT(INDEX($W$5:$W$16,$J56),"#,##0")&amp;"원",IF($M56="C","실수익",IF($M56="I",INDEX('완료 체험단'!$H$4:$H$2000,$N56),IF($M56="T",INDEX($W$5:$W$16,$J56),""))))</f>
        <v/>
      </c>
      <c r="I56" s="31">
        <f>ROWS(I$5:I56)</f>
        <v>52</v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>IF($M56="I",MATCH(SMALL('완료 체험단'!$K$4:$K$2000,INDEX($T$5:$T$16,$J56)+$K56-2),'완료 체험단'!$K$4:$K$2000,0),"")</f>
        <v/>
      </c>
    </row>
    <row r="57" spans="2:14">
      <c r="B57" s="23" t="str">
        <f>IF($M57="H",$J57&amp;"월",IF($M57="C","매장명",IF($M57="I",INDEX('완료 체험단'!$A$4:$A$2000,$N57),IF($M57="T","합계",""))))</f>
        <v/>
      </c>
      <c r="C57" s="29" t="str">
        <f>IF($M57="H",$L57&amp;"건",IF($M57="C","사이트",IF($M57="I",INDEX('완료 체험단'!$C$4:$C$2000,$N57),IF($M57="T",$L57&amp;"건",""))))</f>
        <v/>
      </c>
      <c r="D57" s="30" t="str">
        <f>IF($M57="C","방문일",IF($M57="I",INDEX('완료 체험단'!$D$4:$D$2000,$N57),""))</f>
        <v/>
      </c>
      <c r="E57" s="25" t="str">
        <f>IF($M57="H","제공금액 "&amp;TEXT(INDEX($U$5:$U$16,$J57),"#,##0")&amp;"원",IF($M57="C","제공금액",IF($M57="I",INDEX('완료 체험단'!$F$4:$F$2000,$N57),IF($M57="T",INDEX($U$5:$U$16,$J57),""))))</f>
        <v/>
      </c>
      <c r="F57" s="25" t="str">
        <f>IF($M57="H","결제금액 "&amp;TEXT(INDEX($V$5:$V$16,$J57),"#,##0")&amp;"원",IF($M57="C","결제금액",IF($M57="I",INDEX('완료 체험단'!$G$4:$G$2000,$N57),IF($M57="T",INDEX($V$5:$V$16,$J57),""))))</f>
        <v/>
      </c>
      <c r="G57" s="25" t="str">
        <f>IF($M57="H","실수익 "&amp;TEXT(INDEX($W$5:$W$16,$J57),"#,##0")&amp;"원",IF($M57="C","실수익",IF($M57="I",INDEX('완료 체험단'!$H$4:$H$2000,$N57),IF($M57="T",INDEX($W$5:$W$16,$J57),""))))</f>
        <v/>
      </c>
      <c r="I57" s="31">
        <f>ROWS(I$5:I57)</f>
        <v>53</v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>IF($M57="I",MATCH(SMALL('완료 체험단'!$K$4:$K$2000,INDEX($T$5:$T$16,$J57)+$K57-2),'완료 체험단'!$K$4:$K$2000,0),"")</f>
        <v/>
      </c>
    </row>
    <row r="58" spans="2:14">
      <c r="B58" s="23" t="str">
        <f>IF($M58="H",$J58&amp;"월",IF($M58="C","매장명",IF($M58="I",INDEX('완료 체험단'!$A$4:$A$2000,$N58),IF($M58="T","합계",""))))</f>
        <v/>
      </c>
      <c r="C58" s="29" t="str">
        <f>IF($M58="H",$L58&amp;"건",IF($M58="C","사이트",IF($M58="I",INDEX('완료 체험단'!$C$4:$C$2000,$N58),IF($M58="T",$L58&amp;"건",""))))</f>
        <v/>
      </c>
      <c r="D58" s="30" t="str">
        <f>IF($M58="C","방문일",IF($M58="I",INDEX('완료 체험단'!$D$4:$D$2000,$N58),""))</f>
        <v/>
      </c>
      <c r="E58" s="25" t="str">
        <f>IF($M58="H","제공금액 "&amp;TEXT(INDEX($U$5:$U$16,$J58),"#,##0")&amp;"원",IF($M58="C","제공금액",IF($M58="I",INDEX('완료 체험단'!$F$4:$F$2000,$N58),IF($M58="T",INDEX($U$5:$U$16,$J58),""))))</f>
        <v/>
      </c>
      <c r="F58" s="25" t="str">
        <f>IF($M58="H","결제금액 "&amp;TEXT(INDEX($V$5:$V$16,$J58),"#,##0")&amp;"원",IF($M58="C","결제금액",IF($M58="I",INDEX('완료 체험단'!$G$4:$G$2000,$N58),IF($M58="T",INDEX($V$5:$V$16,$J58),""))))</f>
        <v/>
      </c>
      <c r="G58" s="25" t="str">
        <f>IF($M58="H","실수익 "&amp;TEXT(INDEX($W$5:$W$16,$J58),"#,##0")&amp;"원",IF($M58="C","실수익",IF($M58="I",INDEX('완료 체험단'!$H$4:$H$2000,$N58),IF($M58="T",INDEX($W$5:$W$16,$J58),""))))</f>
        <v/>
      </c>
      <c r="I58" s="31">
        <f>ROWS(I$5:I58)</f>
        <v>54</v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>IF($M58="I",MATCH(SMALL('완료 체험단'!$K$4:$K$2000,INDEX($T$5:$T$16,$J58)+$K58-2),'완료 체험단'!$K$4:$K$2000,0),"")</f>
        <v/>
      </c>
    </row>
    <row r="59" spans="2:14">
      <c r="B59" s="23" t="str">
        <f>IF($M59="H",$J59&amp;"월",IF($M59="C","매장명",IF($M59="I",INDEX('완료 체험단'!$A$4:$A$2000,$N59),IF($M59="T","합계",""))))</f>
        <v/>
      </c>
      <c r="C59" s="29" t="str">
        <f>IF($M59="H",$L59&amp;"건",IF($M59="C","사이트",IF($M59="I",INDEX('완료 체험단'!$C$4:$C$2000,$N59),IF($M59="T",$L59&amp;"건",""))))</f>
        <v/>
      </c>
      <c r="D59" s="30" t="str">
        <f>IF($M59="C","방문일",IF($M59="I",INDEX('완료 체험단'!$D$4:$D$2000,$N59),""))</f>
        <v/>
      </c>
      <c r="E59" s="25" t="str">
        <f>IF($M59="H","제공금액 "&amp;TEXT(INDEX($U$5:$U$16,$J59),"#,##0")&amp;"원",IF($M59="C","제공금액",IF($M59="I",INDEX('완료 체험단'!$F$4:$F$2000,$N59),IF($M59="T",INDEX($U$5:$U$16,$J59),""))))</f>
        <v/>
      </c>
      <c r="F59" s="25" t="str">
        <f>IF($M59="H","결제금액 "&amp;TEXT(INDEX($V$5:$V$16,$J59),"#,##0")&amp;"원",IF($M59="C","결제금액",IF($M59="I",INDEX('완료 체험단'!$G$4:$G$2000,$N59),IF($M59="T",INDEX($V$5:$V$16,$J59),""))))</f>
        <v/>
      </c>
      <c r="G59" s="25" t="str">
        <f>IF($M59="H","실수익 "&amp;TEXT(INDEX($W$5:$W$16,$J59),"#,##0")&amp;"원",IF($M59="C","실수익",IF($M59="I",INDEX('완료 체험단'!$H$4:$H$2000,$N59),IF($M59="T",INDEX($W$5:$W$16,$J59),""))))</f>
        <v/>
      </c>
      <c r="I59" s="31">
        <f>ROWS(I$5:I59)</f>
        <v>55</v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>IF($M59="I",MATCH(SMALL('완료 체험단'!$K$4:$K$2000,INDEX($T$5:$T$16,$J59)+$K59-2),'완료 체험단'!$K$4:$K$2000,0),"")</f>
        <v/>
      </c>
    </row>
    <row r="60" spans="2:14">
      <c r="B60" s="23" t="str">
        <f>IF($M60="H",$J60&amp;"월",IF($M60="C","매장명",IF($M60="I",INDEX('완료 체험단'!$A$4:$A$2000,$N60),IF($M60="T","합계",""))))</f>
        <v/>
      </c>
      <c r="C60" s="29" t="str">
        <f>IF($M60="H",$L60&amp;"건",IF($M60="C","사이트",IF($M60="I",INDEX('완료 체험단'!$C$4:$C$2000,$N60),IF($M60="T",$L60&amp;"건",""))))</f>
        <v/>
      </c>
      <c r="D60" s="30" t="str">
        <f>IF($M60="C","방문일",IF($M60="I",INDEX('완료 체험단'!$D$4:$D$2000,$N60),""))</f>
        <v/>
      </c>
      <c r="E60" s="25" t="str">
        <f>IF($M60="H","제공금액 "&amp;TEXT(INDEX($U$5:$U$16,$J60),"#,##0")&amp;"원",IF($M60="C","제공금액",IF($M60="I",INDEX('완료 체험단'!$F$4:$F$2000,$N60),IF($M60="T",INDEX($U$5:$U$16,$J60),""))))</f>
        <v/>
      </c>
      <c r="F60" s="25" t="str">
        <f>IF($M60="H","결제금액 "&amp;TEXT(INDEX($V$5:$V$16,$J60),"#,##0")&amp;"원",IF($M60="C","결제금액",IF($M60="I",INDEX('완료 체험단'!$G$4:$G$2000,$N60),IF($M60="T",INDEX($V$5:$V$16,$J60),""))))</f>
        <v/>
      </c>
      <c r="G60" s="25" t="str">
        <f>IF($M60="H","실수익 "&amp;TEXT(INDEX($W$5:$W$16,$J60),"#,##0")&amp;"원",IF($M60="C","실수익",IF($M60="I",INDEX('완료 체험단'!$H$4:$H$2000,$N60),IF($M60="T",INDEX($W$5:$W$16,$J60),""))))</f>
        <v/>
      </c>
      <c r="I60" s="31">
        <f>ROWS(I$5:I60)</f>
        <v>56</v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>IF($M60="I",MATCH(SMALL('완료 체험단'!$K$4:$K$2000,INDEX($T$5:$T$16,$J60)+$K60-2),'완료 체험단'!$K$4:$K$2000,0),"")</f>
        <v/>
      </c>
    </row>
    <row r="61" spans="2:14">
      <c r="B61" s="23" t="str">
        <f>IF($M61="H",$J61&amp;"월",IF($M61="C","매장명",IF($M61="I",INDEX('완료 체험단'!$A$4:$A$2000,$N61),IF($M61="T","합계",""))))</f>
        <v/>
      </c>
      <c r="C61" s="29" t="str">
        <f>IF($M61="H",$L61&amp;"건",IF($M61="C","사이트",IF($M61="I",INDEX('완료 체험단'!$C$4:$C$2000,$N61),IF($M61="T",$L61&amp;"건",""))))</f>
        <v/>
      </c>
      <c r="D61" s="30" t="str">
        <f>IF($M61="C","방문일",IF($M61="I",INDEX('완료 체험단'!$D$4:$D$2000,$N61),""))</f>
        <v/>
      </c>
      <c r="E61" s="25" t="str">
        <f>IF($M61="H","제공금액 "&amp;TEXT(INDEX($U$5:$U$16,$J61),"#,##0")&amp;"원",IF($M61="C","제공금액",IF($M61="I",INDEX('완료 체험단'!$F$4:$F$2000,$N61),IF($M61="T",INDEX($U$5:$U$16,$J61),""))))</f>
        <v/>
      </c>
      <c r="F61" s="25" t="str">
        <f>IF($M61="H","결제금액 "&amp;TEXT(INDEX($V$5:$V$16,$J61),"#,##0")&amp;"원",IF($M61="C","결제금액",IF($M61="I",INDEX('완료 체험단'!$G$4:$G$2000,$N61),IF($M61="T",INDEX($V$5:$V$16,$J61),""))))</f>
        <v/>
      </c>
      <c r="G61" s="25" t="str">
        <f>IF($M61="H","실수익 "&amp;TEXT(INDEX($W$5:$W$16,$J61),"#,##0")&amp;"원",IF($M61="C","실수익",IF($M61="I",INDEX('완료 체험단'!$H$4:$H$2000,$N61),IF($M61="T",INDEX($W$5:$W$16,$J61),""))))</f>
        <v/>
      </c>
      <c r="I61" s="31">
        <f>ROWS(I$5:I61)</f>
        <v>57</v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>IF($M61="I",MATCH(SMALL('완료 체험단'!$K$4:$K$2000,INDEX($T$5:$T$16,$J61)+$K61-2),'완료 체험단'!$K$4:$K$2000,0),"")</f>
        <v/>
      </c>
    </row>
    <row r="62" spans="2:14">
      <c r="B62" s="23" t="str">
        <f>IF($M62="H",$J62&amp;"월",IF($M62="C","매장명",IF($M62="I",INDEX('완료 체험단'!$A$4:$A$2000,$N62),IF($M62="T","합계",""))))</f>
        <v/>
      </c>
      <c r="C62" s="29" t="str">
        <f>IF($M62="H",$L62&amp;"건",IF($M62="C","사이트",IF($M62="I",INDEX('완료 체험단'!$C$4:$C$2000,$N62),IF($M62="T",$L62&amp;"건",""))))</f>
        <v/>
      </c>
      <c r="D62" s="30" t="str">
        <f>IF($M62="C","방문일",IF($M62="I",INDEX('완료 체험단'!$D$4:$D$2000,$N62),""))</f>
        <v/>
      </c>
      <c r="E62" s="25" t="str">
        <f>IF($M62="H","제공금액 "&amp;TEXT(INDEX($U$5:$U$16,$J62),"#,##0")&amp;"원",IF($M62="C","제공금액",IF($M62="I",INDEX('완료 체험단'!$F$4:$F$2000,$N62),IF($M62="T",INDEX($U$5:$U$16,$J62),""))))</f>
        <v/>
      </c>
      <c r="F62" s="25" t="str">
        <f>IF($M62="H","결제금액 "&amp;TEXT(INDEX($V$5:$V$16,$J62),"#,##0")&amp;"원",IF($M62="C","결제금액",IF($M62="I",INDEX('완료 체험단'!$G$4:$G$2000,$N62),IF($M62="T",INDEX($V$5:$V$16,$J62),""))))</f>
        <v/>
      </c>
      <c r="G62" s="25" t="str">
        <f>IF($M62="H","실수익 "&amp;TEXT(INDEX($W$5:$W$16,$J62),"#,##0")&amp;"원",IF($M62="C","실수익",IF($M62="I",INDEX('완료 체험단'!$H$4:$H$2000,$N62),IF($M62="T",INDEX($W$5:$W$16,$J62),""))))</f>
        <v/>
      </c>
      <c r="I62" s="31">
        <f>ROWS(I$5:I62)</f>
        <v>58</v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>IF($M62="I",MATCH(SMALL('완료 체험단'!$K$4:$K$2000,INDEX($T$5:$T$16,$J62)+$K62-2),'완료 체험단'!$K$4:$K$2000,0),"")</f>
        <v/>
      </c>
    </row>
    <row r="63" spans="2:14">
      <c r="B63" s="23" t="str">
        <f>IF($M63="H",$J63&amp;"월",IF($M63="C","매장명",IF($M63="I",INDEX('완료 체험단'!$A$4:$A$2000,$N63),IF($M63="T","합계",""))))</f>
        <v/>
      </c>
      <c r="C63" s="29" t="str">
        <f>IF($M63="H",$L63&amp;"건",IF($M63="C","사이트",IF($M63="I",INDEX('완료 체험단'!$C$4:$C$2000,$N63),IF($M63="T",$L63&amp;"건",""))))</f>
        <v/>
      </c>
      <c r="D63" s="30" t="str">
        <f>IF($M63="C","방문일",IF($M63="I",INDEX('완료 체험단'!$D$4:$D$2000,$N63),""))</f>
        <v/>
      </c>
      <c r="E63" s="25" t="str">
        <f>IF($M63="H","제공금액 "&amp;TEXT(INDEX($U$5:$U$16,$J63),"#,##0")&amp;"원",IF($M63="C","제공금액",IF($M63="I",INDEX('완료 체험단'!$F$4:$F$2000,$N63),IF($M63="T",INDEX($U$5:$U$16,$J63),""))))</f>
        <v/>
      </c>
      <c r="F63" s="25" t="str">
        <f>IF($M63="H","결제금액 "&amp;TEXT(INDEX($V$5:$V$16,$J63),"#,##0")&amp;"원",IF($M63="C","결제금액",IF($M63="I",INDEX('완료 체험단'!$G$4:$G$2000,$N63),IF($M63="T",INDEX($V$5:$V$16,$J63),""))))</f>
        <v/>
      </c>
      <c r="G63" s="25" t="str">
        <f>IF($M63="H","실수익 "&amp;TEXT(INDEX($W$5:$W$16,$J63),"#,##0")&amp;"원",IF($M63="C","실수익",IF($M63="I",INDEX('완료 체험단'!$H$4:$H$2000,$N63),IF($M63="T",INDEX($W$5:$W$16,$J63),""))))</f>
        <v/>
      </c>
      <c r="I63" s="31">
        <f>ROWS(I$5:I63)</f>
        <v>59</v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>IF($M63="I",MATCH(SMALL('완료 체험단'!$K$4:$K$2000,INDEX($T$5:$T$16,$J63)+$K63-2),'완료 체험단'!$K$4:$K$2000,0),"")</f>
        <v/>
      </c>
    </row>
    <row r="64" spans="2:14">
      <c r="B64" s="23" t="str">
        <f>IF($M64="H",$J64&amp;"월",IF($M64="C","매장명",IF($M64="I",INDEX('완료 체험단'!$A$4:$A$2000,$N64),IF($M64="T","합계",""))))</f>
        <v/>
      </c>
      <c r="C64" s="29" t="str">
        <f>IF($M64="H",$L64&amp;"건",IF($M64="C","사이트",IF($M64="I",INDEX('완료 체험단'!$C$4:$C$2000,$N64),IF($M64="T",$L64&amp;"건",""))))</f>
        <v/>
      </c>
      <c r="D64" s="30" t="str">
        <f>IF($M64="C","방문일",IF($M64="I",INDEX('완료 체험단'!$D$4:$D$2000,$N64),""))</f>
        <v/>
      </c>
      <c r="E64" s="25" t="str">
        <f>IF($M64="H","제공금액 "&amp;TEXT(INDEX($U$5:$U$16,$J64),"#,##0")&amp;"원",IF($M64="C","제공금액",IF($M64="I",INDEX('완료 체험단'!$F$4:$F$2000,$N64),IF($M64="T",INDEX($U$5:$U$16,$J64),""))))</f>
        <v/>
      </c>
      <c r="F64" s="25" t="str">
        <f>IF($M64="H","결제금액 "&amp;TEXT(INDEX($V$5:$V$16,$J64),"#,##0")&amp;"원",IF($M64="C","결제금액",IF($M64="I",INDEX('완료 체험단'!$G$4:$G$2000,$N64),IF($M64="T",INDEX($V$5:$V$16,$J64),""))))</f>
        <v/>
      </c>
      <c r="G64" s="25" t="str">
        <f>IF($M64="H","실수익 "&amp;TEXT(INDEX($W$5:$W$16,$J64),"#,##0")&amp;"원",IF($M64="C","실수익",IF($M64="I",INDEX('완료 체험단'!$H$4:$H$2000,$N64),IF($M64="T",INDEX($W$5:$W$16,$J64),""))))</f>
        <v/>
      </c>
      <c r="I64" s="31">
        <f>ROWS(I$5:I64)</f>
        <v>60</v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>IF($M64="I",MATCH(SMALL('완료 체험단'!$K$4:$K$2000,INDEX($T$5:$T$16,$J64)+$K64-2),'완료 체험단'!$K$4:$K$2000,0),"")</f>
        <v/>
      </c>
    </row>
    <row r="65" spans="2:14">
      <c r="B65" s="23" t="str">
        <f>IF($M65="H",$J65&amp;"월",IF($M65="C","매장명",IF($M65="I",INDEX('완료 체험단'!$A$4:$A$2000,$N65),IF($M65="T","합계",""))))</f>
        <v/>
      </c>
      <c r="C65" s="29" t="str">
        <f>IF($M65="H",$L65&amp;"건",IF($M65="C","사이트",IF($M65="I",INDEX('완료 체험단'!$C$4:$C$2000,$N65),IF($M65="T",$L65&amp;"건",""))))</f>
        <v/>
      </c>
      <c r="D65" s="30" t="str">
        <f>IF($M65="C","방문일",IF($M65="I",INDEX('완료 체험단'!$D$4:$D$2000,$N65),""))</f>
        <v/>
      </c>
      <c r="E65" s="25" t="str">
        <f>IF($M65="H","제공금액 "&amp;TEXT(INDEX($U$5:$U$16,$J65),"#,##0")&amp;"원",IF($M65="C","제공금액",IF($M65="I",INDEX('완료 체험단'!$F$4:$F$2000,$N65),IF($M65="T",INDEX($U$5:$U$16,$J65),""))))</f>
        <v/>
      </c>
      <c r="F65" s="25" t="str">
        <f>IF($M65="H","결제금액 "&amp;TEXT(INDEX($V$5:$V$16,$J65),"#,##0")&amp;"원",IF($M65="C","결제금액",IF($M65="I",INDEX('완료 체험단'!$G$4:$G$2000,$N65),IF($M65="T",INDEX($V$5:$V$16,$J65),""))))</f>
        <v/>
      </c>
      <c r="G65" s="25" t="str">
        <f>IF($M65="H","실수익 "&amp;TEXT(INDEX($W$5:$W$16,$J65),"#,##0")&amp;"원",IF($M65="C","실수익",IF($M65="I",INDEX('완료 체험단'!$H$4:$H$2000,$N65),IF($M65="T",INDEX($W$5:$W$16,$J65),""))))</f>
        <v/>
      </c>
      <c r="I65" s="31">
        <f>ROWS(I$5:I65)</f>
        <v>61</v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>IF($M65="I",MATCH(SMALL('완료 체험단'!$K$4:$K$2000,INDEX($T$5:$T$16,$J65)+$K65-2),'완료 체험단'!$K$4:$K$2000,0),"")</f>
        <v/>
      </c>
    </row>
    <row r="66" spans="2:14">
      <c r="B66" s="23" t="str">
        <f>IF($M66="H",$J66&amp;"월",IF($M66="C","매장명",IF($M66="I",INDEX('완료 체험단'!$A$4:$A$2000,$N66),IF($M66="T","합계",""))))</f>
        <v/>
      </c>
      <c r="C66" s="29" t="str">
        <f>IF($M66="H",$L66&amp;"건",IF($M66="C","사이트",IF($M66="I",INDEX('완료 체험단'!$C$4:$C$2000,$N66),IF($M66="T",$L66&amp;"건",""))))</f>
        <v/>
      </c>
      <c r="D66" s="30" t="str">
        <f>IF($M66="C","방문일",IF($M66="I",INDEX('완료 체험단'!$D$4:$D$2000,$N66),""))</f>
        <v/>
      </c>
      <c r="E66" s="25" t="str">
        <f>IF($M66="H","제공금액 "&amp;TEXT(INDEX($U$5:$U$16,$J66),"#,##0")&amp;"원",IF($M66="C","제공금액",IF($M66="I",INDEX('완료 체험단'!$F$4:$F$2000,$N66),IF($M66="T",INDEX($U$5:$U$16,$J66),""))))</f>
        <v/>
      </c>
      <c r="F66" s="25" t="str">
        <f>IF($M66="H","결제금액 "&amp;TEXT(INDEX($V$5:$V$16,$J66),"#,##0")&amp;"원",IF($M66="C","결제금액",IF($M66="I",INDEX('완료 체험단'!$G$4:$G$2000,$N66),IF($M66="T",INDEX($V$5:$V$16,$J66),""))))</f>
        <v/>
      </c>
      <c r="G66" s="25" t="str">
        <f>IF($M66="H","실수익 "&amp;TEXT(INDEX($W$5:$W$16,$J66),"#,##0")&amp;"원",IF($M66="C","실수익",IF($M66="I",INDEX('완료 체험단'!$H$4:$H$2000,$N66),IF($M66="T",INDEX($W$5:$W$16,$J66),""))))</f>
        <v/>
      </c>
      <c r="I66" s="31">
        <f>ROWS(I$5:I66)</f>
        <v>62</v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>IF($M66="I",MATCH(SMALL('완료 체험단'!$K$4:$K$2000,INDEX($T$5:$T$16,$J66)+$K66-2),'완료 체험단'!$K$4:$K$2000,0),"")</f>
        <v/>
      </c>
    </row>
    <row r="67" spans="2:14">
      <c r="B67" s="23" t="str">
        <f>IF($M67="H",$J67&amp;"월",IF($M67="C","매장명",IF($M67="I",INDEX('완료 체험단'!$A$4:$A$2000,$N67),IF($M67="T","합계",""))))</f>
        <v/>
      </c>
      <c r="C67" s="29" t="str">
        <f>IF($M67="H",$L67&amp;"건",IF($M67="C","사이트",IF($M67="I",INDEX('완료 체험단'!$C$4:$C$2000,$N67),IF($M67="T",$L67&amp;"건",""))))</f>
        <v/>
      </c>
      <c r="D67" s="30" t="str">
        <f>IF($M67="C","방문일",IF($M67="I",INDEX('완료 체험단'!$D$4:$D$2000,$N67),""))</f>
        <v/>
      </c>
      <c r="E67" s="25" t="str">
        <f>IF($M67="H","제공금액 "&amp;TEXT(INDEX($U$5:$U$16,$J67),"#,##0")&amp;"원",IF($M67="C","제공금액",IF($M67="I",INDEX('완료 체험단'!$F$4:$F$2000,$N67),IF($M67="T",INDEX($U$5:$U$16,$J67),""))))</f>
        <v/>
      </c>
      <c r="F67" s="25" t="str">
        <f>IF($M67="H","결제금액 "&amp;TEXT(INDEX($V$5:$V$16,$J67),"#,##0")&amp;"원",IF($M67="C","결제금액",IF($M67="I",INDEX('완료 체험단'!$G$4:$G$2000,$N67),IF($M67="T",INDEX($V$5:$V$16,$J67),""))))</f>
        <v/>
      </c>
      <c r="G67" s="25" t="str">
        <f>IF($M67="H","실수익 "&amp;TEXT(INDEX($W$5:$W$16,$J67),"#,##0")&amp;"원",IF($M67="C","실수익",IF($M67="I",INDEX('완료 체험단'!$H$4:$H$2000,$N67),IF($M67="T",INDEX($W$5:$W$16,$J67),""))))</f>
        <v/>
      </c>
      <c r="I67" s="31">
        <f>ROWS(I$5:I67)</f>
        <v>63</v>
      </c>
      <c r="J67" t="str">
        <f t="shared" si="0"/>
        <v/>
      </c>
      <c r="K67" t="str">
        <f t="shared" si="1"/>
        <v/>
      </c>
      <c r="L67" t="str">
        <f t="shared" si="2"/>
        <v/>
      </c>
      <c r="M67" t="str">
        <f t="shared" si="3"/>
        <v/>
      </c>
      <c r="N67" t="str">
        <f>IF($M67="I",MATCH(SMALL('완료 체험단'!$K$4:$K$2000,INDEX($T$5:$T$16,$J67)+$K67-2),'완료 체험단'!$K$4:$K$2000,0),"")</f>
        <v/>
      </c>
    </row>
    <row r="68" spans="2:14">
      <c r="B68" s="23" t="str">
        <f>IF($M68="H",$J68&amp;"월",IF($M68="C","매장명",IF($M68="I",INDEX('완료 체험단'!$A$4:$A$2000,$N68),IF($M68="T","합계",""))))</f>
        <v/>
      </c>
      <c r="C68" s="29" t="str">
        <f>IF($M68="H",$L68&amp;"건",IF($M68="C","사이트",IF($M68="I",INDEX('완료 체험단'!$C$4:$C$2000,$N68),IF($M68="T",$L68&amp;"건",""))))</f>
        <v/>
      </c>
      <c r="D68" s="30" t="str">
        <f>IF($M68="C","방문일",IF($M68="I",INDEX('완료 체험단'!$D$4:$D$2000,$N68),""))</f>
        <v/>
      </c>
      <c r="E68" s="25" t="str">
        <f>IF($M68="H","제공금액 "&amp;TEXT(INDEX($U$5:$U$16,$J68),"#,##0")&amp;"원",IF($M68="C","제공금액",IF($M68="I",INDEX('완료 체험단'!$F$4:$F$2000,$N68),IF($M68="T",INDEX($U$5:$U$16,$J68),""))))</f>
        <v/>
      </c>
      <c r="F68" s="25" t="str">
        <f>IF($M68="H","결제금액 "&amp;TEXT(INDEX($V$5:$V$16,$J68),"#,##0")&amp;"원",IF($M68="C","결제금액",IF($M68="I",INDEX('완료 체험단'!$G$4:$G$2000,$N68),IF($M68="T",INDEX($V$5:$V$16,$J68),""))))</f>
        <v/>
      </c>
      <c r="G68" s="25" t="str">
        <f>IF($M68="H","실수익 "&amp;TEXT(INDEX($W$5:$W$16,$J68),"#,##0")&amp;"원",IF($M68="C","실수익",IF($M68="I",INDEX('완료 체험단'!$H$4:$H$2000,$N68),IF($M68="T",INDEX($W$5:$W$16,$J68),""))))</f>
        <v/>
      </c>
      <c r="I68" s="31">
        <f>ROWS(I$5:I68)</f>
        <v>64</v>
      </c>
      <c r="J68" t="str">
        <f t="shared" si="0"/>
        <v/>
      </c>
      <c r="K68" t="str">
        <f t="shared" si="1"/>
        <v/>
      </c>
      <c r="L68" t="str">
        <f t="shared" si="2"/>
        <v/>
      </c>
      <c r="M68" t="str">
        <f t="shared" si="3"/>
        <v/>
      </c>
      <c r="N68" t="str">
        <f>IF($M68="I",MATCH(SMALL('완료 체험단'!$K$4:$K$2000,INDEX($T$5:$T$16,$J68)+$K68-2),'완료 체험단'!$K$4:$K$2000,0),"")</f>
        <v/>
      </c>
    </row>
    <row r="69" spans="2:14">
      <c r="B69" s="23" t="str">
        <f>IF($M69="H",$J69&amp;"월",IF($M69="C","매장명",IF($M69="I",INDEX('완료 체험단'!$A$4:$A$2000,$N69),IF($M69="T","합계",""))))</f>
        <v/>
      </c>
      <c r="C69" s="29" t="str">
        <f>IF($M69="H",$L69&amp;"건",IF($M69="C","사이트",IF($M69="I",INDEX('완료 체험단'!$C$4:$C$2000,$N69),IF($M69="T",$L69&amp;"건",""))))</f>
        <v/>
      </c>
      <c r="D69" s="30" t="str">
        <f>IF($M69="C","방문일",IF($M69="I",INDEX('완료 체험단'!$D$4:$D$2000,$N69),""))</f>
        <v/>
      </c>
      <c r="E69" s="25" t="str">
        <f>IF($M69="H","제공금액 "&amp;TEXT(INDEX($U$5:$U$16,$J69),"#,##0")&amp;"원",IF($M69="C","제공금액",IF($M69="I",INDEX('완료 체험단'!$F$4:$F$2000,$N69),IF($M69="T",INDEX($U$5:$U$16,$J69),""))))</f>
        <v/>
      </c>
      <c r="F69" s="25" t="str">
        <f>IF($M69="H","결제금액 "&amp;TEXT(INDEX($V$5:$V$16,$J69),"#,##0")&amp;"원",IF($M69="C","결제금액",IF($M69="I",INDEX('완료 체험단'!$G$4:$G$2000,$N69),IF($M69="T",INDEX($V$5:$V$16,$J69),""))))</f>
        <v/>
      </c>
      <c r="G69" s="25" t="str">
        <f>IF($M69="H","실수익 "&amp;TEXT(INDEX($W$5:$W$16,$J69),"#,##0")&amp;"원",IF($M69="C","실수익",IF($M69="I",INDEX('완료 체험단'!$H$4:$H$2000,$N69),IF($M69="T",INDEX($W$5:$W$16,$J69),""))))</f>
        <v/>
      </c>
      <c r="I69" s="31">
        <f>ROWS(I$5:I69)</f>
        <v>65</v>
      </c>
      <c r="J69" t="str">
        <f t="shared" ref="J69:J132" si="7">IF($I69&gt;$S$17,"",MATCH($I69-1,$S$5:$S$16,1))</f>
        <v/>
      </c>
      <c r="K69" t="str">
        <f t="shared" ref="K69:K132" si="8">IF($J69="","",$I69-INDEX($S$5:$S$16,$J69))</f>
        <v/>
      </c>
      <c r="L69" t="str">
        <f t="shared" ref="L69:L132" si="9">IF($J69="","",INDEX($Q$5:$Q$16,$J69))</f>
        <v/>
      </c>
      <c r="M69" t="str">
        <f t="shared" ref="M69:M132" si="10">IF($J69="","",IF($K69=1,"H",IF($L69=0,"S",IF($K69=2,"C",IF($K69&lt;=$L69+2,"I",IF($K69=$L69+3,"T","S"))))))</f>
        <v/>
      </c>
      <c r="N69" t="str">
        <f>IF($M69="I",MATCH(SMALL('완료 체험단'!$K$4:$K$2000,INDEX($T$5:$T$16,$J69)+$K69-2),'완료 체험단'!$K$4:$K$2000,0),"")</f>
        <v/>
      </c>
    </row>
    <row r="70" spans="2:14">
      <c r="B70" s="23" t="str">
        <f>IF($M70="H",$J70&amp;"월",IF($M70="C","매장명",IF($M70="I",INDEX('완료 체험단'!$A$4:$A$2000,$N70),IF($M70="T","합계",""))))</f>
        <v/>
      </c>
      <c r="C70" s="29" t="str">
        <f>IF($M70="H",$L70&amp;"건",IF($M70="C","사이트",IF($M70="I",INDEX('완료 체험단'!$C$4:$C$2000,$N70),IF($M70="T",$L70&amp;"건",""))))</f>
        <v/>
      </c>
      <c r="D70" s="30" t="str">
        <f>IF($M70="C","방문일",IF($M70="I",INDEX('완료 체험단'!$D$4:$D$2000,$N70),""))</f>
        <v/>
      </c>
      <c r="E70" s="25" t="str">
        <f>IF($M70="H","제공금액 "&amp;TEXT(INDEX($U$5:$U$16,$J70),"#,##0")&amp;"원",IF($M70="C","제공금액",IF($M70="I",INDEX('완료 체험단'!$F$4:$F$2000,$N70),IF($M70="T",INDEX($U$5:$U$16,$J70),""))))</f>
        <v/>
      </c>
      <c r="F70" s="25" t="str">
        <f>IF($M70="H","결제금액 "&amp;TEXT(INDEX($V$5:$V$16,$J70),"#,##0")&amp;"원",IF($M70="C","결제금액",IF($M70="I",INDEX('완료 체험단'!$G$4:$G$2000,$N70),IF($M70="T",INDEX($V$5:$V$16,$J70),""))))</f>
        <v/>
      </c>
      <c r="G70" s="25" t="str">
        <f>IF($M70="H","실수익 "&amp;TEXT(INDEX($W$5:$W$16,$J70),"#,##0")&amp;"원",IF($M70="C","실수익",IF($M70="I",INDEX('완료 체험단'!$H$4:$H$2000,$N70),IF($M70="T",INDEX($W$5:$W$16,$J70),""))))</f>
        <v/>
      </c>
      <c r="I70" s="31">
        <f>ROWS(I$5:I70)</f>
        <v>66</v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>IF($M70="I",MATCH(SMALL('완료 체험단'!$K$4:$K$2000,INDEX($T$5:$T$16,$J70)+$K70-2),'완료 체험단'!$K$4:$K$2000,0),"")</f>
        <v/>
      </c>
    </row>
    <row r="71" spans="2:14">
      <c r="B71" s="23" t="str">
        <f>IF($M71="H",$J71&amp;"월",IF($M71="C","매장명",IF($M71="I",INDEX('완료 체험단'!$A$4:$A$2000,$N71),IF($M71="T","합계",""))))</f>
        <v/>
      </c>
      <c r="C71" s="29" t="str">
        <f>IF($M71="H",$L71&amp;"건",IF($M71="C","사이트",IF($M71="I",INDEX('완료 체험단'!$C$4:$C$2000,$N71),IF($M71="T",$L71&amp;"건",""))))</f>
        <v/>
      </c>
      <c r="D71" s="30" t="str">
        <f>IF($M71="C","방문일",IF($M71="I",INDEX('완료 체험단'!$D$4:$D$2000,$N71),""))</f>
        <v/>
      </c>
      <c r="E71" s="25" t="str">
        <f>IF($M71="H","제공금액 "&amp;TEXT(INDEX($U$5:$U$16,$J71),"#,##0")&amp;"원",IF($M71="C","제공금액",IF($M71="I",INDEX('완료 체험단'!$F$4:$F$2000,$N71),IF($M71="T",INDEX($U$5:$U$16,$J71),""))))</f>
        <v/>
      </c>
      <c r="F71" s="25" t="str">
        <f>IF($M71="H","결제금액 "&amp;TEXT(INDEX($V$5:$V$16,$J71),"#,##0")&amp;"원",IF($M71="C","결제금액",IF($M71="I",INDEX('완료 체험단'!$G$4:$G$2000,$N71),IF($M71="T",INDEX($V$5:$V$16,$J71),""))))</f>
        <v/>
      </c>
      <c r="G71" s="25" t="str">
        <f>IF($M71="H","실수익 "&amp;TEXT(INDEX($W$5:$W$16,$J71),"#,##0")&amp;"원",IF($M71="C","실수익",IF($M71="I",INDEX('완료 체험단'!$H$4:$H$2000,$N71),IF($M71="T",INDEX($W$5:$W$16,$J71),""))))</f>
        <v/>
      </c>
      <c r="I71" s="31">
        <f>ROWS(I$5:I71)</f>
        <v>67</v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>IF($M71="I",MATCH(SMALL('완료 체험단'!$K$4:$K$2000,INDEX($T$5:$T$16,$J71)+$K71-2),'완료 체험단'!$K$4:$K$2000,0),"")</f>
        <v/>
      </c>
    </row>
    <row r="72" spans="2:14">
      <c r="B72" s="23" t="str">
        <f>IF($M72="H",$J72&amp;"월",IF($M72="C","매장명",IF($M72="I",INDEX('완료 체험단'!$A$4:$A$2000,$N72),IF($M72="T","합계",""))))</f>
        <v/>
      </c>
      <c r="C72" s="29" t="str">
        <f>IF($M72="H",$L72&amp;"건",IF($M72="C","사이트",IF($M72="I",INDEX('완료 체험단'!$C$4:$C$2000,$N72),IF($M72="T",$L72&amp;"건",""))))</f>
        <v/>
      </c>
      <c r="D72" s="30" t="str">
        <f>IF($M72="C","방문일",IF($M72="I",INDEX('완료 체험단'!$D$4:$D$2000,$N72),""))</f>
        <v/>
      </c>
      <c r="E72" s="25" t="str">
        <f>IF($M72="H","제공금액 "&amp;TEXT(INDEX($U$5:$U$16,$J72),"#,##0")&amp;"원",IF($M72="C","제공금액",IF($M72="I",INDEX('완료 체험단'!$F$4:$F$2000,$N72),IF($M72="T",INDEX($U$5:$U$16,$J72),""))))</f>
        <v/>
      </c>
      <c r="F72" s="25" t="str">
        <f>IF($M72="H","결제금액 "&amp;TEXT(INDEX($V$5:$V$16,$J72),"#,##0")&amp;"원",IF($M72="C","결제금액",IF($M72="I",INDEX('완료 체험단'!$G$4:$G$2000,$N72),IF($M72="T",INDEX($V$5:$V$16,$J72),""))))</f>
        <v/>
      </c>
      <c r="G72" s="25" t="str">
        <f>IF($M72="H","실수익 "&amp;TEXT(INDEX($W$5:$W$16,$J72),"#,##0")&amp;"원",IF($M72="C","실수익",IF($M72="I",INDEX('완료 체험단'!$H$4:$H$2000,$N72),IF($M72="T",INDEX($W$5:$W$16,$J72),""))))</f>
        <v/>
      </c>
      <c r="I72" s="31">
        <f>ROWS(I$5:I72)</f>
        <v>68</v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>IF($M72="I",MATCH(SMALL('완료 체험단'!$K$4:$K$2000,INDEX($T$5:$T$16,$J72)+$K72-2),'완료 체험단'!$K$4:$K$2000,0),"")</f>
        <v/>
      </c>
    </row>
    <row r="73" spans="2:14">
      <c r="B73" s="23" t="str">
        <f>IF($M73="H",$J73&amp;"월",IF($M73="C","매장명",IF($M73="I",INDEX('완료 체험단'!$A$4:$A$2000,$N73),IF($M73="T","합계",""))))</f>
        <v/>
      </c>
      <c r="C73" s="29" t="str">
        <f>IF($M73="H",$L73&amp;"건",IF($M73="C","사이트",IF($M73="I",INDEX('완료 체험단'!$C$4:$C$2000,$N73),IF($M73="T",$L73&amp;"건",""))))</f>
        <v/>
      </c>
      <c r="D73" s="30" t="str">
        <f>IF($M73="C","방문일",IF($M73="I",INDEX('완료 체험단'!$D$4:$D$2000,$N73),""))</f>
        <v/>
      </c>
      <c r="E73" s="25" t="str">
        <f>IF($M73="H","제공금액 "&amp;TEXT(INDEX($U$5:$U$16,$J73),"#,##0")&amp;"원",IF($M73="C","제공금액",IF($M73="I",INDEX('완료 체험단'!$F$4:$F$2000,$N73),IF($M73="T",INDEX($U$5:$U$16,$J73),""))))</f>
        <v/>
      </c>
      <c r="F73" s="25" t="str">
        <f>IF($M73="H","결제금액 "&amp;TEXT(INDEX($V$5:$V$16,$J73),"#,##0")&amp;"원",IF($M73="C","결제금액",IF($M73="I",INDEX('완료 체험단'!$G$4:$G$2000,$N73),IF($M73="T",INDEX($V$5:$V$16,$J73),""))))</f>
        <v/>
      </c>
      <c r="G73" s="25" t="str">
        <f>IF($M73="H","실수익 "&amp;TEXT(INDEX($W$5:$W$16,$J73),"#,##0")&amp;"원",IF($M73="C","실수익",IF($M73="I",INDEX('완료 체험단'!$H$4:$H$2000,$N73),IF($M73="T",INDEX($W$5:$W$16,$J73),""))))</f>
        <v/>
      </c>
      <c r="I73" s="31">
        <f>ROWS(I$5:I73)</f>
        <v>69</v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>IF($M73="I",MATCH(SMALL('완료 체험단'!$K$4:$K$2000,INDEX($T$5:$T$16,$J73)+$K73-2),'완료 체험단'!$K$4:$K$2000,0),"")</f>
        <v/>
      </c>
    </row>
    <row r="74" spans="2:14">
      <c r="B74" s="23" t="str">
        <f>IF($M74="H",$J74&amp;"월",IF($M74="C","매장명",IF($M74="I",INDEX('완료 체험단'!$A$4:$A$2000,$N74),IF($M74="T","합계",""))))</f>
        <v/>
      </c>
      <c r="C74" s="29" t="str">
        <f>IF($M74="H",$L74&amp;"건",IF($M74="C","사이트",IF($M74="I",INDEX('완료 체험단'!$C$4:$C$2000,$N74),IF($M74="T",$L74&amp;"건",""))))</f>
        <v/>
      </c>
      <c r="D74" s="30" t="str">
        <f>IF($M74="C","방문일",IF($M74="I",INDEX('완료 체험단'!$D$4:$D$2000,$N74),""))</f>
        <v/>
      </c>
      <c r="E74" s="25" t="str">
        <f>IF($M74="H","제공금액 "&amp;TEXT(INDEX($U$5:$U$16,$J74),"#,##0")&amp;"원",IF($M74="C","제공금액",IF($M74="I",INDEX('완료 체험단'!$F$4:$F$2000,$N74),IF($M74="T",INDEX($U$5:$U$16,$J74),""))))</f>
        <v/>
      </c>
      <c r="F74" s="25" t="str">
        <f>IF($M74="H","결제금액 "&amp;TEXT(INDEX($V$5:$V$16,$J74),"#,##0")&amp;"원",IF($M74="C","결제금액",IF($M74="I",INDEX('완료 체험단'!$G$4:$G$2000,$N74),IF($M74="T",INDEX($V$5:$V$16,$J74),""))))</f>
        <v/>
      </c>
      <c r="G74" s="25" t="str">
        <f>IF($M74="H","실수익 "&amp;TEXT(INDEX($W$5:$W$16,$J74),"#,##0")&amp;"원",IF($M74="C","실수익",IF($M74="I",INDEX('완료 체험단'!$H$4:$H$2000,$N74),IF($M74="T",INDEX($W$5:$W$16,$J74),""))))</f>
        <v/>
      </c>
      <c r="I74" s="31">
        <f>ROWS(I$5:I74)</f>
        <v>70</v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>IF($M74="I",MATCH(SMALL('완료 체험단'!$K$4:$K$2000,INDEX($T$5:$T$16,$J74)+$K74-2),'완료 체험단'!$K$4:$K$2000,0),"")</f>
        <v/>
      </c>
    </row>
    <row r="75" spans="2:14">
      <c r="B75" s="23" t="str">
        <f>IF($M75="H",$J75&amp;"월",IF($M75="C","매장명",IF($M75="I",INDEX('완료 체험단'!$A$4:$A$2000,$N75),IF($M75="T","합계",""))))</f>
        <v/>
      </c>
      <c r="C75" s="29" t="str">
        <f>IF($M75="H",$L75&amp;"건",IF($M75="C","사이트",IF($M75="I",INDEX('완료 체험단'!$C$4:$C$2000,$N75),IF($M75="T",$L75&amp;"건",""))))</f>
        <v/>
      </c>
      <c r="D75" s="30" t="str">
        <f>IF($M75="C","방문일",IF($M75="I",INDEX('완료 체험단'!$D$4:$D$2000,$N75),""))</f>
        <v/>
      </c>
      <c r="E75" s="25" t="str">
        <f>IF($M75="H","제공금액 "&amp;TEXT(INDEX($U$5:$U$16,$J75),"#,##0")&amp;"원",IF($M75="C","제공금액",IF($M75="I",INDEX('완료 체험단'!$F$4:$F$2000,$N75),IF($M75="T",INDEX($U$5:$U$16,$J75),""))))</f>
        <v/>
      </c>
      <c r="F75" s="25" t="str">
        <f>IF($M75="H","결제금액 "&amp;TEXT(INDEX($V$5:$V$16,$J75),"#,##0")&amp;"원",IF($M75="C","결제금액",IF($M75="I",INDEX('완료 체험단'!$G$4:$G$2000,$N75),IF($M75="T",INDEX($V$5:$V$16,$J75),""))))</f>
        <v/>
      </c>
      <c r="G75" s="25" t="str">
        <f>IF($M75="H","실수익 "&amp;TEXT(INDEX($W$5:$W$16,$J75),"#,##0")&amp;"원",IF($M75="C","실수익",IF($M75="I",INDEX('완료 체험단'!$H$4:$H$2000,$N75),IF($M75="T",INDEX($W$5:$W$16,$J75),""))))</f>
        <v/>
      </c>
      <c r="I75" s="31">
        <f>ROWS(I$5:I75)</f>
        <v>71</v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>IF($M75="I",MATCH(SMALL('완료 체험단'!$K$4:$K$2000,INDEX($T$5:$T$16,$J75)+$K75-2),'완료 체험단'!$K$4:$K$2000,0),"")</f>
        <v/>
      </c>
    </row>
    <row r="76" spans="2:14">
      <c r="B76" s="23" t="str">
        <f>IF($M76="H",$J76&amp;"월",IF($M76="C","매장명",IF($M76="I",INDEX('완료 체험단'!$A$4:$A$2000,$N76),IF($M76="T","합계",""))))</f>
        <v/>
      </c>
      <c r="C76" s="29" t="str">
        <f>IF($M76="H",$L76&amp;"건",IF($M76="C","사이트",IF($M76="I",INDEX('완료 체험단'!$C$4:$C$2000,$N76),IF($M76="T",$L76&amp;"건",""))))</f>
        <v/>
      </c>
      <c r="D76" s="30" t="str">
        <f>IF($M76="C","방문일",IF($M76="I",INDEX('완료 체험단'!$D$4:$D$2000,$N76),""))</f>
        <v/>
      </c>
      <c r="E76" s="25" t="str">
        <f>IF($M76="H","제공금액 "&amp;TEXT(INDEX($U$5:$U$16,$J76),"#,##0")&amp;"원",IF($M76="C","제공금액",IF($M76="I",INDEX('완료 체험단'!$F$4:$F$2000,$N76),IF($M76="T",INDEX($U$5:$U$16,$J76),""))))</f>
        <v/>
      </c>
      <c r="F76" s="25" t="str">
        <f>IF($M76="H","결제금액 "&amp;TEXT(INDEX($V$5:$V$16,$J76),"#,##0")&amp;"원",IF($M76="C","결제금액",IF($M76="I",INDEX('완료 체험단'!$G$4:$G$2000,$N76),IF($M76="T",INDEX($V$5:$V$16,$J76),""))))</f>
        <v/>
      </c>
      <c r="G76" s="25" t="str">
        <f>IF($M76="H","실수익 "&amp;TEXT(INDEX($W$5:$W$16,$J76),"#,##0")&amp;"원",IF($M76="C","실수익",IF($M76="I",INDEX('완료 체험단'!$H$4:$H$2000,$N76),IF($M76="T",INDEX($W$5:$W$16,$J76),""))))</f>
        <v/>
      </c>
      <c r="I76" s="31">
        <f>ROWS(I$5:I76)</f>
        <v>72</v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>IF($M76="I",MATCH(SMALL('완료 체험단'!$K$4:$K$2000,INDEX($T$5:$T$16,$J76)+$K76-2),'완료 체험단'!$K$4:$K$2000,0),"")</f>
        <v/>
      </c>
    </row>
    <row r="77" spans="2:14">
      <c r="B77" s="23" t="str">
        <f>IF($M77="H",$J77&amp;"월",IF($M77="C","매장명",IF($M77="I",INDEX('완료 체험단'!$A$4:$A$2000,$N77),IF($M77="T","합계",""))))</f>
        <v/>
      </c>
      <c r="C77" s="29" t="str">
        <f>IF($M77="H",$L77&amp;"건",IF($M77="C","사이트",IF($M77="I",INDEX('완료 체험단'!$C$4:$C$2000,$N77),IF($M77="T",$L77&amp;"건",""))))</f>
        <v/>
      </c>
      <c r="D77" s="30" t="str">
        <f>IF($M77="C","방문일",IF($M77="I",INDEX('완료 체험단'!$D$4:$D$2000,$N77),""))</f>
        <v/>
      </c>
      <c r="E77" s="25" t="str">
        <f>IF($M77="H","제공금액 "&amp;TEXT(INDEX($U$5:$U$16,$J77),"#,##0")&amp;"원",IF($M77="C","제공금액",IF($M77="I",INDEX('완료 체험단'!$F$4:$F$2000,$N77),IF($M77="T",INDEX($U$5:$U$16,$J77),""))))</f>
        <v/>
      </c>
      <c r="F77" s="25" t="str">
        <f>IF($M77="H","결제금액 "&amp;TEXT(INDEX($V$5:$V$16,$J77),"#,##0")&amp;"원",IF($M77="C","결제금액",IF($M77="I",INDEX('완료 체험단'!$G$4:$G$2000,$N77),IF($M77="T",INDEX($V$5:$V$16,$J77),""))))</f>
        <v/>
      </c>
      <c r="G77" s="25" t="str">
        <f>IF($M77="H","실수익 "&amp;TEXT(INDEX($W$5:$W$16,$J77),"#,##0")&amp;"원",IF($M77="C","실수익",IF($M77="I",INDEX('완료 체험단'!$H$4:$H$2000,$N77),IF($M77="T",INDEX($W$5:$W$16,$J77),""))))</f>
        <v/>
      </c>
      <c r="I77" s="31">
        <f>ROWS(I$5:I77)</f>
        <v>73</v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>IF($M77="I",MATCH(SMALL('완료 체험단'!$K$4:$K$2000,INDEX($T$5:$T$16,$J77)+$K77-2),'완료 체험단'!$K$4:$K$2000,0),"")</f>
        <v/>
      </c>
    </row>
    <row r="78" spans="2:14">
      <c r="B78" s="23" t="str">
        <f>IF($M78="H",$J78&amp;"월",IF($M78="C","매장명",IF($M78="I",INDEX('완료 체험단'!$A$4:$A$2000,$N78),IF($M78="T","합계",""))))</f>
        <v/>
      </c>
      <c r="C78" s="29" t="str">
        <f>IF($M78="H",$L78&amp;"건",IF($M78="C","사이트",IF($M78="I",INDEX('완료 체험단'!$C$4:$C$2000,$N78),IF($M78="T",$L78&amp;"건",""))))</f>
        <v/>
      </c>
      <c r="D78" s="30" t="str">
        <f>IF($M78="C","방문일",IF($M78="I",INDEX('완료 체험단'!$D$4:$D$2000,$N78),""))</f>
        <v/>
      </c>
      <c r="E78" s="25" t="str">
        <f>IF($M78="H","제공금액 "&amp;TEXT(INDEX($U$5:$U$16,$J78),"#,##0")&amp;"원",IF($M78="C","제공금액",IF($M78="I",INDEX('완료 체험단'!$F$4:$F$2000,$N78),IF($M78="T",INDEX($U$5:$U$16,$J78),""))))</f>
        <v/>
      </c>
      <c r="F78" s="25" t="str">
        <f>IF($M78="H","결제금액 "&amp;TEXT(INDEX($V$5:$V$16,$J78),"#,##0")&amp;"원",IF($M78="C","결제금액",IF($M78="I",INDEX('완료 체험단'!$G$4:$G$2000,$N78),IF($M78="T",INDEX($V$5:$V$16,$J78),""))))</f>
        <v/>
      </c>
      <c r="G78" s="25" t="str">
        <f>IF($M78="H","실수익 "&amp;TEXT(INDEX($W$5:$W$16,$J78),"#,##0")&amp;"원",IF($M78="C","실수익",IF($M78="I",INDEX('완료 체험단'!$H$4:$H$2000,$N78),IF($M78="T",INDEX($W$5:$W$16,$J78),""))))</f>
        <v/>
      </c>
      <c r="I78" s="31">
        <f>ROWS(I$5:I78)</f>
        <v>74</v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>IF($M78="I",MATCH(SMALL('완료 체험단'!$K$4:$K$2000,INDEX($T$5:$T$16,$J78)+$K78-2),'완료 체험단'!$K$4:$K$2000,0),"")</f>
        <v/>
      </c>
    </row>
    <row r="79" spans="2:14">
      <c r="B79" s="23" t="str">
        <f>IF($M79="H",$J79&amp;"월",IF($M79="C","매장명",IF($M79="I",INDEX('완료 체험단'!$A$4:$A$2000,$N79),IF($M79="T","합계",""))))</f>
        <v/>
      </c>
      <c r="C79" s="29" t="str">
        <f>IF($M79="H",$L79&amp;"건",IF($M79="C","사이트",IF($M79="I",INDEX('완료 체험단'!$C$4:$C$2000,$N79),IF($M79="T",$L79&amp;"건",""))))</f>
        <v/>
      </c>
      <c r="D79" s="30" t="str">
        <f>IF($M79="C","방문일",IF($M79="I",INDEX('완료 체험단'!$D$4:$D$2000,$N79),""))</f>
        <v/>
      </c>
      <c r="E79" s="25" t="str">
        <f>IF($M79="H","제공금액 "&amp;TEXT(INDEX($U$5:$U$16,$J79),"#,##0")&amp;"원",IF($M79="C","제공금액",IF($M79="I",INDEX('완료 체험단'!$F$4:$F$2000,$N79),IF($M79="T",INDEX($U$5:$U$16,$J79),""))))</f>
        <v/>
      </c>
      <c r="F79" s="25" t="str">
        <f>IF($M79="H","결제금액 "&amp;TEXT(INDEX($V$5:$V$16,$J79),"#,##0")&amp;"원",IF($M79="C","결제금액",IF($M79="I",INDEX('완료 체험단'!$G$4:$G$2000,$N79),IF($M79="T",INDEX($V$5:$V$16,$J79),""))))</f>
        <v/>
      </c>
      <c r="G79" s="25" t="str">
        <f>IF($M79="H","실수익 "&amp;TEXT(INDEX($W$5:$W$16,$J79),"#,##0")&amp;"원",IF($M79="C","실수익",IF($M79="I",INDEX('완료 체험단'!$H$4:$H$2000,$N79),IF($M79="T",INDEX($W$5:$W$16,$J79),""))))</f>
        <v/>
      </c>
      <c r="I79" s="31">
        <f>ROWS(I$5:I79)</f>
        <v>75</v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>IF($M79="I",MATCH(SMALL('완료 체험단'!$K$4:$K$2000,INDEX($T$5:$T$16,$J79)+$K79-2),'완료 체험단'!$K$4:$K$2000,0),"")</f>
        <v/>
      </c>
    </row>
    <row r="80" spans="2:14">
      <c r="B80" s="23" t="str">
        <f>IF($M80="H",$J80&amp;"월",IF($M80="C","매장명",IF($M80="I",INDEX('완료 체험단'!$A$4:$A$2000,$N80),IF($M80="T","합계",""))))</f>
        <v/>
      </c>
      <c r="C80" s="29" t="str">
        <f>IF($M80="H",$L80&amp;"건",IF($M80="C","사이트",IF($M80="I",INDEX('완료 체험단'!$C$4:$C$2000,$N80),IF($M80="T",$L80&amp;"건",""))))</f>
        <v/>
      </c>
      <c r="D80" s="30" t="str">
        <f>IF($M80="C","방문일",IF($M80="I",INDEX('완료 체험단'!$D$4:$D$2000,$N80),""))</f>
        <v/>
      </c>
      <c r="E80" s="25" t="str">
        <f>IF($M80="H","제공금액 "&amp;TEXT(INDEX($U$5:$U$16,$J80),"#,##0")&amp;"원",IF($M80="C","제공금액",IF($M80="I",INDEX('완료 체험단'!$F$4:$F$2000,$N80),IF($M80="T",INDEX($U$5:$U$16,$J80),""))))</f>
        <v/>
      </c>
      <c r="F80" s="25" t="str">
        <f>IF($M80="H","결제금액 "&amp;TEXT(INDEX($V$5:$V$16,$J80),"#,##0")&amp;"원",IF($M80="C","결제금액",IF($M80="I",INDEX('완료 체험단'!$G$4:$G$2000,$N80),IF($M80="T",INDEX($V$5:$V$16,$J80),""))))</f>
        <v/>
      </c>
      <c r="G80" s="25" t="str">
        <f>IF($M80="H","실수익 "&amp;TEXT(INDEX($W$5:$W$16,$J80),"#,##0")&amp;"원",IF($M80="C","실수익",IF($M80="I",INDEX('완료 체험단'!$H$4:$H$2000,$N80),IF($M80="T",INDEX($W$5:$W$16,$J80),""))))</f>
        <v/>
      </c>
      <c r="I80" s="31">
        <f>ROWS(I$5:I80)</f>
        <v>76</v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>IF($M80="I",MATCH(SMALL('완료 체험단'!$K$4:$K$2000,INDEX($T$5:$T$16,$J80)+$K80-2),'완료 체험단'!$K$4:$K$2000,0),"")</f>
        <v/>
      </c>
    </row>
    <row r="81" spans="2:14">
      <c r="B81" s="23" t="str">
        <f>IF($M81="H",$J81&amp;"월",IF($M81="C","매장명",IF($M81="I",INDEX('완료 체험단'!$A$4:$A$2000,$N81),IF($M81="T","합계",""))))</f>
        <v/>
      </c>
      <c r="C81" s="29" t="str">
        <f>IF($M81="H",$L81&amp;"건",IF($M81="C","사이트",IF($M81="I",INDEX('완료 체험단'!$C$4:$C$2000,$N81),IF($M81="T",$L81&amp;"건",""))))</f>
        <v/>
      </c>
      <c r="D81" s="30" t="str">
        <f>IF($M81="C","방문일",IF($M81="I",INDEX('완료 체험단'!$D$4:$D$2000,$N81),""))</f>
        <v/>
      </c>
      <c r="E81" s="25" t="str">
        <f>IF($M81="H","제공금액 "&amp;TEXT(INDEX($U$5:$U$16,$J81),"#,##0")&amp;"원",IF($M81="C","제공금액",IF($M81="I",INDEX('완료 체험단'!$F$4:$F$2000,$N81),IF($M81="T",INDEX($U$5:$U$16,$J81),""))))</f>
        <v/>
      </c>
      <c r="F81" s="25" t="str">
        <f>IF($M81="H","결제금액 "&amp;TEXT(INDEX($V$5:$V$16,$J81),"#,##0")&amp;"원",IF($M81="C","결제금액",IF($M81="I",INDEX('완료 체험단'!$G$4:$G$2000,$N81),IF($M81="T",INDEX($V$5:$V$16,$J81),""))))</f>
        <v/>
      </c>
      <c r="G81" s="25" t="str">
        <f>IF($M81="H","실수익 "&amp;TEXT(INDEX($W$5:$W$16,$J81),"#,##0")&amp;"원",IF($M81="C","실수익",IF($M81="I",INDEX('완료 체험단'!$H$4:$H$2000,$N81),IF($M81="T",INDEX($W$5:$W$16,$J81),""))))</f>
        <v/>
      </c>
      <c r="I81" s="31">
        <f>ROWS(I$5:I81)</f>
        <v>77</v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>IF($M81="I",MATCH(SMALL('완료 체험단'!$K$4:$K$2000,INDEX($T$5:$T$16,$J81)+$K81-2),'완료 체험단'!$K$4:$K$2000,0),"")</f>
        <v/>
      </c>
    </row>
    <row r="82" spans="2:14">
      <c r="B82" s="23" t="str">
        <f>IF($M82="H",$J82&amp;"월",IF($M82="C","매장명",IF($M82="I",INDEX('완료 체험단'!$A$4:$A$2000,$N82),IF($M82="T","합계",""))))</f>
        <v/>
      </c>
      <c r="C82" s="29" t="str">
        <f>IF($M82="H",$L82&amp;"건",IF($M82="C","사이트",IF($M82="I",INDEX('완료 체험단'!$C$4:$C$2000,$N82),IF($M82="T",$L82&amp;"건",""))))</f>
        <v/>
      </c>
      <c r="D82" s="30" t="str">
        <f>IF($M82="C","방문일",IF($M82="I",INDEX('완료 체험단'!$D$4:$D$2000,$N82),""))</f>
        <v/>
      </c>
      <c r="E82" s="25" t="str">
        <f>IF($M82="H","제공금액 "&amp;TEXT(INDEX($U$5:$U$16,$J82),"#,##0")&amp;"원",IF($M82="C","제공금액",IF($M82="I",INDEX('완료 체험단'!$F$4:$F$2000,$N82),IF($M82="T",INDEX($U$5:$U$16,$J82),""))))</f>
        <v/>
      </c>
      <c r="F82" s="25" t="str">
        <f>IF($M82="H","결제금액 "&amp;TEXT(INDEX($V$5:$V$16,$J82),"#,##0")&amp;"원",IF($M82="C","결제금액",IF($M82="I",INDEX('완료 체험단'!$G$4:$G$2000,$N82),IF($M82="T",INDEX($V$5:$V$16,$J82),""))))</f>
        <v/>
      </c>
      <c r="G82" s="25" t="str">
        <f>IF($M82="H","실수익 "&amp;TEXT(INDEX($W$5:$W$16,$J82),"#,##0")&amp;"원",IF($M82="C","실수익",IF($M82="I",INDEX('완료 체험단'!$H$4:$H$2000,$N82),IF($M82="T",INDEX($W$5:$W$16,$J82),""))))</f>
        <v/>
      </c>
      <c r="I82" s="31">
        <f>ROWS(I$5:I82)</f>
        <v>78</v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>IF($M82="I",MATCH(SMALL('완료 체험단'!$K$4:$K$2000,INDEX($T$5:$T$16,$J82)+$K82-2),'완료 체험단'!$K$4:$K$2000,0),"")</f>
        <v/>
      </c>
    </row>
    <row r="83" spans="2:14">
      <c r="B83" s="23" t="str">
        <f>IF($M83="H",$J83&amp;"월",IF($M83="C","매장명",IF($M83="I",INDEX('완료 체험단'!$A$4:$A$2000,$N83),IF($M83="T","합계",""))))</f>
        <v/>
      </c>
      <c r="C83" s="29" t="str">
        <f>IF($M83="H",$L83&amp;"건",IF($M83="C","사이트",IF($M83="I",INDEX('완료 체험단'!$C$4:$C$2000,$N83),IF($M83="T",$L83&amp;"건",""))))</f>
        <v/>
      </c>
      <c r="D83" s="30" t="str">
        <f>IF($M83="C","방문일",IF($M83="I",INDEX('완료 체험단'!$D$4:$D$2000,$N83),""))</f>
        <v/>
      </c>
      <c r="E83" s="25" t="str">
        <f>IF($M83="H","제공금액 "&amp;TEXT(INDEX($U$5:$U$16,$J83),"#,##0")&amp;"원",IF($M83="C","제공금액",IF($M83="I",INDEX('완료 체험단'!$F$4:$F$2000,$N83),IF($M83="T",INDEX($U$5:$U$16,$J83),""))))</f>
        <v/>
      </c>
      <c r="F83" s="25" t="str">
        <f>IF($M83="H","결제금액 "&amp;TEXT(INDEX($V$5:$V$16,$J83),"#,##0")&amp;"원",IF($M83="C","결제금액",IF($M83="I",INDEX('완료 체험단'!$G$4:$G$2000,$N83),IF($M83="T",INDEX($V$5:$V$16,$J83),""))))</f>
        <v/>
      </c>
      <c r="G83" s="25" t="str">
        <f>IF($M83="H","실수익 "&amp;TEXT(INDEX($W$5:$W$16,$J83),"#,##0")&amp;"원",IF($M83="C","실수익",IF($M83="I",INDEX('완료 체험단'!$H$4:$H$2000,$N83),IF($M83="T",INDEX($W$5:$W$16,$J83),""))))</f>
        <v/>
      </c>
      <c r="I83" s="31">
        <f>ROWS(I$5:I83)</f>
        <v>79</v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>IF($M83="I",MATCH(SMALL('완료 체험단'!$K$4:$K$2000,INDEX($T$5:$T$16,$J83)+$K83-2),'완료 체험단'!$K$4:$K$2000,0),"")</f>
        <v/>
      </c>
    </row>
    <row r="84" spans="2:14">
      <c r="B84" s="23" t="str">
        <f>IF($M84="H",$J84&amp;"월",IF($M84="C","매장명",IF($M84="I",INDEX('완료 체험단'!$A$4:$A$2000,$N84),IF($M84="T","합계",""))))</f>
        <v/>
      </c>
      <c r="C84" s="29" t="str">
        <f>IF($M84="H",$L84&amp;"건",IF($M84="C","사이트",IF($M84="I",INDEX('완료 체험단'!$C$4:$C$2000,$N84),IF($M84="T",$L84&amp;"건",""))))</f>
        <v/>
      </c>
      <c r="D84" s="30" t="str">
        <f>IF($M84="C","방문일",IF($M84="I",INDEX('완료 체험단'!$D$4:$D$2000,$N84),""))</f>
        <v/>
      </c>
      <c r="E84" s="25" t="str">
        <f>IF($M84="H","제공금액 "&amp;TEXT(INDEX($U$5:$U$16,$J84),"#,##0")&amp;"원",IF($M84="C","제공금액",IF($M84="I",INDEX('완료 체험단'!$F$4:$F$2000,$N84),IF($M84="T",INDEX($U$5:$U$16,$J84),""))))</f>
        <v/>
      </c>
      <c r="F84" s="25" t="str">
        <f>IF($M84="H","결제금액 "&amp;TEXT(INDEX($V$5:$V$16,$J84),"#,##0")&amp;"원",IF($M84="C","결제금액",IF($M84="I",INDEX('완료 체험단'!$G$4:$G$2000,$N84),IF($M84="T",INDEX($V$5:$V$16,$J84),""))))</f>
        <v/>
      </c>
      <c r="G84" s="25" t="str">
        <f>IF($M84="H","실수익 "&amp;TEXT(INDEX($W$5:$W$16,$J84),"#,##0")&amp;"원",IF($M84="C","실수익",IF($M84="I",INDEX('완료 체험단'!$H$4:$H$2000,$N84),IF($M84="T",INDEX($W$5:$W$16,$J84),""))))</f>
        <v/>
      </c>
      <c r="I84" s="31">
        <f>ROWS(I$5:I84)</f>
        <v>80</v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>IF($M84="I",MATCH(SMALL('완료 체험단'!$K$4:$K$2000,INDEX($T$5:$T$16,$J84)+$K84-2),'완료 체험단'!$K$4:$K$2000,0),"")</f>
        <v/>
      </c>
    </row>
    <row r="85" spans="2:14">
      <c r="B85" s="23" t="str">
        <f>IF($M85="H",$J85&amp;"월",IF($M85="C","매장명",IF($M85="I",INDEX('완료 체험단'!$A$4:$A$2000,$N85),IF($M85="T","합계",""))))</f>
        <v/>
      </c>
      <c r="C85" s="29" t="str">
        <f>IF($M85="H",$L85&amp;"건",IF($M85="C","사이트",IF($M85="I",INDEX('완료 체험단'!$C$4:$C$2000,$N85),IF($M85="T",$L85&amp;"건",""))))</f>
        <v/>
      </c>
      <c r="D85" s="30" t="str">
        <f>IF($M85="C","방문일",IF($M85="I",INDEX('완료 체험단'!$D$4:$D$2000,$N85),""))</f>
        <v/>
      </c>
      <c r="E85" s="25" t="str">
        <f>IF($M85="H","제공금액 "&amp;TEXT(INDEX($U$5:$U$16,$J85),"#,##0")&amp;"원",IF($M85="C","제공금액",IF($M85="I",INDEX('완료 체험단'!$F$4:$F$2000,$N85),IF($M85="T",INDEX($U$5:$U$16,$J85),""))))</f>
        <v/>
      </c>
      <c r="F85" s="25" t="str">
        <f>IF($M85="H","결제금액 "&amp;TEXT(INDEX($V$5:$V$16,$J85),"#,##0")&amp;"원",IF($M85="C","결제금액",IF($M85="I",INDEX('완료 체험단'!$G$4:$G$2000,$N85),IF($M85="T",INDEX($V$5:$V$16,$J85),""))))</f>
        <v/>
      </c>
      <c r="G85" s="25" t="str">
        <f>IF($M85="H","실수익 "&amp;TEXT(INDEX($W$5:$W$16,$J85),"#,##0")&amp;"원",IF($M85="C","실수익",IF($M85="I",INDEX('완료 체험단'!$H$4:$H$2000,$N85),IF($M85="T",INDEX($W$5:$W$16,$J85),""))))</f>
        <v/>
      </c>
      <c r="I85" s="31">
        <f>ROWS(I$5:I85)</f>
        <v>81</v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>IF($M85="I",MATCH(SMALL('완료 체험단'!$K$4:$K$2000,INDEX($T$5:$T$16,$J85)+$K85-2),'완료 체험단'!$K$4:$K$2000,0),"")</f>
        <v/>
      </c>
    </row>
    <row r="86" spans="2:14">
      <c r="B86" s="23" t="str">
        <f>IF($M86="H",$J86&amp;"월",IF($M86="C","매장명",IF($M86="I",INDEX('완료 체험단'!$A$4:$A$2000,$N86),IF($M86="T","합계",""))))</f>
        <v/>
      </c>
      <c r="C86" s="29" t="str">
        <f>IF($M86="H",$L86&amp;"건",IF($M86="C","사이트",IF($M86="I",INDEX('완료 체험단'!$C$4:$C$2000,$N86),IF($M86="T",$L86&amp;"건",""))))</f>
        <v/>
      </c>
      <c r="D86" s="30" t="str">
        <f>IF($M86="C","방문일",IF($M86="I",INDEX('완료 체험단'!$D$4:$D$2000,$N86),""))</f>
        <v/>
      </c>
      <c r="E86" s="25" t="str">
        <f>IF($M86="H","제공금액 "&amp;TEXT(INDEX($U$5:$U$16,$J86),"#,##0")&amp;"원",IF($M86="C","제공금액",IF($M86="I",INDEX('완료 체험단'!$F$4:$F$2000,$N86),IF($M86="T",INDEX($U$5:$U$16,$J86),""))))</f>
        <v/>
      </c>
      <c r="F86" s="25" t="str">
        <f>IF($M86="H","결제금액 "&amp;TEXT(INDEX($V$5:$V$16,$J86),"#,##0")&amp;"원",IF($M86="C","결제금액",IF($M86="I",INDEX('완료 체험단'!$G$4:$G$2000,$N86),IF($M86="T",INDEX($V$5:$V$16,$J86),""))))</f>
        <v/>
      </c>
      <c r="G86" s="25" t="str">
        <f>IF($M86="H","실수익 "&amp;TEXT(INDEX($W$5:$W$16,$J86),"#,##0")&amp;"원",IF($M86="C","실수익",IF($M86="I",INDEX('완료 체험단'!$H$4:$H$2000,$N86),IF($M86="T",INDEX($W$5:$W$16,$J86),""))))</f>
        <v/>
      </c>
      <c r="I86" s="31">
        <f>ROWS(I$5:I86)</f>
        <v>82</v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>IF($M86="I",MATCH(SMALL('완료 체험단'!$K$4:$K$2000,INDEX($T$5:$T$16,$J86)+$K86-2),'완료 체험단'!$K$4:$K$2000,0),"")</f>
        <v/>
      </c>
    </row>
    <row r="87" spans="2:14">
      <c r="B87" s="23" t="str">
        <f>IF($M87="H",$J87&amp;"월",IF($M87="C","매장명",IF($M87="I",INDEX('완료 체험단'!$A$4:$A$2000,$N87),IF($M87="T","합계",""))))</f>
        <v/>
      </c>
      <c r="C87" s="29" t="str">
        <f>IF($M87="H",$L87&amp;"건",IF($M87="C","사이트",IF($M87="I",INDEX('완료 체험단'!$C$4:$C$2000,$N87),IF($M87="T",$L87&amp;"건",""))))</f>
        <v/>
      </c>
      <c r="D87" s="30" t="str">
        <f>IF($M87="C","방문일",IF($M87="I",INDEX('완료 체험단'!$D$4:$D$2000,$N87),""))</f>
        <v/>
      </c>
      <c r="E87" s="25" t="str">
        <f>IF($M87="H","제공금액 "&amp;TEXT(INDEX($U$5:$U$16,$J87),"#,##0")&amp;"원",IF($M87="C","제공금액",IF($M87="I",INDEX('완료 체험단'!$F$4:$F$2000,$N87),IF($M87="T",INDEX($U$5:$U$16,$J87),""))))</f>
        <v/>
      </c>
      <c r="F87" s="25" t="str">
        <f>IF($M87="H","결제금액 "&amp;TEXT(INDEX($V$5:$V$16,$J87),"#,##0")&amp;"원",IF($M87="C","결제금액",IF($M87="I",INDEX('완료 체험단'!$G$4:$G$2000,$N87),IF($M87="T",INDEX($V$5:$V$16,$J87),""))))</f>
        <v/>
      </c>
      <c r="G87" s="25" t="str">
        <f>IF($M87="H","실수익 "&amp;TEXT(INDEX($W$5:$W$16,$J87),"#,##0")&amp;"원",IF($M87="C","실수익",IF($M87="I",INDEX('완료 체험단'!$H$4:$H$2000,$N87),IF($M87="T",INDEX($W$5:$W$16,$J87),""))))</f>
        <v/>
      </c>
      <c r="I87" s="31">
        <f>ROWS(I$5:I87)</f>
        <v>83</v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>IF($M87="I",MATCH(SMALL('완료 체험단'!$K$4:$K$2000,INDEX($T$5:$T$16,$J87)+$K87-2),'완료 체험단'!$K$4:$K$2000,0),"")</f>
        <v/>
      </c>
    </row>
    <row r="88" spans="2:14">
      <c r="B88" s="23" t="str">
        <f>IF($M88="H",$J88&amp;"월",IF($M88="C","매장명",IF($M88="I",INDEX('완료 체험단'!$A$4:$A$2000,$N88),IF($M88="T","합계",""))))</f>
        <v/>
      </c>
      <c r="C88" s="29" t="str">
        <f>IF($M88="H",$L88&amp;"건",IF($M88="C","사이트",IF($M88="I",INDEX('완료 체험단'!$C$4:$C$2000,$N88),IF($M88="T",$L88&amp;"건",""))))</f>
        <v/>
      </c>
      <c r="D88" s="30" t="str">
        <f>IF($M88="C","방문일",IF($M88="I",INDEX('완료 체험단'!$D$4:$D$2000,$N88),""))</f>
        <v/>
      </c>
      <c r="E88" s="25" t="str">
        <f>IF($M88="H","제공금액 "&amp;TEXT(INDEX($U$5:$U$16,$J88),"#,##0")&amp;"원",IF($M88="C","제공금액",IF($M88="I",INDEX('완료 체험단'!$F$4:$F$2000,$N88),IF($M88="T",INDEX($U$5:$U$16,$J88),""))))</f>
        <v/>
      </c>
      <c r="F88" s="25" t="str">
        <f>IF($M88="H","결제금액 "&amp;TEXT(INDEX($V$5:$V$16,$J88),"#,##0")&amp;"원",IF($M88="C","결제금액",IF($M88="I",INDEX('완료 체험단'!$G$4:$G$2000,$N88),IF($M88="T",INDEX($V$5:$V$16,$J88),""))))</f>
        <v/>
      </c>
      <c r="G88" s="25" t="str">
        <f>IF($M88="H","실수익 "&amp;TEXT(INDEX($W$5:$W$16,$J88),"#,##0")&amp;"원",IF($M88="C","실수익",IF($M88="I",INDEX('완료 체험단'!$H$4:$H$2000,$N88),IF($M88="T",INDEX($W$5:$W$16,$J88),""))))</f>
        <v/>
      </c>
      <c r="I88" s="31">
        <f>ROWS(I$5:I88)</f>
        <v>84</v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>IF($M88="I",MATCH(SMALL('완료 체험단'!$K$4:$K$2000,INDEX($T$5:$T$16,$J88)+$K88-2),'완료 체험단'!$K$4:$K$2000,0),"")</f>
        <v/>
      </c>
    </row>
    <row r="89" spans="2:14">
      <c r="B89" s="23" t="str">
        <f>IF($M89="H",$J89&amp;"월",IF($M89="C","매장명",IF($M89="I",INDEX('완료 체험단'!$A$4:$A$2000,$N89),IF($M89="T","합계",""))))</f>
        <v/>
      </c>
      <c r="C89" s="29" t="str">
        <f>IF($M89="H",$L89&amp;"건",IF($M89="C","사이트",IF($M89="I",INDEX('완료 체험단'!$C$4:$C$2000,$N89),IF($M89="T",$L89&amp;"건",""))))</f>
        <v/>
      </c>
      <c r="D89" s="30" t="str">
        <f>IF($M89="C","방문일",IF($M89="I",INDEX('완료 체험단'!$D$4:$D$2000,$N89),""))</f>
        <v/>
      </c>
      <c r="E89" s="25" t="str">
        <f>IF($M89="H","제공금액 "&amp;TEXT(INDEX($U$5:$U$16,$J89),"#,##0")&amp;"원",IF($M89="C","제공금액",IF($M89="I",INDEX('완료 체험단'!$F$4:$F$2000,$N89),IF($M89="T",INDEX($U$5:$U$16,$J89),""))))</f>
        <v/>
      </c>
      <c r="F89" s="25" t="str">
        <f>IF($M89="H","결제금액 "&amp;TEXT(INDEX($V$5:$V$16,$J89),"#,##0")&amp;"원",IF($M89="C","결제금액",IF($M89="I",INDEX('완료 체험단'!$G$4:$G$2000,$N89),IF($M89="T",INDEX($V$5:$V$16,$J89),""))))</f>
        <v/>
      </c>
      <c r="G89" s="25" t="str">
        <f>IF($M89="H","실수익 "&amp;TEXT(INDEX($W$5:$W$16,$J89),"#,##0")&amp;"원",IF($M89="C","실수익",IF($M89="I",INDEX('완료 체험단'!$H$4:$H$2000,$N89),IF($M89="T",INDEX($W$5:$W$16,$J89),""))))</f>
        <v/>
      </c>
      <c r="I89" s="31">
        <f>ROWS(I$5:I89)</f>
        <v>85</v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>IF($M89="I",MATCH(SMALL('완료 체험단'!$K$4:$K$2000,INDEX($T$5:$T$16,$J89)+$K89-2),'완료 체험단'!$K$4:$K$2000,0),"")</f>
        <v/>
      </c>
    </row>
    <row r="90" spans="2:14">
      <c r="B90" s="23" t="str">
        <f>IF($M90="H",$J90&amp;"월",IF($M90="C","매장명",IF($M90="I",INDEX('완료 체험단'!$A$4:$A$2000,$N90),IF($M90="T","합계",""))))</f>
        <v/>
      </c>
      <c r="C90" s="29" t="str">
        <f>IF($M90="H",$L90&amp;"건",IF($M90="C","사이트",IF($M90="I",INDEX('완료 체험단'!$C$4:$C$2000,$N90),IF($M90="T",$L90&amp;"건",""))))</f>
        <v/>
      </c>
      <c r="D90" s="30" t="str">
        <f>IF($M90="C","방문일",IF($M90="I",INDEX('완료 체험단'!$D$4:$D$2000,$N90),""))</f>
        <v/>
      </c>
      <c r="E90" s="25" t="str">
        <f>IF($M90="H","제공금액 "&amp;TEXT(INDEX($U$5:$U$16,$J90),"#,##0")&amp;"원",IF($M90="C","제공금액",IF($M90="I",INDEX('완료 체험단'!$F$4:$F$2000,$N90),IF($M90="T",INDEX($U$5:$U$16,$J90),""))))</f>
        <v/>
      </c>
      <c r="F90" s="25" t="str">
        <f>IF($M90="H","결제금액 "&amp;TEXT(INDEX($V$5:$V$16,$J90),"#,##0")&amp;"원",IF($M90="C","결제금액",IF($M90="I",INDEX('완료 체험단'!$G$4:$G$2000,$N90),IF($M90="T",INDEX($V$5:$V$16,$J90),""))))</f>
        <v/>
      </c>
      <c r="G90" s="25" t="str">
        <f>IF($M90="H","실수익 "&amp;TEXT(INDEX($W$5:$W$16,$J90),"#,##0")&amp;"원",IF($M90="C","실수익",IF($M90="I",INDEX('완료 체험단'!$H$4:$H$2000,$N90),IF($M90="T",INDEX($W$5:$W$16,$J90),""))))</f>
        <v/>
      </c>
      <c r="I90" s="31">
        <f>ROWS(I$5:I90)</f>
        <v>86</v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>IF($M90="I",MATCH(SMALL('완료 체험단'!$K$4:$K$2000,INDEX($T$5:$T$16,$J90)+$K90-2),'완료 체험단'!$K$4:$K$2000,0),"")</f>
        <v/>
      </c>
    </row>
    <row r="91" spans="2:14">
      <c r="B91" s="23" t="str">
        <f>IF($M91="H",$J91&amp;"월",IF($M91="C","매장명",IF($M91="I",INDEX('완료 체험단'!$A$4:$A$2000,$N91),IF($M91="T","합계",""))))</f>
        <v/>
      </c>
      <c r="C91" s="29" t="str">
        <f>IF($M91="H",$L91&amp;"건",IF($M91="C","사이트",IF($M91="I",INDEX('완료 체험단'!$C$4:$C$2000,$N91),IF($M91="T",$L91&amp;"건",""))))</f>
        <v/>
      </c>
      <c r="D91" s="30" t="str">
        <f>IF($M91="C","방문일",IF($M91="I",INDEX('완료 체험단'!$D$4:$D$2000,$N91),""))</f>
        <v/>
      </c>
      <c r="E91" s="25" t="str">
        <f>IF($M91="H","제공금액 "&amp;TEXT(INDEX($U$5:$U$16,$J91),"#,##0")&amp;"원",IF($M91="C","제공금액",IF($M91="I",INDEX('완료 체험단'!$F$4:$F$2000,$N91),IF($M91="T",INDEX($U$5:$U$16,$J91),""))))</f>
        <v/>
      </c>
      <c r="F91" s="25" t="str">
        <f>IF($M91="H","결제금액 "&amp;TEXT(INDEX($V$5:$V$16,$J91),"#,##0")&amp;"원",IF($M91="C","결제금액",IF($M91="I",INDEX('완료 체험단'!$G$4:$G$2000,$N91),IF($M91="T",INDEX($V$5:$V$16,$J91),""))))</f>
        <v/>
      </c>
      <c r="G91" s="25" t="str">
        <f>IF($M91="H","실수익 "&amp;TEXT(INDEX($W$5:$W$16,$J91),"#,##0")&amp;"원",IF($M91="C","실수익",IF($M91="I",INDEX('완료 체험단'!$H$4:$H$2000,$N91),IF($M91="T",INDEX($W$5:$W$16,$J91),""))))</f>
        <v/>
      </c>
      <c r="I91" s="31">
        <f>ROWS(I$5:I91)</f>
        <v>87</v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>IF($M91="I",MATCH(SMALL('완료 체험단'!$K$4:$K$2000,INDEX($T$5:$T$16,$J91)+$K91-2),'완료 체험단'!$K$4:$K$2000,0),"")</f>
        <v/>
      </c>
    </row>
    <row r="92" spans="2:14">
      <c r="B92" s="23" t="str">
        <f>IF($M92="H",$J92&amp;"월",IF($M92="C","매장명",IF($M92="I",INDEX('완료 체험단'!$A$4:$A$2000,$N92),IF($M92="T","합계",""))))</f>
        <v/>
      </c>
      <c r="C92" s="29" t="str">
        <f>IF($M92="H",$L92&amp;"건",IF($M92="C","사이트",IF($M92="I",INDEX('완료 체험단'!$C$4:$C$2000,$N92),IF($M92="T",$L92&amp;"건",""))))</f>
        <v/>
      </c>
      <c r="D92" s="30" t="str">
        <f>IF($M92="C","방문일",IF($M92="I",INDEX('완료 체험단'!$D$4:$D$2000,$N92),""))</f>
        <v/>
      </c>
      <c r="E92" s="25" t="str">
        <f>IF($M92="H","제공금액 "&amp;TEXT(INDEX($U$5:$U$16,$J92),"#,##0")&amp;"원",IF($M92="C","제공금액",IF($M92="I",INDEX('완료 체험단'!$F$4:$F$2000,$N92),IF($M92="T",INDEX($U$5:$U$16,$J92),""))))</f>
        <v/>
      </c>
      <c r="F92" s="25" t="str">
        <f>IF($M92="H","결제금액 "&amp;TEXT(INDEX($V$5:$V$16,$J92),"#,##0")&amp;"원",IF($M92="C","결제금액",IF($M92="I",INDEX('완료 체험단'!$G$4:$G$2000,$N92),IF($M92="T",INDEX($V$5:$V$16,$J92),""))))</f>
        <v/>
      </c>
      <c r="G92" s="25" t="str">
        <f>IF($M92="H","실수익 "&amp;TEXT(INDEX($W$5:$W$16,$J92),"#,##0")&amp;"원",IF($M92="C","실수익",IF($M92="I",INDEX('완료 체험단'!$H$4:$H$2000,$N92),IF($M92="T",INDEX($W$5:$W$16,$J92),""))))</f>
        <v/>
      </c>
      <c r="I92" s="31">
        <f>ROWS(I$5:I92)</f>
        <v>88</v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>IF($M92="I",MATCH(SMALL('완료 체험단'!$K$4:$K$2000,INDEX($T$5:$T$16,$J92)+$K92-2),'완료 체험단'!$K$4:$K$2000,0),"")</f>
        <v/>
      </c>
    </row>
    <row r="93" spans="2:14">
      <c r="B93" s="23" t="str">
        <f>IF($M93="H",$J93&amp;"월",IF($M93="C","매장명",IF($M93="I",INDEX('완료 체험단'!$A$4:$A$2000,$N93),IF($M93="T","합계",""))))</f>
        <v/>
      </c>
      <c r="C93" s="29" t="str">
        <f>IF($M93="H",$L93&amp;"건",IF($M93="C","사이트",IF($M93="I",INDEX('완료 체험단'!$C$4:$C$2000,$N93),IF($M93="T",$L93&amp;"건",""))))</f>
        <v/>
      </c>
      <c r="D93" s="30" t="str">
        <f>IF($M93="C","방문일",IF($M93="I",INDEX('완료 체험단'!$D$4:$D$2000,$N93),""))</f>
        <v/>
      </c>
      <c r="E93" s="25" t="str">
        <f>IF($M93="H","제공금액 "&amp;TEXT(INDEX($U$5:$U$16,$J93),"#,##0")&amp;"원",IF($M93="C","제공금액",IF($M93="I",INDEX('완료 체험단'!$F$4:$F$2000,$N93),IF($M93="T",INDEX($U$5:$U$16,$J93),""))))</f>
        <v/>
      </c>
      <c r="F93" s="25" t="str">
        <f>IF($M93="H","결제금액 "&amp;TEXT(INDEX($V$5:$V$16,$J93),"#,##0")&amp;"원",IF($M93="C","결제금액",IF($M93="I",INDEX('완료 체험단'!$G$4:$G$2000,$N93),IF($M93="T",INDEX($V$5:$V$16,$J93),""))))</f>
        <v/>
      </c>
      <c r="G93" s="25" t="str">
        <f>IF($M93="H","실수익 "&amp;TEXT(INDEX($W$5:$W$16,$J93),"#,##0")&amp;"원",IF($M93="C","실수익",IF($M93="I",INDEX('완료 체험단'!$H$4:$H$2000,$N93),IF($M93="T",INDEX($W$5:$W$16,$J93),""))))</f>
        <v/>
      </c>
      <c r="I93" s="31">
        <f>ROWS(I$5:I93)</f>
        <v>89</v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>IF($M93="I",MATCH(SMALL('완료 체험단'!$K$4:$K$2000,INDEX($T$5:$T$16,$J93)+$K93-2),'완료 체험단'!$K$4:$K$2000,0),"")</f>
        <v/>
      </c>
    </row>
    <row r="94" spans="2:14">
      <c r="B94" s="23" t="str">
        <f>IF($M94="H",$J94&amp;"월",IF($M94="C","매장명",IF($M94="I",INDEX('완료 체험단'!$A$4:$A$2000,$N94),IF($M94="T","합계",""))))</f>
        <v/>
      </c>
      <c r="C94" s="29" t="str">
        <f>IF($M94="H",$L94&amp;"건",IF($M94="C","사이트",IF($M94="I",INDEX('완료 체험단'!$C$4:$C$2000,$N94),IF($M94="T",$L94&amp;"건",""))))</f>
        <v/>
      </c>
      <c r="D94" s="30" t="str">
        <f>IF($M94="C","방문일",IF($M94="I",INDEX('완료 체험단'!$D$4:$D$2000,$N94),""))</f>
        <v/>
      </c>
      <c r="E94" s="25" t="str">
        <f>IF($M94="H","제공금액 "&amp;TEXT(INDEX($U$5:$U$16,$J94),"#,##0")&amp;"원",IF($M94="C","제공금액",IF($M94="I",INDEX('완료 체험단'!$F$4:$F$2000,$N94),IF($M94="T",INDEX($U$5:$U$16,$J94),""))))</f>
        <v/>
      </c>
      <c r="F94" s="25" t="str">
        <f>IF($M94="H","결제금액 "&amp;TEXT(INDEX($V$5:$V$16,$J94),"#,##0")&amp;"원",IF($M94="C","결제금액",IF($M94="I",INDEX('완료 체험단'!$G$4:$G$2000,$N94),IF($M94="T",INDEX($V$5:$V$16,$J94),""))))</f>
        <v/>
      </c>
      <c r="G94" s="25" t="str">
        <f>IF($M94="H","실수익 "&amp;TEXT(INDEX($W$5:$W$16,$J94),"#,##0")&amp;"원",IF($M94="C","실수익",IF($M94="I",INDEX('완료 체험단'!$H$4:$H$2000,$N94),IF($M94="T",INDEX($W$5:$W$16,$J94),""))))</f>
        <v/>
      </c>
      <c r="I94" s="31">
        <f>ROWS(I$5:I94)</f>
        <v>90</v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>IF($M94="I",MATCH(SMALL('완료 체험단'!$K$4:$K$2000,INDEX($T$5:$T$16,$J94)+$K94-2),'완료 체험단'!$K$4:$K$2000,0),"")</f>
        <v/>
      </c>
    </row>
    <row r="95" spans="2:14">
      <c r="B95" s="23" t="str">
        <f>IF($M95="H",$J95&amp;"월",IF($M95="C","매장명",IF($M95="I",INDEX('완료 체험단'!$A$4:$A$2000,$N95),IF($M95="T","합계",""))))</f>
        <v/>
      </c>
      <c r="C95" s="29" t="str">
        <f>IF($M95="H",$L95&amp;"건",IF($M95="C","사이트",IF($M95="I",INDEX('완료 체험단'!$C$4:$C$2000,$N95),IF($M95="T",$L95&amp;"건",""))))</f>
        <v/>
      </c>
      <c r="D95" s="30" t="str">
        <f>IF($M95="C","방문일",IF($M95="I",INDEX('완료 체험단'!$D$4:$D$2000,$N95),""))</f>
        <v/>
      </c>
      <c r="E95" s="25" t="str">
        <f>IF($M95="H","제공금액 "&amp;TEXT(INDEX($U$5:$U$16,$J95),"#,##0")&amp;"원",IF($M95="C","제공금액",IF($M95="I",INDEX('완료 체험단'!$F$4:$F$2000,$N95),IF($M95="T",INDEX($U$5:$U$16,$J95),""))))</f>
        <v/>
      </c>
      <c r="F95" s="25" t="str">
        <f>IF($M95="H","결제금액 "&amp;TEXT(INDEX($V$5:$V$16,$J95),"#,##0")&amp;"원",IF($M95="C","결제금액",IF($M95="I",INDEX('완료 체험단'!$G$4:$G$2000,$N95),IF($M95="T",INDEX($V$5:$V$16,$J95),""))))</f>
        <v/>
      </c>
      <c r="G95" s="25" t="str">
        <f>IF($M95="H","실수익 "&amp;TEXT(INDEX($W$5:$W$16,$J95),"#,##0")&amp;"원",IF($M95="C","실수익",IF($M95="I",INDEX('완료 체험단'!$H$4:$H$2000,$N95),IF($M95="T",INDEX($W$5:$W$16,$J95),""))))</f>
        <v/>
      </c>
      <c r="I95" s="31">
        <f>ROWS(I$5:I95)</f>
        <v>91</v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>IF($M95="I",MATCH(SMALL('완료 체험단'!$K$4:$K$2000,INDEX($T$5:$T$16,$J95)+$K95-2),'완료 체험단'!$K$4:$K$2000,0),"")</f>
        <v/>
      </c>
    </row>
    <row r="96" spans="2:14">
      <c r="B96" s="23" t="str">
        <f>IF($M96="H",$J96&amp;"월",IF($M96="C","매장명",IF($M96="I",INDEX('완료 체험단'!$A$4:$A$2000,$N96),IF($M96="T","합계",""))))</f>
        <v/>
      </c>
      <c r="C96" s="29" t="str">
        <f>IF($M96="H",$L96&amp;"건",IF($M96="C","사이트",IF($M96="I",INDEX('완료 체험단'!$C$4:$C$2000,$N96),IF($M96="T",$L96&amp;"건",""))))</f>
        <v/>
      </c>
      <c r="D96" s="30" t="str">
        <f>IF($M96="C","방문일",IF($M96="I",INDEX('완료 체험단'!$D$4:$D$2000,$N96),""))</f>
        <v/>
      </c>
      <c r="E96" s="25" t="str">
        <f>IF($M96="H","제공금액 "&amp;TEXT(INDEX($U$5:$U$16,$J96),"#,##0")&amp;"원",IF($M96="C","제공금액",IF($M96="I",INDEX('완료 체험단'!$F$4:$F$2000,$N96),IF($M96="T",INDEX($U$5:$U$16,$J96),""))))</f>
        <v/>
      </c>
      <c r="F96" s="25" t="str">
        <f>IF($M96="H","결제금액 "&amp;TEXT(INDEX($V$5:$V$16,$J96),"#,##0")&amp;"원",IF($M96="C","결제금액",IF($M96="I",INDEX('완료 체험단'!$G$4:$G$2000,$N96),IF($M96="T",INDEX($V$5:$V$16,$J96),""))))</f>
        <v/>
      </c>
      <c r="G96" s="25" t="str">
        <f>IF($M96="H","실수익 "&amp;TEXT(INDEX($W$5:$W$16,$J96),"#,##0")&amp;"원",IF($M96="C","실수익",IF($M96="I",INDEX('완료 체험단'!$H$4:$H$2000,$N96),IF($M96="T",INDEX($W$5:$W$16,$J96),""))))</f>
        <v/>
      </c>
      <c r="I96" s="31">
        <f>ROWS(I$5:I96)</f>
        <v>92</v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>IF($M96="I",MATCH(SMALL('완료 체험단'!$K$4:$K$2000,INDEX($T$5:$T$16,$J96)+$K96-2),'완료 체험단'!$K$4:$K$2000,0),"")</f>
        <v/>
      </c>
    </row>
    <row r="97" spans="2:14">
      <c r="B97" s="23" t="str">
        <f>IF($M97="H",$J97&amp;"월",IF($M97="C","매장명",IF($M97="I",INDEX('완료 체험단'!$A$4:$A$2000,$N97),IF($M97="T","합계",""))))</f>
        <v/>
      </c>
      <c r="C97" s="29" t="str">
        <f>IF($M97="H",$L97&amp;"건",IF($M97="C","사이트",IF($M97="I",INDEX('완료 체험단'!$C$4:$C$2000,$N97),IF($M97="T",$L97&amp;"건",""))))</f>
        <v/>
      </c>
      <c r="D97" s="30" t="str">
        <f>IF($M97="C","방문일",IF($M97="I",INDEX('완료 체험단'!$D$4:$D$2000,$N97),""))</f>
        <v/>
      </c>
      <c r="E97" s="25" t="str">
        <f>IF($M97="H","제공금액 "&amp;TEXT(INDEX($U$5:$U$16,$J97),"#,##0")&amp;"원",IF($M97="C","제공금액",IF($M97="I",INDEX('완료 체험단'!$F$4:$F$2000,$N97),IF($M97="T",INDEX($U$5:$U$16,$J97),""))))</f>
        <v/>
      </c>
      <c r="F97" s="25" t="str">
        <f>IF($M97="H","결제금액 "&amp;TEXT(INDEX($V$5:$V$16,$J97),"#,##0")&amp;"원",IF($M97="C","결제금액",IF($M97="I",INDEX('완료 체험단'!$G$4:$G$2000,$N97),IF($M97="T",INDEX($V$5:$V$16,$J97),""))))</f>
        <v/>
      </c>
      <c r="G97" s="25" t="str">
        <f>IF($M97="H","실수익 "&amp;TEXT(INDEX($W$5:$W$16,$J97),"#,##0")&amp;"원",IF($M97="C","실수익",IF($M97="I",INDEX('완료 체험단'!$H$4:$H$2000,$N97),IF($M97="T",INDEX($W$5:$W$16,$J97),""))))</f>
        <v/>
      </c>
      <c r="I97" s="31">
        <f>ROWS(I$5:I97)</f>
        <v>93</v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>IF($M97="I",MATCH(SMALL('완료 체험단'!$K$4:$K$2000,INDEX($T$5:$T$16,$J97)+$K97-2),'완료 체험단'!$K$4:$K$2000,0),"")</f>
        <v/>
      </c>
    </row>
    <row r="98" spans="2:14">
      <c r="B98" s="23" t="str">
        <f>IF($M98="H",$J98&amp;"월",IF($M98="C","매장명",IF($M98="I",INDEX('완료 체험단'!$A$4:$A$2000,$N98),IF($M98="T","합계",""))))</f>
        <v/>
      </c>
      <c r="C98" s="29" t="str">
        <f>IF($M98="H",$L98&amp;"건",IF($M98="C","사이트",IF($M98="I",INDEX('완료 체험단'!$C$4:$C$2000,$N98),IF($M98="T",$L98&amp;"건",""))))</f>
        <v/>
      </c>
      <c r="D98" s="30" t="str">
        <f>IF($M98="C","방문일",IF($M98="I",INDEX('완료 체험단'!$D$4:$D$2000,$N98),""))</f>
        <v/>
      </c>
      <c r="E98" s="25" t="str">
        <f>IF($M98="H","제공금액 "&amp;TEXT(INDEX($U$5:$U$16,$J98),"#,##0")&amp;"원",IF($M98="C","제공금액",IF($M98="I",INDEX('완료 체험단'!$F$4:$F$2000,$N98),IF($M98="T",INDEX($U$5:$U$16,$J98),""))))</f>
        <v/>
      </c>
      <c r="F98" s="25" t="str">
        <f>IF($M98="H","결제금액 "&amp;TEXT(INDEX($V$5:$V$16,$J98),"#,##0")&amp;"원",IF($M98="C","결제금액",IF($M98="I",INDEX('완료 체험단'!$G$4:$G$2000,$N98),IF($M98="T",INDEX($V$5:$V$16,$J98),""))))</f>
        <v/>
      </c>
      <c r="G98" s="25" t="str">
        <f>IF($M98="H","실수익 "&amp;TEXT(INDEX($W$5:$W$16,$J98),"#,##0")&amp;"원",IF($M98="C","실수익",IF($M98="I",INDEX('완료 체험단'!$H$4:$H$2000,$N98),IF($M98="T",INDEX($W$5:$W$16,$J98),""))))</f>
        <v/>
      </c>
      <c r="I98" s="31">
        <f>ROWS(I$5:I98)</f>
        <v>94</v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>IF($M98="I",MATCH(SMALL('완료 체험단'!$K$4:$K$2000,INDEX($T$5:$T$16,$J98)+$K98-2),'완료 체험단'!$K$4:$K$2000,0),"")</f>
        <v/>
      </c>
    </row>
    <row r="99" spans="2:14">
      <c r="B99" s="23" t="str">
        <f>IF($M99="H",$J99&amp;"월",IF($M99="C","매장명",IF($M99="I",INDEX('완료 체험단'!$A$4:$A$2000,$N99),IF($M99="T","합계",""))))</f>
        <v/>
      </c>
      <c r="C99" s="29" t="str">
        <f>IF($M99="H",$L99&amp;"건",IF($M99="C","사이트",IF($M99="I",INDEX('완료 체험단'!$C$4:$C$2000,$N99),IF($M99="T",$L99&amp;"건",""))))</f>
        <v/>
      </c>
      <c r="D99" s="30" t="str">
        <f>IF($M99="C","방문일",IF($M99="I",INDEX('완료 체험단'!$D$4:$D$2000,$N99),""))</f>
        <v/>
      </c>
      <c r="E99" s="25" t="str">
        <f>IF($M99="H","제공금액 "&amp;TEXT(INDEX($U$5:$U$16,$J99),"#,##0")&amp;"원",IF($M99="C","제공금액",IF($M99="I",INDEX('완료 체험단'!$F$4:$F$2000,$N99),IF($M99="T",INDEX($U$5:$U$16,$J99),""))))</f>
        <v/>
      </c>
      <c r="F99" s="25" t="str">
        <f>IF($M99="H","결제금액 "&amp;TEXT(INDEX($V$5:$V$16,$J99),"#,##0")&amp;"원",IF($M99="C","결제금액",IF($M99="I",INDEX('완료 체험단'!$G$4:$G$2000,$N99),IF($M99="T",INDEX($V$5:$V$16,$J99),""))))</f>
        <v/>
      </c>
      <c r="G99" s="25" t="str">
        <f>IF($M99="H","실수익 "&amp;TEXT(INDEX($W$5:$W$16,$J99),"#,##0")&amp;"원",IF($M99="C","실수익",IF($M99="I",INDEX('완료 체험단'!$H$4:$H$2000,$N99),IF($M99="T",INDEX($W$5:$W$16,$J99),""))))</f>
        <v/>
      </c>
      <c r="I99" s="31">
        <f>ROWS(I$5:I99)</f>
        <v>95</v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>IF($M99="I",MATCH(SMALL('완료 체험단'!$K$4:$K$2000,INDEX($T$5:$T$16,$J99)+$K99-2),'완료 체험단'!$K$4:$K$2000,0),"")</f>
        <v/>
      </c>
    </row>
    <row r="100" spans="2:14">
      <c r="B100" s="23" t="str">
        <f>IF($M100="H",$J100&amp;"월",IF($M100="C","매장명",IF($M100="I",INDEX('완료 체험단'!$A$4:$A$2000,$N100),IF($M100="T","합계",""))))</f>
        <v/>
      </c>
      <c r="C100" s="29" t="str">
        <f>IF($M100="H",$L100&amp;"건",IF($M100="C","사이트",IF($M100="I",INDEX('완료 체험단'!$C$4:$C$2000,$N100),IF($M100="T",$L100&amp;"건",""))))</f>
        <v/>
      </c>
      <c r="D100" s="30" t="str">
        <f>IF($M100="C","방문일",IF($M100="I",INDEX('완료 체험단'!$D$4:$D$2000,$N100),""))</f>
        <v/>
      </c>
      <c r="E100" s="25" t="str">
        <f>IF($M100="H","제공금액 "&amp;TEXT(INDEX($U$5:$U$16,$J100),"#,##0")&amp;"원",IF($M100="C","제공금액",IF($M100="I",INDEX('완료 체험단'!$F$4:$F$2000,$N100),IF($M100="T",INDEX($U$5:$U$16,$J100),""))))</f>
        <v/>
      </c>
      <c r="F100" s="25" t="str">
        <f>IF($M100="H","결제금액 "&amp;TEXT(INDEX($V$5:$V$16,$J100),"#,##0")&amp;"원",IF($M100="C","결제금액",IF($M100="I",INDEX('완료 체험단'!$G$4:$G$2000,$N100),IF($M100="T",INDEX($V$5:$V$16,$J100),""))))</f>
        <v/>
      </c>
      <c r="G100" s="25" t="str">
        <f>IF($M100="H","실수익 "&amp;TEXT(INDEX($W$5:$W$16,$J100),"#,##0")&amp;"원",IF($M100="C","실수익",IF($M100="I",INDEX('완료 체험단'!$H$4:$H$2000,$N100),IF($M100="T",INDEX($W$5:$W$16,$J100),""))))</f>
        <v/>
      </c>
      <c r="I100" s="31">
        <f>ROWS(I$5:I100)</f>
        <v>96</v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>IF($M100="I",MATCH(SMALL('완료 체험단'!$K$4:$K$2000,INDEX($T$5:$T$16,$J100)+$K100-2),'완료 체험단'!$K$4:$K$2000,0),"")</f>
        <v/>
      </c>
    </row>
    <row r="101" spans="2:14">
      <c r="B101" s="23" t="str">
        <f>IF($M101="H",$J101&amp;"월",IF($M101="C","매장명",IF($M101="I",INDEX('완료 체험단'!$A$4:$A$2000,$N101),IF($M101="T","합계",""))))</f>
        <v/>
      </c>
      <c r="C101" s="29" t="str">
        <f>IF($M101="H",$L101&amp;"건",IF($M101="C","사이트",IF($M101="I",INDEX('완료 체험단'!$C$4:$C$2000,$N101),IF($M101="T",$L101&amp;"건",""))))</f>
        <v/>
      </c>
      <c r="D101" s="30" t="str">
        <f>IF($M101="C","방문일",IF($M101="I",INDEX('완료 체험단'!$D$4:$D$2000,$N101),""))</f>
        <v/>
      </c>
      <c r="E101" s="25" t="str">
        <f>IF($M101="H","제공금액 "&amp;TEXT(INDEX($U$5:$U$16,$J101),"#,##0")&amp;"원",IF($M101="C","제공금액",IF($M101="I",INDEX('완료 체험단'!$F$4:$F$2000,$N101),IF($M101="T",INDEX($U$5:$U$16,$J101),""))))</f>
        <v/>
      </c>
      <c r="F101" s="25" t="str">
        <f>IF($M101="H","결제금액 "&amp;TEXT(INDEX($V$5:$V$16,$J101),"#,##0")&amp;"원",IF($M101="C","결제금액",IF($M101="I",INDEX('완료 체험단'!$G$4:$G$2000,$N101),IF($M101="T",INDEX($V$5:$V$16,$J101),""))))</f>
        <v/>
      </c>
      <c r="G101" s="25" t="str">
        <f>IF($M101="H","실수익 "&amp;TEXT(INDEX($W$5:$W$16,$J101),"#,##0")&amp;"원",IF($M101="C","실수익",IF($M101="I",INDEX('완료 체험단'!$H$4:$H$2000,$N101),IF($M101="T",INDEX($W$5:$W$16,$J101),""))))</f>
        <v/>
      </c>
      <c r="I101" s="31">
        <f>ROWS(I$5:I101)</f>
        <v>97</v>
      </c>
      <c r="J101" t="str">
        <f t="shared" si="7"/>
        <v/>
      </c>
      <c r="K101" t="str">
        <f t="shared" si="8"/>
        <v/>
      </c>
      <c r="L101" t="str">
        <f t="shared" si="9"/>
        <v/>
      </c>
      <c r="M101" t="str">
        <f t="shared" si="10"/>
        <v/>
      </c>
      <c r="N101" t="str">
        <f>IF($M101="I",MATCH(SMALL('완료 체험단'!$K$4:$K$2000,INDEX($T$5:$T$16,$J101)+$K101-2),'완료 체험단'!$K$4:$K$2000,0),"")</f>
        <v/>
      </c>
    </row>
    <row r="102" spans="2:14">
      <c r="B102" s="23" t="str">
        <f>IF($M102="H",$J102&amp;"월",IF($M102="C","매장명",IF($M102="I",INDEX('완료 체험단'!$A$4:$A$2000,$N102),IF($M102="T","합계",""))))</f>
        <v/>
      </c>
      <c r="C102" s="29" t="str">
        <f>IF($M102="H",$L102&amp;"건",IF($M102="C","사이트",IF($M102="I",INDEX('완료 체험단'!$C$4:$C$2000,$N102),IF($M102="T",$L102&amp;"건",""))))</f>
        <v/>
      </c>
      <c r="D102" s="30" t="str">
        <f>IF($M102="C","방문일",IF($M102="I",INDEX('완료 체험단'!$D$4:$D$2000,$N102),""))</f>
        <v/>
      </c>
      <c r="E102" s="25" t="str">
        <f>IF($M102="H","제공금액 "&amp;TEXT(INDEX($U$5:$U$16,$J102),"#,##0")&amp;"원",IF($M102="C","제공금액",IF($M102="I",INDEX('완료 체험단'!$F$4:$F$2000,$N102),IF($M102="T",INDEX($U$5:$U$16,$J102),""))))</f>
        <v/>
      </c>
      <c r="F102" s="25" t="str">
        <f>IF($M102="H","결제금액 "&amp;TEXT(INDEX($V$5:$V$16,$J102),"#,##0")&amp;"원",IF($M102="C","결제금액",IF($M102="I",INDEX('완료 체험단'!$G$4:$G$2000,$N102),IF($M102="T",INDEX($V$5:$V$16,$J102),""))))</f>
        <v/>
      </c>
      <c r="G102" s="25" t="str">
        <f>IF($M102="H","실수익 "&amp;TEXT(INDEX($W$5:$W$16,$J102),"#,##0")&amp;"원",IF($M102="C","실수익",IF($M102="I",INDEX('완료 체험단'!$H$4:$H$2000,$N102),IF($M102="T",INDEX($W$5:$W$16,$J102),""))))</f>
        <v/>
      </c>
      <c r="I102" s="31">
        <f>ROWS(I$5:I102)</f>
        <v>98</v>
      </c>
      <c r="J102" t="str">
        <f t="shared" si="7"/>
        <v/>
      </c>
      <c r="K102" t="str">
        <f t="shared" si="8"/>
        <v/>
      </c>
      <c r="L102" t="str">
        <f t="shared" si="9"/>
        <v/>
      </c>
      <c r="M102" t="str">
        <f t="shared" si="10"/>
        <v/>
      </c>
      <c r="N102" t="str">
        <f>IF($M102="I",MATCH(SMALL('완료 체험단'!$K$4:$K$2000,INDEX($T$5:$T$16,$J102)+$K102-2),'완료 체험단'!$K$4:$K$2000,0),"")</f>
        <v/>
      </c>
    </row>
    <row r="103" spans="2:14">
      <c r="B103" s="23" t="str">
        <f>IF($M103="H",$J103&amp;"월",IF($M103="C","매장명",IF($M103="I",INDEX('완료 체험단'!$A$4:$A$2000,$N103),IF($M103="T","합계",""))))</f>
        <v/>
      </c>
      <c r="C103" s="29" t="str">
        <f>IF($M103="H",$L103&amp;"건",IF($M103="C","사이트",IF($M103="I",INDEX('완료 체험단'!$C$4:$C$2000,$N103),IF($M103="T",$L103&amp;"건",""))))</f>
        <v/>
      </c>
      <c r="D103" s="30" t="str">
        <f>IF($M103="C","방문일",IF($M103="I",INDEX('완료 체험단'!$D$4:$D$2000,$N103),""))</f>
        <v/>
      </c>
      <c r="E103" s="25" t="str">
        <f>IF($M103="H","제공금액 "&amp;TEXT(INDEX($U$5:$U$16,$J103),"#,##0")&amp;"원",IF($M103="C","제공금액",IF($M103="I",INDEX('완료 체험단'!$F$4:$F$2000,$N103),IF($M103="T",INDEX($U$5:$U$16,$J103),""))))</f>
        <v/>
      </c>
      <c r="F103" s="25" t="str">
        <f>IF($M103="H","결제금액 "&amp;TEXT(INDEX($V$5:$V$16,$J103),"#,##0")&amp;"원",IF($M103="C","결제금액",IF($M103="I",INDEX('완료 체험단'!$G$4:$G$2000,$N103),IF($M103="T",INDEX($V$5:$V$16,$J103),""))))</f>
        <v/>
      </c>
      <c r="G103" s="25" t="str">
        <f>IF($M103="H","실수익 "&amp;TEXT(INDEX($W$5:$W$16,$J103),"#,##0")&amp;"원",IF($M103="C","실수익",IF($M103="I",INDEX('완료 체험단'!$H$4:$H$2000,$N103),IF($M103="T",INDEX($W$5:$W$16,$J103),""))))</f>
        <v/>
      </c>
      <c r="I103" s="31">
        <f>ROWS(I$5:I103)</f>
        <v>99</v>
      </c>
      <c r="J103" t="str">
        <f t="shared" si="7"/>
        <v/>
      </c>
      <c r="K103" t="str">
        <f t="shared" si="8"/>
        <v/>
      </c>
      <c r="L103" t="str">
        <f t="shared" si="9"/>
        <v/>
      </c>
      <c r="M103" t="str">
        <f t="shared" si="10"/>
        <v/>
      </c>
      <c r="N103" t="str">
        <f>IF($M103="I",MATCH(SMALL('완료 체험단'!$K$4:$K$2000,INDEX($T$5:$T$16,$J103)+$K103-2),'완료 체험단'!$K$4:$K$2000,0),"")</f>
        <v/>
      </c>
    </row>
    <row r="104" spans="2:14">
      <c r="B104" s="23" t="str">
        <f>IF($M104="H",$J104&amp;"월",IF($M104="C","매장명",IF($M104="I",INDEX('완료 체험단'!$A$4:$A$2000,$N104),IF($M104="T","합계",""))))</f>
        <v/>
      </c>
      <c r="C104" s="29" t="str">
        <f>IF($M104="H",$L104&amp;"건",IF($M104="C","사이트",IF($M104="I",INDEX('완료 체험단'!$C$4:$C$2000,$N104),IF($M104="T",$L104&amp;"건",""))))</f>
        <v/>
      </c>
      <c r="D104" s="30" t="str">
        <f>IF($M104="C","방문일",IF($M104="I",INDEX('완료 체험단'!$D$4:$D$2000,$N104),""))</f>
        <v/>
      </c>
      <c r="E104" s="25" t="str">
        <f>IF($M104="H","제공금액 "&amp;TEXT(INDEX($U$5:$U$16,$J104),"#,##0")&amp;"원",IF($M104="C","제공금액",IF($M104="I",INDEX('완료 체험단'!$F$4:$F$2000,$N104),IF($M104="T",INDEX($U$5:$U$16,$J104),""))))</f>
        <v/>
      </c>
      <c r="F104" s="25" t="str">
        <f>IF($M104="H","결제금액 "&amp;TEXT(INDEX($V$5:$V$16,$J104),"#,##0")&amp;"원",IF($M104="C","결제금액",IF($M104="I",INDEX('완료 체험단'!$G$4:$G$2000,$N104),IF($M104="T",INDEX($V$5:$V$16,$J104),""))))</f>
        <v/>
      </c>
      <c r="G104" s="25" t="str">
        <f>IF($M104="H","실수익 "&amp;TEXT(INDEX($W$5:$W$16,$J104),"#,##0")&amp;"원",IF($M104="C","실수익",IF($M104="I",INDEX('완료 체험단'!$H$4:$H$2000,$N104),IF($M104="T",INDEX($W$5:$W$16,$J104),""))))</f>
        <v/>
      </c>
      <c r="I104" s="31">
        <f>ROWS(I$5:I104)</f>
        <v>100</v>
      </c>
      <c r="J104" t="str">
        <f t="shared" si="7"/>
        <v/>
      </c>
      <c r="K104" t="str">
        <f t="shared" si="8"/>
        <v/>
      </c>
      <c r="L104" t="str">
        <f t="shared" si="9"/>
        <v/>
      </c>
      <c r="M104" t="str">
        <f t="shared" si="10"/>
        <v/>
      </c>
      <c r="N104" t="str">
        <f>IF($M104="I",MATCH(SMALL('완료 체험단'!$K$4:$K$2000,INDEX($T$5:$T$16,$J104)+$K104-2),'완료 체험단'!$K$4:$K$2000,0),"")</f>
        <v/>
      </c>
    </row>
    <row r="105" spans="2:14">
      <c r="B105" s="23" t="str">
        <f>IF($M105="H",$J105&amp;"월",IF($M105="C","매장명",IF($M105="I",INDEX('완료 체험단'!$A$4:$A$2000,$N105),IF($M105="T","합계",""))))</f>
        <v/>
      </c>
      <c r="C105" s="29" t="str">
        <f>IF($M105="H",$L105&amp;"건",IF($M105="C","사이트",IF($M105="I",INDEX('완료 체험단'!$C$4:$C$2000,$N105),IF($M105="T",$L105&amp;"건",""))))</f>
        <v/>
      </c>
      <c r="D105" s="30" t="str">
        <f>IF($M105="C","방문일",IF($M105="I",INDEX('완료 체험단'!$D$4:$D$2000,$N105),""))</f>
        <v/>
      </c>
      <c r="E105" s="25" t="str">
        <f>IF($M105="H","제공금액 "&amp;TEXT(INDEX($U$5:$U$16,$J105),"#,##0")&amp;"원",IF($M105="C","제공금액",IF($M105="I",INDEX('완료 체험단'!$F$4:$F$2000,$N105),IF($M105="T",INDEX($U$5:$U$16,$J105),""))))</f>
        <v/>
      </c>
      <c r="F105" s="25" t="str">
        <f>IF($M105="H","결제금액 "&amp;TEXT(INDEX($V$5:$V$16,$J105),"#,##0")&amp;"원",IF($M105="C","결제금액",IF($M105="I",INDEX('완료 체험단'!$G$4:$G$2000,$N105),IF($M105="T",INDEX($V$5:$V$16,$J105),""))))</f>
        <v/>
      </c>
      <c r="G105" s="25" t="str">
        <f>IF($M105="H","실수익 "&amp;TEXT(INDEX($W$5:$W$16,$J105),"#,##0")&amp;"원",IF($M105="C","실수익",IF($M105="I",INDEX('완료 체험단'!$H$4:$H$2000,$N105),IF($M105="T",INDEX($W$5:$W$16,$J105),""))))</f>
        <v/>
      </c>
      <c r="I105" s="31">
        <f>ROWS(I$5:I105)</f>
        <v>101</v>
      </c>
      <c r="J105" t="str">
        <f t="shared" si="7"/>
        <v/>
      </c>
      <c r="K105" t="str">
        <f t="shared" si="8"/>
        <v/>
      </c>
      <c r="L105" t="str">
        <f t="shared" si="9"/>
        <v/>
      </c>
      <c r="M105" t="str">
        <f t="shared" si="10"/>
        <v/>
      </c>
      <c r="N105" t="str">
        <f>IF($M105="I",MATCH(SMALL('완료 체험단'!$K$4:$K$2000,INDEX($T$5:$T$16,$J105)+$K105-2),'완료 체험단'!$K$4:$K$2000,0),"")</f>
        <v/>
      </c>
    </row>
    <row r="106" spans="2:14">
      <c r="B106" s="23" t="str">
        <f>IF($M106="H",$J106&amp;"월",IF($M106="C","매장명",IF($M106="I",INDEX('완료 체험단'!$A$4:$A$2000,$N106),IF($M106="T","합계",""))))</f>
        <v/>
      </c>
      <c r="C106" s="29" t="str">
        <f>IF($M106="H",$L106&amp;"건",IF($M106="C","사이트",IF($M106="I",INDEX('완료 체험단'!$C$4:$C$2000,$N106),IF($M106="T",$L106&amp;"건",""))))</f>
        <v/>
      </c>
      <c r="D106" s="30" t="str">
        <f>IF($M106="C","방문일",IF($M106="I",INDEX('완료 체험단'!$D$4:$D$2000,$N106),""))</f>
        <v/>
      </c>
      <c r="E106" s="25" t="str">
        <f>IF($M106="H","제공금액 "&amp;TEXT(INDEX($U$5:$U$16,$J106),"#,##0")&amp;"원",IF($M106="C","제공금액",IF($M106="I",INDEX('완료 체험단'!$F$4:$F$2000,$N106),IF($M106="T",INDEX($U$5:$U$16,$J106),""))))</f>
        <v/>
      </c>
      <c r="F106" s="25" t="str">
        <f>IF($M106="H","결제금액 "&amp;TEXT(INDEX($V$5:$V$16,$J106),"#,##0")&amp;"원",IF($M106="C","결제금액",IF($M106="I",INDEX('완료 체험단'!$G$4:$G$2000,$N106),IF($M106="T",INDEX($V$5:$V$16,$J106),""))))</f>
        <v/>
      </c>
      <c r="G106" s="25" t="str">
        <f>IF($M106="H","실수익 "&amp;TEXT(INDEX($W$5:$W$16,$J106),"#,##0")&amp;"원",IF($M106="C","실수익",IF($M106="I",INDEX('완료 체험단'!$H$4:$H$2000,$N106),IF($M106="T",INDEX($W$5:$W$16,$J106),""))))</f>
        <v/>
      </c>
      <c r="I106" s="31">
        <f>ROWS(I$5:I106)</f>
        <v>102</v>
      </c>
      <c r="J106" t="str">
        <f t="shared" si="7"/>
        <v/>
      </c>
      <c r="K106" t="str">
        <f t="shared" si="8"/>
        <v/>
      </c>
      <c r="L106" t="str">
        <f t="shared" si="9"/>
        <v/>
      </c>
      <c r="M106" t="str">
        <f t="shared" si="10"/>
        <v/>
      </c>
      <c r="N106" t="str">
        <f>IF($M106="I",MATCH(SMALL('완료 체험단'!$K$4:$K$2000,INDEX($T$5:$T$16,$J106)+$K106-2),'완료 체험단'!$K$4:$K$2000,0),"")</f>
        <v/>
      </c>
    </row>
    <row r="107" spans="2:14">
      <c r="B107" s="23" t="str">
        <f>IF($M107="H",$J107&amp;"월",IF($M107="C","매장명",IF($M107="I",INDEX('완료 체험단'!$A$4:$A$2000,$N107),IF($M107="T","합계",""))))</f>
        <v/>
      </c>
      <c r="C107" s="29" t="str">
        <f>IF($M107="H",$L107&amp;"건",IF($M107="C","사이트",IF($M107="I",INDEX('완료 체험단'!$C$4:$C$2000,$N107),IF($M107="T",$L107&amp;"건",""))))</f>
        <v/>
      </c>
      <c r="D107" s="30" t="str">
        <f>IF($M107="C","방문일",IF($M107="I",INDEX('완료 체험단'!$D$4:$D$2000,$N107),""))</f>
        <v/>
      </c>
      <c r="E107" s="25" t="str">
        <f>IF($M107="H","제공금액 "&amp;TEXT(INDEX($U$5:$U$16,$J107),"#,##0")&amp;"원",IF($M107="C","제공금액",IF($M107="I",INDEX('완료 체험단'!$F$4:$F$2000,$N107),IF($M107="T",INDEX($U$5:$U$16,$J107),""))))</f>
        <v/>
      </c>
      <c r="F107" s="25" t="str">
        <f>IF($M107="H","결제금액 "&amp;TEXT(INDEX($V$5:$V$16,$J107),"#,##0")&amp;"원",IF($M107="C","결제금액",IF($M107="I",INDEX('완료 체험단'!$G$4:$G$2000,$N107),IF($M107="T",INDEX($V$5:$V$16,$J107),""))))</f>
        <v/>
      </c>
      <c r="G107" s="25" t="str">
        <f>IF($M107="H","실수익 "&amp;TEXT(INDEX($W$5:$W$16,$J107),"#,##0")&amp;"원",IF($M107="C","실수익",IF($M107="I",INDEX('완료 체험단'!$H$4:$H$2000,$N107),IF($M107="T",INDEX($W$5:$W$16,$J107),""))))</f>
        <v/>
      </c>
      <c r="I107" s="31">
        <f>ROWS(I$5:I107)</f>
        <v>103</v>
      </c>
      <c r="J107" t="str">
        <f t="shared" si="7"/>
        <v/>
      </c>
      <c r="K107" t="str">
        <f t="shared" si="8"/>
        <v/>
      </c>
      <c r="L107" t="str">
        <f t="shared" si="9"/>
        <v/>
      </c>
      <c r="M107" t="str">
        <f t="shared" si="10"/>
        <v/>
      </c>
      <c r="N107" t="str">
        <f>IF($M107="I",MATCH(SMALL('완료 체험단'!$K$4:$K$2000,INDEX($T$5:$T$16,$J107)+$K107-2),'완료 체험단'!$K$4:$K$2000,0),"")</f>
        <v/>
      </c>
    </row>
    <row r="108" spans="2:14">
      <c r="B108" s="23" t="str">
        <f>IF($M108="H",$J108&amp;"월",IF($M108="C","매장명",IF($M108="I",INDEX('완료 체험단'!$A$4:$A$2000,$N108),IF($M108="T","합계",""))))</f>
        <v/>
      </c>
      <c r="C108" s="29" t="str">
        <f>IF($M108="H",$L108&amp;"건",IF($M108="C","사이트",IF($M108="I",INDEX('완료 체험단'!$C$4:$C$2000,$N108),IF($M108="T",$L108&amp;"건",""))))</f>
        <v/>
      </c>
      <c r="D108" s="30" t="str">
        <f>IF($M108="C","방문일",IF($M108="I",INDEX('완료 체험단'!$D$4:$D$2000,$N108),""))</f>
        <v/>
      </c>
      <c r="E108" s="25" t="str">
        <f>IF($M108="H","제공금액 "&amp;TEXT(INDEX($U$5:$U$16,$J108),"#,##0")&amp;"원",IF($M108="C","제공금액",IF($M108="I",INDEX('완료 체험단'!$F$4:$F$2000,$N108),IF($M108="T",INDEX($U$5:$U$16,$J108),""))))</f>
        <v/>
      </c>
      <c r="F108" s="25" t="str">
        <f>IF($M108="H","결제금액 "&amp;TEXT(INDEX($V$5:$V$16,$J108),"#,##0")&amp;"원",IF($M108="C","결제금액",IF($M108="I",INDEX('완료 체험단'!$G$4:$G$2000,$N108),IF($M108="T",INDEX($V$5:$V$16,$J108),""))))</f>
        <v/>
      </c>
      <c r="G108" s="25" t="str">
        <f>IF($M108="H","실수익 "&amp;TEXT(INDEX($W$5:$W$16,$J108),"#,##0")&amp;"원",IF($M108="C","실수익",IF($M108="I",INDEX('완료 체험단'!$H$4:$H$2000,$N108),IF($M108="T",INDEX($W$5:$W$16,$J108),""))))</f>
        <v/>
      </c>
      <c r="I108" s="31">
        <f>ROWS(I$5:I108)</f>
        <v>104</v>
      </c>
      <c r="J108" t="str">
        <f t="shared" si="7"/>
        <v/>
      </c>
      <c r="K108" t="str">
        <f t="shared" si="8"/>
        <v/>
      </c>
      <c r="L108" t="str">
        <f t="shared" si="9"/>
        <v/>
      </c>
      <c r="M108" t="str">
        <f t="shared" si="10"/>
        <v/>
      </c>
      <c r="N108" t="str">
        <f>IF($M108="I",MATCH(SMALL('완료 체험단'!$K$4:$K$2000,INDEX($T$5:$T$16,$J108)+$K108-2),'완료 체험단'!$K$4:$K$2000,0),"")</f>
        <v/>
      </c>
    </row>
    <row r="109" spans="2:14">
      <c r="B109" s="23" t="str">
        <f>IF($M109="H",$J109&amp;"월",IF($M109="C","매장명",IF($M109="I",INDEX('완료 체험단'!$A$4:$A$2000,$N109),IF($M109="T","합계",""))))</f>
        <v/>
      </c>
      <c r="C109" s="29" t="str">
        <f>IF($M109="H",$L109&amp;"건",IF($M109="C","사이트",IF($M109="I",INDEX('완료 체험단'!$C$4:$C$2000,$N109),IF($M109="T",$L109&amp;"건",""))))</f>
        <v/>
      </c>
      <c r="D109" s="30" t="str">
        <f>IF($M109="C","방문일",IF($M109="I",INDEX('완료 체험단'!$D$4:$D$2000,$N109),""))</f>
        <v/>
      </c>
      <c r="E109" s="25" t="str">
        <f>IF($M109="H","제공금액 "&amp;TEXT(INDEX($U$5:$U$16,$J109),"#,##0")&amp;"원",IF($M109="C","제공금액",IF($M109="I",INDEX('완료 체험단'!$F$4:$F$2000,$N109),IF($M109="T",INDEX($U$5:$U$16,$J109),""))))</f>
        <v/>
      </c>
      <c r="F109" s="25" t="str">
        <f>IF($M109="H","결제금액 "&amp;TEXT(INDEX($V$5:$V$16,$J109),"#,##0")&amp;"원",IF($M109="C","결제금액",IF($M109="I",INDEX('완료 체험단'!$G$4:$G$2000,$N109),IF($M109="T",INDEX($V$5:$V$16,$J109),""))))</f>
        <v/>
      </c>
      <c r="G109" s="25" t="str">
        <f>IF($M109="H","실수익 "&amp;TEXT(INDEX($W$5:$W$16,$J109),"#,##0")&amp;"원",IF($M109="C","실수익",IF($M109="I",INDEX('완료 체험단'!$H$4:$H$2000,$N109),IF($M109="T",INDEX($W$5:$W$16,$J109),""))))</f>
        <v/>
      </c>
      <c r="I109" s="31">
        <f>ROWS(I$5:I109)</f>
        <v>105</v>
      </c>
      <c r="J109" t="str">
        <f t="shared" si="7"/>
        <v/>
      </c>
      <c r="K109" t="str">
        <f t="shared" si="8"/>
        <v/>
      </c>
      <c r="L109" t="str">
        <f t="shared" si="9"/>
        <v/>
      </c>
      <c r="M109" t="str">
        <f t="shared" si="10"/>
        <v/>
      </c>
      <c r="N109" t="str">
        <f>IF($M109="I",MATCH(SMALL('완료 체험단'!$K$4:$K$2000,INDEX($T$5:$T$16,$J109)+$K109-2),'완료 체험단'!$K$4:$K$2000,0),"")</f>
        <v/>
      </c>
    </row>
    <row r="110" spans="2:14">
      <c r="B110" s="23" t="str">
        <f>IF($M110="H",$J110&amp;"월",IF($M110="C","매장명",IF($M110="I",INDEX('완료 체험단'!$A$4:$A$2000,$N110),IF($M110="T","합계",""))))</f>
        <v/>
      </c>
      <c r="C110" s="29" t="str">
        <f>IF($M110="H",$L110&amp;"건",IF($M110="C","사이트",IF($M110="I",INDEX('완료 체험단'!$C$4:$C$2000,$N110),IF($M110="T",$L110&amp;"건",""))))</f>
        <v/>
      </c>
      <c r="D110" s="30" t="str">
        <f>IF($M110="C","방문일",IF($M110="I",INDEX('완료 체험단'!$D$4:$D$2000,$N110),""))</f>
        <v/>
      </c>
      <c r="E110" s="25" t="str">
        <f>IF($M110="H","제공금액 "&amp;TEXT(INDEX($U$5:$U$16,$J110),"#,##0")&amp;"원",IF($M110="C","제공금액",IF($M110="I",INDEX('완료 체험단'!$F$4:$F$2000,$N110),IF($M110="T",INDEX($U$5:$U$16,$J110),""))))</f>
        <v/>
      </c>
      <c r="F110" s="25" t="str">
        <f>IF($M110="H","결제금액 "&amp;TEXT(INDEX($V$5:$V$16,$J110),"#,##0")&amp;"원",IF($M110="C","결제금액",IF($M110="I",INDEX('완료 체험단'!$G$4:$G$2000,$N110),IF($M110="T",INDEX($V$5:$V$16,$J110),""))))</f>
        <v/>
      </c>
      <c r="G110" s="25" t="str">
        <f>IF($M110="H","실수익 "&amp;TEXT(INDEX($W$5:$W$16,$J110),"#,##0")&amp;"원",IF($M110="C","실수익",IF($M110="I",INDEX('완료 체험단'!$H$4:$H$2000,$N110),IF($M110="T",INDEX($W$5:$W$16,$J110),""))))</f>
        <v/>
      </c>
      <c r="I110" s="31">
        <f>ROWS(I$5:I110)</f>
        <v>106</v>
      </c>
      <c r="J110" t="str">
        <f t="shared" si="7"/>
        <v/>
      </c>
      <c r="K110" t="str">
        <f t="shared" si="8"/>
        <v/>
      </c>
      <c r="L110" t="str">
        <f t="shared" si="9"/>
        <v/>
      </c>
      <c r="M110" t="str">
        <f t="shared" si="10"/>
        <v/>
      </c>
      <c r="N110" t="str">
        <f>IF($M110="I",MATCH(SMALL('완료 체험단'!$K$4:$K$2000,INDEX($T$5:$T$16,$J110)+$K110-2),'완료 체험단'!$K$4:$K$2000,0),"")</f>
        <v/>
      </c>
    </row>
    <row r="111" spans="2:14">
      <c r="B111" s="23" t="str">
        <f>IF($M111="H",$J111&amp;"월",IF($M111="C","매장명",IF($M111="I",INDEX('완료 체험단'!$A$4:$A$2000,$N111),IF($M111="T","합계",""))))</f>
        <v/>
      </c>
      <c r="C111" s="29" t="str">
        <f>IF($M111="H",$L111&amp;"건",IF($M111="C","사이트",IF($M111="I",INDEX('완료 체험단'!$C$4:$C$2000,$N111),IF($M111="T",$L111&amp;"건",""))))</f>
        <v/>
      </c>
      <c r="D111" s="30" t="str">
        <f>IF($M111="C","방문일",IF($M111="I",INDEX('완료 체험단'!$D$4:$D$2000,$N111),""))</f>
        <v/>
      </c>
      <c r="E111" s="25" t="str">
        <f>IF($M111="H","제공금액 "&amp;TEXT(INDEX($U$5:$U$16,$J111),"#,##0")&amp;"원",IF($M111="C","제공금액",IF($M111="I",INDEX('완료 체험단'!$F$4:$F$2000,$N111),IF($M111="T",INDEX($U$5:$U$16,$J111),""))))</f>
        <v/>
      </c>
      <c r="F111" s="25" t="str">
        <f>IF($M111="H","결제금액 "&amp;TEXT(INDEX($V$5:$V$16,$J111),"#,##0")&amp;"원",IF($M111="C","결제금액",IF($M111="I",INDEX('완료 체험단'!$G$4:$G$2000,$N111),IF($M111="T",INDEX($V$5:$V$16,$J111),""))))</f>
        <v/>
      </c>
      <c r="G111" s="25" t="str">
        <f>IF($M111="H","실수익 "&amp;TEXT(INDEX($W$5:$W$16,$J111),"#,##0")&amp;"원",IF($M111="C","실수익",IF($M111="I",INDEX('완료 체험단'!$H$4:$H$2000,$N111),IF($M111="T",INDEX($W$5:$W$16,$J111),""))))</f>
        <v/>
      </c>
      <c r="I111" s="31">
        <f>ROWS(I$5:I111)</f>
        <v>107</v>
      </c>
      <c r="J111" t="str">
        <f t="shared" si="7"/>
        <v/>
      </c>
      <c r="K111" t="str">
        <f t="shared" si="8"/>
        <v/>
      </c>
      <c r="L111" t="str">
        <f t="shared" si="9"/>
        <v/>
      </c>
      <c r="M111" t="str">
        <f t="shared" si="10"/>
        <v/>
      </c>
      <c r="N111" t="str">
        <f>IF($M111="I",MATCH(SMALL('완료 체험단'!$K$4:$K$2000,INDEX($T$5:$T$16,$J111)+$K111-2),'완료 체험단'!$K$4:$K$2000,0),"")</f>
        <v/>
      </c>
    </row>
    <row r="112" spans="2:14">
      <c r="B112" s="23" t="str">
        <f>IF($M112="H",$J112&amp;"월",IF($M112="C","매장명",IF($M112="I",INDEX('완료 체험단'!$A$4:$A$2000,$N112),IF($M112="T","합계",""))))</f>
        <v/>
      </c>
      <c r="C112" s="29" t="str">
        <f>IF($M112="H",$L112&amp;"건",IF($M112="C","사이트",IF($M112="I",INDEX('완료 체험단'!$C$4:$C$2000,$N112),IF($M112="T",$L112&amp;"건",""))))</f>
        <v/>
      </c>
      <c r="D112" s="30" t="str">
        <f>IF($M112="C","방문일",IF($M112="I",INDEX('완료 체험단'!$D$4:$D$2000,$N112),""))</f>
        <v/>
      </c>
      <c r="E112" s="25" t="str">
        <f>IF($M112="H","제공금액 "&amp;TEXT(INDEX($U$5:$U$16,$J112),"#,##0")&amp;"원",IF($M112="C","제공금액",IF($M112="I",INDEX('완료 체험단'!$F$4:$F$2000,$N112),IF($M112="T",INDEX($U$5:$U$16,$J112),""))))</f>
        <v/>
      </c>
      <c r="F112" s="25" t="str">
        <f>IF($M112="H","결제금액 "&amp;TEXT(INDEX($V$5:$V$16,$J112),"#,##0")&amp;"원",IF($M112="C","결제금액",IF($M112="I",INDEX('완료 체험단'!$G$4:$G$2000,$N112),IF($M112="T",INDEX($V$5:$V$16,$J112),""))))</f>
        <v/>
      </c>
      <c r="G112" s="25" t="str">
        <f>IF($M112="H","실수익 "&amp;TEXT(INDEX($W$5:$W$16,$J112),"#,##0")&amp;"원",IF($M112="C","실수익",IF($M112="I",INDEX('완료 체험단'!$H$4:$H$2000,$N112),IF($M112="T",INDEX($W$5:$W$16,$J112),""))))</f>
        <v/>
      </c>
      <c r="I112" s="31">
        <f>ROWS(I$5:I112)</f>
        <v>108</v>
      </c>
      <c r="J112" t="str">
        <f t="shared" si="7"/>
        <v/>
      </c>
      <c r="K112" t="str">
        <f t="shared" si="8"/>
        <v/>
      </c>
      <c r="L112" t="str">
        <f t="shared" si="9"/>
        <v/>
      </c>
      <c r="M112" t="str">
        <f t="shared" si="10"/>
        <v/>
      </c>
      <c r="N112" t="str">
        <f>IF($M112="I",MATCH(SMALL('완료 체험단'!$K$4:$K$2000,INDEX($T$5:$T$16,$J112)+$K112-2),'완료 체험단'!$K$4:$K$2000,0),"")</f>
        <v/>
      </c>
    </row>
    <row r="113" spans="2:14">
      <c r="B113" s="23" t="str">
        <f>IF($M113="H",$J113&amp;"월",IF($M113="C","매장명",IF($M113="I",INDEX('완료 체험단'!$A$4:$A$2000,$N113),IF($M113="T","합계",""))))</f>
        <v/>
      </c>
      <c r="C113" s="29" t="str">
        <f>IF($M113="H",$L113&amp;"건",IF($M113="C","사이트",IF($M113="I",INDEX('완료 체험단'!$C$4:$C$2000,$N113),IF($M113="T",$L113&amp;"건",""))))</f>
        <v/>
      </c>
      <c r="D113" s="30" t="str">
        <f>IF($M113="C","방문일",IF($M113="I",INDEX('완료 체험단'!$D$4:$D$2000,$N113),""))</f>
        <v/>
      </c>
      <c r="E113" s="25" t="str">
        <f>IF($M113="H","제공금액 "&amp;TEXT(INDEX($U$5:$U$16,$J113),"#,##0")&amp;"원",IF($M113="C","제공금액",IF($M113="I",INDEX('완료 체험단'!$F$4:$F$2000,$N113),IF($M113="T",INDEX($U$5:$U$16,$J113),""))))</f>
        <v/>
      </c>
      <c r="F113" s="25" t="str">
        <f>IF($M113="H","결제금액 "&amp;TEXT(INDEX($V$5:$V$16,$J113),"#,##0")&amp;"원",IF($M113="C","결제금액",IF($M113="I",INDEX('완료 체험단'!$G$4:$G$2000,$N113),IF($M113="T",INDEX($V$5:$V$16,$J113),""))))</f>
        <v/>
      </c>
      <c r="G113" s="25" t="str">
        <f>IF($M113="H","실수익 "&amp;TEXT(INDEX($W$5:$W$16,$J113),"#,##0")&amp;"원",IF($M113="C","실수익",IF($M113="I",INDEX('완료 체험단'!$H$4:$H$2000,$N113),IF($M113="T",INDEX($W$5:$W$16,$J113),""))))</f>
        <v/>
      </c>
      <c r="I113" s="31">
        <f>ROWS(I$5:I113)</f>
        <v>109</v>
      </c>
      <c r="J113" t="str">
        <f t="shared" si="7"/>
        <v/>
      </c>
      <c r="K113" t="str">
        <f t="shared" si="8"/>
        <v/>
      </c>
      <c r="L113" t="str">
        <f t="shared" si="9"/>
        <v/>
      </c>
      <c r="M113" t="str">
        <f t="shared" si="10"/>
        <v/>
      </c>
      <c r="N113" t="str">
        <f>IF($M113="I",MATCH(SMALL('완료 체험단'!$K$4:$K$2000,INDEX($T$5:$T$16,$J113)+$K113-2),'완료 체험단'!$K$4:$K$2000,0),"")</f>
        <v/>
      </c>
    </row>
    <row r="114" spans="2:14">
      <c r="B114" s="23" t="str">
        <f>IF($M114="H",$J114&amp;"월",IF($M114="C","매장명",IF($M114="I",INDEX('완료 체험단'!$A$4:$A$2000,$N114),IF($M114="T","합계",""))))</f>
        <v/>
      </c>
      <c r="C114" s="29" t="str">
        <f>IF($M114="H",$L114&amp;"건",IF($M114="C","사이트",IF($M114="I",INDEX('완료 체험단'!$C$4:$C$2000,$N114),IF($M114="T",$L114&amp;"건",""))))</f>
        <v/>
      </c>
      <c r="D114" s="30" t="str">
        <f>IF($M114="C","방문일",IF($M114="I",INDEX('완료 체험단'!$D$4:$D$2000,$N114),""))</f>
        <v/>
      </c>
      <c r="E114" s="25" t="str">
        <f>IF($M114="H","제공금액 "&amp;TEXT(INDEX($U$5:$U$16,$J114),"#,##0")&amp;"원",IF($M114="C","제공금액",IF($M114="I",INDEX('완료 체험단'!$F$4:$F$2000,$N114),IF($M114="T",INDEX($U$5:$U$16,$J114),""))))</f>
        <v/>
      </c>
      <c r="F114" s="25" t="str">
        <f>IF($M114="H","결제금액 "&amp;TEXT(INDEX($V$5:$V$16,$J114),"#,##0")&amp;"원",IF($M114="C","결제금액",IF($M114="I",INDEX('완료 체험단'!$G$4:$G$2000,$N114),IF($M114="T",INDEX($V$5:$V$16,$J114),""))))</f>
        <v/>
      </c>
      <c r="G114" s="25" t="str">
        <f>IF($M114="H","실수익 "&amp;TEXT(INDEX($W$5:$W$16,$J114),"#,##0")&amp;"원",IF($M114="C","실수익",IF($M114="I",INDEX('완료 체험단'!$H$4:$H$2000,$N114),IF($M114="T",INDEX($W$5:$W$16,$J114),""))))</f>
        <v/>
      </c>
      <c r="I114" s="31">
        <f>ROWS(I$5:I114)</f>
        <v>110</v>
      </c>
      <c r="J114" t="str">
        <f t="shared" si="7"/>
        <v/>
      </c>
      <c r="K114" t="str">
        <f t="shared" si="8"/>
        <v/>
      </c>
      <c r="L114" t="str">
        <f t="shared" si="9"/>
        <v/>
      </c>
      <c r="M114" t="str">
        <f t="shared" si="10"/>
        <v/>
      </c>
      <c r="N114" t="str">
        <f>IF($M114="I",MATCH(SMALL('완료 체험단'!$K$4:$K$2000,INDEX($T$5:$T$16,$J114)+$K114-2),'완료 체험단'!$K$4:$K$2000,0),"")</f>
        <v/>
      </c>
    </row>
    <row r="115" spans="2:14">
      <c r="B115" s="23" t="str">
        <f>IF($M115="H",$J115&amp;"월",IF($M115="C","매장명",IF($M115="I",INDEX('완료 체험단'!$A$4:$A$2000,$N115),IF($M115="T","합계",""))))</f>
        <v/>
      </c>
      <c r="C115" s="29" t="str">
        <f>IF($M115="H",$L115&amp;"건",IF($M115="C","사이트",IF($M115="I",INDEX('완료 체험단'!$C$4:$C$2000,$N115),IF($M115="T",$L115&amp;"건",""))))</f>
        <v/>
      </c>
      <c r="D115" s="30" t="str">
        <f>IF($M115="C","방문일",IF($M115="I",INDEX('완료 체험단'!$D$4:$D$2000,$N115),""))</f>
        <v/>
      </c>
      <c r="E115" s="25" t="str">
        <f>IF($M115="H","제공금액 "&amp;TEXT(INDEX($U$5:$U$16,$J115),"#,##0")&amp;"원",IF($M115="C","제공금액",IF($M115="I",INDEX('완료 체험단'!$F$4:$F$2000,$N115),IF($M115="T",INDEX($U$5:$U$16,$J115),""))))</f>
        <v/>
      </c>
      <c r="F115" s="25" t="str">
        <f>IF($M115="H","결제금액 "&amp;TEXT(INDEX($V$5:$V$16,$J115),"#,##0")&amp;"원",IF($M115="C","결제금액",IF($M115="I",INDEX('완료 체험단'!$G$4:$G$2000,$N115),IF($M115="T",INDEX($V$5:$V$16,$J115),""))))</f>
        <v/>
      </c>
      <c r="G115" s="25" t="str">
        <f>IF($M115="H","실수익 "&amp;TEXT(INDEX($W$5:$W$16,$J115),"#,##0")&amp;"원",IF($M115="C","실수익",IF($M115="I",INDEX('완료 체험단'!$H$4:$H$2000,$N115),IF($M115="T",INDEX($W$5:$W$16,$J115),""))))</f>
        <v/>
      </c>
      <c r="I115" s="31">
        <f>ROWS(I$5:I115)</f>
        <v>111</v>
      </c>
      <c r="J115" t="str">
        <f t="shared" si="7"/>
        <v/>
      </c>
      <c r="K115" t="str">
        <f t="shared" si="8"/>
        <v/>
      </c>
      <c r="L115" t="str">
        <f t="shared" si="9"/>
        <v/>
      </c>
      <c r="M115" t="str">
        <f t="shared" si="10"/>
        <v/>
      </c>
      <c r="N115" t="str">
        <f>IF($M115="I",MATCH(SMALL('완료 체험단'!$K$4:$K$2000,INDEX($T$5:$T$16,$J115)+$K115-2),'완료 체험단'!$K$4:$K$2000,0),"")</f>
        <v/>
      </c>
    </row>
    <row r="116" spans="2:14">
      <c r="B116" s="23" t="str">
        <f>IF($M116="H",$J116&amp;"월",IF($M116="C","매장명",IF($M116="I",INDEX('완료 체험단'!$A$4:$A$2000,$N116),IF($M116="T","합계",""))))</f>
        <v/>
      </c>
      <c r="C116" s="29" t="str">
        <f>IF($M116="H",$L116&amp;"건",IF($M116="C","사이트",IF($M116="I",INDEX('완료 체험단'!$C$4:$C$2000,$N116),IF($M116="T",$L116&amp;"건",""))))</f>
        <v/>
      </c>
      <c r="D116" s="30" t="str">
        <f>IF($M116="C","방문일",IF($M116="I",INDEX('완료 체험단'!$D$4:$D$2000,$N116),""))</f>
        <v/>
      </c>
      <c r="E116" s="25" t="str">
        <f>IF($M116="H","제공금액 "&amp;TEXT(INDEX($U$5:$U$16,$J116),"#,##0")&amp;"원",IF($M116="C","제공금액",IF($M116="I",INDEX('완료 체험단'!$F$4:$F$2000,$N116),IF($M116="T",INDEX($U$5:$U$16,$J116),""))))</f>
        <v/>
      </c>
      <c r="F116" s="25" t="str">
        <f>IF($M116="H","결제금액 "&amp;TEXT(INDEX($V$5:$V$16,$J116),"#,##0")&amp;"원",IF($M116="C","결제금액",IF($M116="I",INDEX('완료 체험단'!$G$4:$G$2000,$N116),IF($M116="T",INDEX($V$5:$V$16,$J116),""))))</f>
        <v/>
      </c>
      <c r="G116" s="25" t="str">
        <f>IF($M116="H","실수익 "&amp;TEXT(INDEX($W$5:$W$16,$J116),"#,##0")&amp;"원",IF($M116="C","실수익",IF($M116="I",INDEX('완료 체험단'!$H$4:$H$2000,$N116),IF($M116="T",INDEX($W$5:$W$16,$J116),""))))</f>
        <v/>
      </c>
      <c r="I116" s="31">
        <f>ROWS(I$5:I116)</f>
        <v>112</v>
      </c>
      <c r="J116" t="str">
        <f t="shared" si="7"/>
        <v/>
      </c>
      <c r="K116" t="str">
        <f t="shared" si="8"/>
        <v/>
      </c>
      <c r="L116" t="str">
        <f t="shared" si="9"/>
        <v/>
      </c>
      <c r="M116" t="str">
        <f t="shared" si="10"/>
        <v/>
      </c>
      <c r="N116" t="str">
        <f>IF($M116="I",MATCH(SMALL('완료 체험단'!$K$4:$K$2000,INDEX($T$5:$T$16,$J116)+$K116-2),'완료 체험단'!$K$4:$K$2000,0),"")</f>
        <v/>
      </c>
    </row>
    <row r="117" spans="2:14">
      <c r="B117" s="23" t="str">
        <f>IF($M117="H",$J117&amp;"월",IF($M117="C","매장명",IF($M117="I",INDEX('완료 체험단'!$A$4:$A$2000,$N117),IF($M117="T","합계",""))))</f>
        <v/>
      </c>
      <c r="C117" s="29" t="str">
        <f>IF($M117="H",$L117&amp;"건",IF($M117="C","사이트",IF($M117="I",INDEX('완료 체험단'!$C$4:$C$2000,$N117),IF($M117="T",$L117&amp;"건",""))))</f>
        <v/>
      </c>
      <c r="D117" s="30" t="str">
        <f>IF($M117="C","방문일",IF($M117="I",INDEX('완료 체험단'!$D$4:$D$2000,$N117),""))</f>
        <v/>
      </c>
      <c r="E117" s="25" t="str">
        <f>IF($M117="H","제공금액 "&amp;TEXT(INDEX($U$5:$U$16,$J117),"#,##0")&amp;"원",IF($M117="C","제공금액",IF($M117="I",INDEX('완료 체험단'!$F$4:$F$2000,$N117),IF($M117="T",INDEX($U$5:$U$16,$J117),""))))</f>
        <v/>
      </c>
      <c r="F117" s="25" t="str">
        <f>IF($M117="H","결제금액 "&amp;TEXT(INDEX($V$5:$V$16,$J117),"#,##0")&amp;"원",IF($M117="C","결제금액",IF($M117="I",INDEX('완료 체험단'!$G$4:$G$2000,$N117),IF($M117="T",INDEX($V$5:$V$16,$J117),""))))</f>
        <v/>
      </c>
      <c r="G117" s="25" t="str">
        <f>IF($M117="H","실수익 "&amp;TEXT(INDEX($W$5:$W$16,$J117),"#,##0")&amp;"원",IF($M117="C","실수익",IF($M117="I",INDEX('완료 체험단'!$H$4:$H$2000,$N117),IF($M117="T",INDEX($W$5:$W$16,$J117),""))))</f>
        <v/>
      </c>
      <c r="I117" s="31">
        <f>ROWS(I$5:I117)</f>
        <v>113</v>
      </c>
      <c r="J117" t="str">
        <f t="shared" si="7"/>
        <v/>
      </c>
      <c r="K117" t="str">
        <f t="shared" si="8"/>
        <v/>
      </c>
      <c r="L117" t="str">
        <f t="shared" si="9"/>
        <v/>
      </c>
      <c r="M117" t="str">
        <f t="shared" si="10"/>
        <v/>
      </c>
      <c r="N117" t="str">
        <f>IF($M117="I",MATCH(SMALL('완료 체험단'!$K$4:$K$2000,INDEX($T$5:$T$16,$J117)+$K117-2),'완료 체험단'!$K$4:$K$2000,0),"")</f>
        <v/>
      </c>
    </row>
    <row r="118" spans="2:14">
      <c r="B118" s="23" t="str">
        <f>IF($M118="H",$J118&amp;"월",IF($M118="C","매장명",IF($M118="I",INDEX('완료 체험단'!$A$4:$A$2000,$N118),IF($M118="T","합계",""))))</f>
        <v/>
      </c>
      <c r="C118" s="29" t="str">
        <f>IF($M118="H",$L118&amp;"건",IF($M118="C","사이트",IF($M118="I",INDEX('완료 체험단'!$C$4:$C$2000,$N118),IF($M118="T",$L118&amp;"건",""))))</f>
        <v/>
      </c>
      <c r="D118" s="30" t="str">
        <f>IF($M118="C","방문일",IF($M118="I",INDEX('완료 체험단'!$D$4:$D$2000,$N118),""))</f>
        <v/>
      </c>
      <c r="E118" s="25" t="str">
        <f>IF($M118="H","제공금액 "&amp;TEXT(INDEX($U$5:$U$16,$J118),"#,##0")&amp;"원",IF($M118="C","제공금액",IF($M118="I",INDEX('완료 체험단'!$F$4:$F$2000,$N118),IF($M118="T",INDEX($U$5:$U$16,$J118),""))))</f>
        <v/>
      </c>
      <c r="F118" s="25" t="str">
        <f>IF($M118="H","결제금액 "&amp;TEXT(INDEX($V$5:$V$16,$J118),"#,##0")&amp;"원",IF($M118="C","결제금액",IF($M118="I",INDEX('완료 체험단'!$G$4:$G$2000,$N118),IF($M118="T",INDEX($V$5:$V$16,$J118),""))))</f>
        <v/>
      </c>
      <c r="G118" s="25" t="str">
        <f>IF($M118="H","실수익 "&amp;TEXT(INDEX($W$5:$W$16,$J118),"#,##0")&amp;"원",IF($M118="C","실수익",IF($M118="I",INDEX('완료 체험단'!$H$4:$H$2000,$N118),IF($M118="T",INDEX($W$5:$W$16,$J118),""))))</f>
        <v/>
      </c>
      <c r="I118" s="31">
        <f>ROWS(I$5:I118)</f>
        <v>114</v>
      </c>
      <c r="J118" t="str">
        <f t="shared" si="7"/>
        <v/>
      </c>
      <c r="K118" t="str">
        <f t="shared" si="8"/>
        <v/>
      </c>
      <c r="L118" t="str">
        <f t="shared" si="9"/>
        <v/>
      </c>
      <c r="M118" t="str">
        <f t="shared" si="10"/>
        <v/>
      </c>
      <c r="N118" t="str">
        <f>IF($M118="I",MATCH(SMALL('완료 체험단'!$K$4:$K$2000,INDEX($T$5:$T$16,$J118)+$K118-2),'완료 체험단'!$K$4:$K$2000,0),"")</f>
        <v/>
      </c>
    </row>
    <row r="119" spans="2:14">
      <c r="B119" s="23" t="str">
        <f>IF($M119="H",$J119&amp;"월",IF($M119="C","매장명",IF($M119="I",INDEX('완료 체험단'!$A$4:$A$2000,$N119),IF($M119="T","합계",""))))</f>
        <v/>
      </c>
      <c r="C119" s="29" t="str">
        <f>IF($M119="H",$L119&amp;"건",IF($M119="C","사이트",IF($M119="I",INDEX('완료 체험단'!$C$4:$C$2000,$N119),IF($M119="T",$L119&amp;"건",""))))</f>
        <v/>
      </c>
      <c r="D119" s="30" t="str">
        <f>IF($M119="C","방문일",IF($M119="I",INDEX('완료 체험단'!$D$4:$D$2000,$N119),""))</f>
        <v/>
      </c>
      <c r="E119" s="25" t="str">
        <f>IF($M119="H","제공금액 "&amp;TEXT(INDEX($U$5:$U$16,$J119),"#,##0")&amp;"원",IF($M119="C","제공금액",IF($M119="I",INDEX('완료 체험단'!$F$4:$F$2000,$N119),IF($M119="T",INDEX($U$5:$U$16,$J119),""))))</f>
        <v/>
      </c>
      <c r="F119" s="25" t="str">
        <f>IF($M119="H","결제금액 "&amp;TEXT(INDEX($V$5:$V$16,$J119),"#,##0")&amp;"원",IF($M119="C","결제금액",IF($M119="I",INDEX('완료 체험단'!$G$4:$G$2000,$N119),IF($M119="T",INDEX($V$5:$V$16,$J119),""))))</f>
        <v/>
      </c>
      <c r="G119" s="25" t="str">
        <f>IF($M119="H","실수익 "&amp;TEXT(INDEX($W$5:$W$16,$J119),"#,##0")&amp;"원",IF($M119="C","실수익",IF($M119="I",INDEX('완료 체험단'!$H$4:$H$2000,$N119),IF($M119="T",INDEX($W$5:$W$16,$J119),""))))</f>
        <v/>
      </c>
      <c r="I119" s="31">
        <f>ROWS(I$5:I119)</f>
        <v>115</v>
      </c>
      <c r="J119" t="str">
        <f t="shared" si="7"/>
        <v/>
      </c>
      <c r="K119" t="str">
        <f t="shared" si="8"/>
        <v/>
      </c>
      <c r="L119" t="str">
        <f t="shared" si="9"/>
        <v/>
      </c>
      <c r="M119" t="str">
        <f t="shared" si="10"/>
        <v/>
      </c>
      <c r="N119" t="str">
        <f>IF($M119="I",MATCH(SMALL('완료 체험단'!$K$4:$K$2000,INDEX($T$5:$T$16,$J119)+$K119-2),'완료 체험단'!$K$4:$K$2000,0),"")</f>
        <v/>
      </c>
    </row>
    <row r="120" spans="2:14">
      <c r="B120" s="23" t="str">
        <f>IF($M120="H",$J120&amp;"월",IF($M120="C","매장명",IF($M120="I",INDEX('완료 체험단'!$A$4:$A$2000,$N120),IF($M120="T","합계",""))))</f>
        <v/>
      </c>
      <c r="C120" s="29" t="str">
        <f>IF($M120="H",$L120&amp;"건",IF($M120="C","사이트",IF($M120="I",INDEX('완료 체험단'!$C$4:$C$2000,$N120),IF($M120="T",$L120&amp;"건",""))))</f>
        <v/>
      </c>
      <c r="D120" s="30" t="str">
        <f>IF($M120="C","방문일",IF($M120="I",INDEX('완료 체험단'!$D$4:$D$2000,$N120),""))</f>
        <v/>
      </c>
      <c r="E120" s="25" t="str">
        <f>IF($M120="H","제공금액 "&amp;TEXT(INDEX($U$5:$U$16,$J120),"#,##0")&amp;"원",IF($M120="C","제공금액",IF($M120="I",INDEX('완료 체험단'!$F$4:$F$2000,$N120),IF($M120="T",INDEX($U$5:$U$16,$J120),""))))</f>
        <v/>
      </c>
      <c r="F120" s="25" t="str">
        <f>IF($M120="H","결제금액 "&amp;TEXT(INDEX($V$5:$V$16,$J120),"#,##0")&amp;"원",IF($M120="C","결제금액",IF($M120="I",INDEX('완료 체험단'!$G$4:$G$2000,$N120),IF($M120="T",INDEX($V$5:$V$16,$J120),""))))</f>
        <v/>
      </c>
      <c r="G120" s="25" t="str">
        <f>IF($M120="H","실수익 "&amp;TEXT(INDEX($W$5:$W$16,$J120),"#,##0")&amp;"원",IF($M120="C","실수익",IF($M120="I",INDEX('완료 체험단'!$H$4:$H$2000,$N120),IF($M120="T",INDEX($W$5:$W$16,$J120),""))))</f>
        <v/>
      </c>
      <c r="I120" s="31">
        <f>ROWS(I$5:I120)</f>
        <v>116</v>
      </c>
      <c r="J120" t="str">
        <f t="shared" si="7"/>
        <v/>
      </c>
      <c r="K120" t="str">
        <f t="shared" si="8"/>
        <v/>
      </c>
      <c r="L120" t="str">
        <f t="shared" si="9"/>
        <v/>
      </c>
      <c r="M120" t="str">
        <f t="shared" si="10"/>
        <v/>
      </c>
      <c r="N120" t="str">
        <f>IF($M120="I",MATCH(SMALL('완료 체험단'!$K$4:$K$2000,INDEX($T$5:$T$16,$J120)+$K120-2),'완료 체험단'!$K$4:$K$2000,0),"")</f>
        <v/>
      </c>
    </row>
    <row r="121" spans="2:14">
      <c r="B121" s="23" t="str">
        <f>IF($M121="H",$J121&amp;"월",IF($M121="C","매장명",IF($M121="I",INDEX('완료 체험단'!$A$4:$A$2000,$N121),IF($M121="T","합계",""))))</f>
        <v/>
      </c>
      <c r="C121" s="29" t="str">
        <f>IF($M121="H",$L121&amp;"건",IF($M121="C","사이트",IF($M121="I",INDEX('완료 체험단'!$C$4:$C$2000,$N121),IF($M121="T",$L121&amp;"건",""))))</f>
        <v/>
      </c>
      <c r="D121" s="30" t="str">
        <f>IF($M121="C","방문일",IF($M121="I",INDEX('완료 체험단'!$D$4:$D$2000,$N121),""))</f>
        <v/>
      </c>
      <c r="E121" s="25" t="str">
        <f>IF($M121="H","제공금액 "&amp;TEXT(INDEX($U$5:$U$16,$J121),"#,##0")&amp;"원",IF($M121="C","제공금액",IF($M121="I",INDEX('완료 체험단'!$F$4:$F$2000,$N121),IF($M121="T",INDEX($U$5:$U$16,$J121),""))))</f>
        <v/>
      </c>
      <c r="F121" s="25" t="str">
        <f>IF($M121="H","결제금액 "&amp;TEXT(INDEX($V$5:$V$16,$J121),"#,##0")&amp;"원",IF($M121="C","결제금액",IF($M121="I",INDEX('완료 체험단'!$G$4:$G$2000,$N121),IF($M121="T",INDEX($V$5:$V$16,$J121),""))))</f>
        <v/>
      </c>
      <c r="G121" s="25" t="str">
        <f>IF($M121="H","실수익 "&amp;TEXT(INDEX($W$5:$W$16,$J121),"#,##0")&amp;"원",IF($M121="C","실수익",IF($M121="I",INDEX('완료 체험단'!$H$4:$H$2000,$N121),IF($M121="T",INDEX($W$5:$W$16,$J121),""))))</f>
        <v/>
      </c>
      <c r="I121" s="31">
        <f>ROWS(I$5:I121)</f>
        <v>117</v>
      </c>
      <c r="J121" t="str">
        <f t="shared" si="7"/>
        <v/>
      </c>
      <c r="K121" t="str">
        <f t="shared" si="8"/>
        <v/>
      </c>
      <c r="L121" t="str">
        <f t="shared" si="9"/>
        <v/>
      </c>
      <c r="M121" t="str">
        <f t="shared" si="10"/>
        <v/>
      </c>
      <c r="N121" t="str">
        <f>IF($M121="I",MATCH(SMALL('완료 체험단'!$K$4:$K$2000,INDEX($T$5:$T$16,$J121)+$K121-2),'완료 체험단'!$K$4:$K$2000,0),"")</f>
        <v/>
      </c>
    </row>
    <row r="122" spans="2:14">
      <c r="B122" s="23" t="str">
        <f>IF($M122="H",$J122&amp;"월",IF($M122="C","매장명",IF($M122="I",INDEX('완료 체험단'!$A$4:$A$2000,$N122),IF($M122="T","합계",""))))</f>
        <v/>
      </c>
      <c r="C122" s="29" t="str">
        <f>IF($M122="H",$L122&amp;"건",IF($M122="C","사이트",IF($M122="I",INDEX('완료 체험단'!$C$4:$C$2000,$N122),IF($M122="T",$L122&amp;"건",""))))</f>
        <v/>
      </c>
      <c r="D122" s="30" t="str">
        <f>IF($M122="C","방문일",IF($M122="I",INDEX('완료 체험단'!$D$4:$D$2000,$N122),""))</f>
        <v/>
      </c>
      <c r="E122" s="25" t="str">
        <f>IF($M122="H","제공금액 "&amp;TEXT(INDEX($U$5:$U$16,$J122),"#,##0")&amp;"원",IF($M122="C","제공금액",IF($M122="I",INDEX('완료 체험단'!$F$4:$F$2000,$N122),IF($M122="T",INDEX($U$5:$U$16,$J122),""))))</f>
        <v/>
      </c>
      <c r="F122" s="25" t="str">
        <f>IF($M122="H","결제금액 "&amp;TEXT(INDEX($V$5:$V$16,$J122),"#,##0")&amp;"원",IF($M122="C","결제금액",IF($M122="I",INDEX('완료 체험단'!$G$4:$G$2000,$N122),IF($M122="T",INDEX($V$5:$V$16,$J122),""))))</f>
        <v/>
      </c>
      <c r="G122" s="25" t="str">
        <f>IF($M122="H","실수익 "&amp;TEXT(INDEX($W$5:$W$16,$J122),"#,##0")&amp;"원",IF($M122="C","실수익",IF($M122="I",INDEX('완료 체험단'!$H$4:$H$2000,$N122),IF($M122="T",INDEX($W$5:$W$16,$J122),""))))</f>
        <v/>
      </c>
      <c r="I122" s="31">
        <f>ROWS(I$5:I122)</f>
        <v>118</v>
      </c>
      <c r="J122" t="str">
        <f t="shared" si="7"/>
        <v/>
      </c>
      <c r="K122" t="str">
        <f t="shared" si="8"/>
        <v/>
      </c>
      <c r="L122" t="str">
        <f t="shared" si="9"/>
        <v/>
      </c>
      <c r="M122" t="str">
        <f t="shared" si="10"/>
        <v/>
      </c>
      <c r="N122" t="str">
        <f>IF($M122="I",MATCH(SMALL('완료 체험단'!$K$4:$K$2000,INDEX($T$5:$T$16,$J122)+$K122-2),'완료 체험단'!$K$4:$K$2000,0),"")</f>
        <v/>
      </c>
    </row>
    <row r="123" spans="2:14">
      <c r="B123" s="23" t="str">
        <f>IF($M123="H",$J123&amp;"월",IF($M123="C","매장명",IF($M123="I",INDEX('완료 체험단'!$A$4:$A$2000,$N123),IF($M123="T","합계",""))))</f>
        <v/>
      </c>
      <c r="C123" s="29" t="str">
        <f>IF($M123="H",$L123&amp;"건",IF($M123="C","사이트",IF($M123="I",INDEX('완료 체험단'!$C$4:$C$2000,$N123),IF($M123="T",$L123&amp;"건",""))))</f>
        <v/>
      </c>
      <c r="D123" s="30" t="str">
        <f>IF($M123="C","방문일",IF($M123="I",INDEX('완료 체험단'!$D$4:$D$2000,$N123),""))</f>
        <v/>
      </c>
      <c r="E123" s="25" t="str">
        <f>IF($M123="H","제공금액 "&amp;TEXT(INDEX($U$5:$U$16,$J123),"#,##0")&amp;"원",IF($M123="C","제공금액",IF($M123="I",INDEX('완료 체험단'!$F$4:$F$2000,$N123),IF($M123="T",INDEX($U$5:$U$16,$J123),""))))</f>
        <v/>
      </c>
      <c r="F123" s="25" t="str">
        <f>IF($M123="H","결제금액 "&amp;TEXT(INDEX($V$5:$V$16,$J123),"#,##0")&amp;"원",IF($M123="C","결제금액",IF($M123="I",INDEX('완료 체험단'!$G$4:$G$2000,$N123),IF($M123="T",INDEX($V$5:$V$16,$J123),""))))</f>
        <v/>
      </c>
      <c r="G123" s="25" t="str">
        <f>IF($M123="H","실수익 "&amp;TEXT(INDEX($W$5:$W$16,$J123),"#,##0")&amp;"원",IF($M123="C","실수익",IF($M123="I",INDEX('완료 체험단'!$H$4:$H$2000,$N123),IF($M123="T",INDEX($W$5:$W$16,$J123),""))))</f>
        <v/>
      </c>
      <c r="I123" s="31">
        <f>ROWS(I$5:I123)</f>
        <v>119</v>
      </c>
      <c r="J123" t="str">
        <f t="shared" si="7"/>
        <v/>
      </c>
      <c r="K123" t="str">
        <f t="shared" si="8"/>
        <v/>
      </c>
      <c r="L123" t="str">
        <f t="shared" si="9"/>
        <v/>
      </c>
      <c r="M123" t="str">
        <f t="shared" si="10"/>
        <v/>
      </c>
      <c r="N123" t="str">
        <f>IF($M123="I",MATCH(SMALL('완료 체험단'!$K$4:$K$2000,INDEX($T$5:$T$16,$J123)+$K123-2),'완료 체험단'!$K$4:$K$2000,0),"")</f>
        <v/>
      </c>
    </row>
    <row r="124" spans="2:14">
      <c r="B124" s="23" t="str">
        <f>IF($M124="H",$J124&amp;"월",IF($M124="C","매장명",IF($M124="I",INDEX('완료 체험단'!$A$4:$A$2000,$N124),IF($M124="T","합계",""))))</f>
        <v/>
      </c>
      <c r="C124" s="29" t="str">
        <f>IF($M124="H",$L124&amp;"건",IF($M124="C","사이트",IF($M124="I",INDEX('완료 체험단'!$C$4:$C$2000,$N124),IF($M124="T",$L124&amp;"건",""))))</f>
        <v/>
      </c>
      <c r="D124" s="30" t="str">
        <f>IF($M124="C","방문일",IF($M124="I",INDEX('완료 체험단'!$D$4:$D$2000,$N124),""))</f>
        <v/>
      </c>
      <c r="E124" s="25" t="str">
        <f>IF($M124="H","제공금액 "&amp;TEXT(INDEX($U$5:$U$16,$J124),"#,##0")&amp;"원",IF($M124="C","제공금액",IF($M124="I",INDEX('완료 체험단'!$F$4:$F$2000,$N124),IF($M124="T",INDEX($U$5:$U$16,$J124),""))))</f>
        <v/>
      </c>
      <c r="F124" s="25" t="str">
        <f>IF($M124="H","결제금액 "&amp;TEXT(INDEX($V$5:$V$16,$J124),"#,##0")&amp;"원",IF($M124="C","결제금액",IF($M124="I",INDEX('완료 체험단'!$G$4:$G$2000,$N124),IF($M124="T",INDEX($V$5:$V$16,$J124),""))))</f>
        <v/>
      </c>
      <c r="G124" s="25" t="str">
        <f>IF($M124="H","실수익 "&amp;TEXT(INDEX($W$5:$W$16,$J124),"#,##0")&amp;"원",IF($M124="C","실수익",IF($M124="I",INDEX('완료 체험단'!$H$4:$H$2000,$N124),IF($M124="T",INDEX($W$5:$W$16,$J124),""))))</f>
        <v/>
      </c>
      <c r="I124" s="31">
        <f>ROWS(I$5:I124)</f>
        <v>120</v>
      </c>
      <c r="J124" t="str">
        <f t="shared" si="7"/>
        <v/>
      </c>
      <c r="K124" t="str">
        <f t="shared" si="8"/>
        <v/>
      </c>
      <c r="L124" t="str">
        <f t="shared" si="9"/>
        <v/>
      </c>
      <c r="M124" t="str">
        <f t="shared" si="10"/>
        <v/>
      </c>
      <c r="N124" t="str">
        <f>IF($M124="I",MATCH(SMALL('완료 체험단'!$K$4:$K$2000,INDEX($T$5:$T$16,$J124)+$K124-2),'완료 체험단'!$K$4:$K$2000,0),"")</f>
        <v/>
      </c>
    </row>
    <row r="125" spans="2:14">
      <c r="B125" s="23" t="str">
        <f>IF($M125="H",$J125&amp;"월",IF($M125="C","매장명",IF($M125="I",INDEX('완료 체험단'!$A$4:$A$2000,$N125),IF($M125="T","합계",""))))</f>
        <v/>
      </c>
      <c r="C125" s="29" t="str">
        <f>IF($M125="H",$L125&amp;"건",IF($M125="C","사이트",IF($M125="I",INDEX('완료 체험단'!$C$4:$C$2000,$N125),IF($M125="T",$L125&amp;"건",""))))</f>
        <v/>
      </c>
      <c r="D125" s="30" t="str">
        <f>IF($M125="C","방문일",IF($M125="I",INDEX('완료 체험단'!$D$4:$D$2000,$N125),""))</f>
        <v/>
      </c>
      <c r="E125" s="25" t="str">
        <f>IF($M125="H","제공금액 "&amp;TEXT(INDEX($U$5:$U$16,$J125),"#,##0")&amp;"원",IF($M125="C","제공금액",IF($M125="I",INDEX('완료 체험단'!$F$4:$F$2000,$N125),IF($M125="T",INDEX($U$5:$U$16,$J125),""))))</f>
        <v/>
      </c>
      <c r="F125" s="25" t="str">
        <f>IF($M125="H","결제금액 "&amp;TEXT(INDEX($V$5:$V$16,$J125),"#,##0")&amp;"원",IF($M125="C","결제금액",IF($M125="I",INDEX('완료 체험단'!$G$4:$G$2000,$N125),IF($M125="T",INDEX($V$5:$V$16,$J125),""))))</f>
        <v/>
      </c>
      <c r="G125" s="25" t="str">
        <f>IF($M125="H","실수익 "&amp;TEXT(INDEX($W$5:$W$16,$J125),"#,##0")&amp;"원",IF($M125="C","실수익",IF($M125="I",INDEX('완료 체험단'!$H$4:$H$2000,$N125),IF($M125="T",INDEX($W$5:$W$16,$J125),""))))</f>
        <v/>
      </c>
      <c r="I125" s="31">
        <f>ROWS(I$5:I125)</f>
        <v>121</v>
      </c>
      <c r="J125" t="str">
        <f t="shared" si="7"/>
        <v/>
      </c>
      <c r="K125" t="str">
        <f t="shared" si="8"/>
        <v/>
      </c>
      <c r="L125" t="str">
        <f t="shared" si="9"/>
        <v/>
      </c>
      <c r="M125" t="str">
        <f t="shared" si="10"/>
        <v/>
      </c>
      <c r="N125" t="str">
        <f>IF($M125="I",MATCH(SMALL('완료 체험단'!$K$4:$K$2000,INDEX($T$5:$T$16,$J125)+$K125-2),'완료 체험단'!$K$4:$K$2000,0),"")</f>
        <v/>
      </c>
    </row>
    <row r="126" spans="2:14">
      <c r="B126" s="23" t="str">
        <f>IF($M126="H",$J126&amp;"월",IF($M126="C","매장명",IF($M126="I",INDEX('완료 체험단'!$A$4:$A$2000,$N126),IF($M126="T","합계",""))))</f>
        <v/>
      </c>
      <c r="C126" s="29" t="str">
        <f>IF($M126="H",$L126&amp;"건",IF($M126="C","사이트",IF($M126="I",INDEX('완료 체험단'!$C$4:$C$2000,$N126),IF($M126="T",$L126&amp;"건",""))))</f>
        <v/>
      </c>
      <c r="D126" s="30" t="str">
        <f>IF($M126="C","방문일",IF($M126="I",INDEX('완료 체험단'!$D$4:$D$2000,$N126),""))</f>
        <v/>
      </c>
      <c r="E126" s="25" t="str">
        <f>IF($M126="H","제공금액 "&amp;TEXT(INDEX($U$5:$U$16,$J126),"#,##0")&amp;"원",IF($M126="C","제공금액",IF($M126="I",INDEX('완료 체험단'!$F$4:$F$2000,$N126),IF($M126="T",INDEX($U$5:$U$16,$J126),""))))</f>
        <v/>
      </c>
      <c r="F126" s="25" t="str">
        <f>IF($M126="H","결제금액 "&amp;TEXT(INDEX($V$5:$V$16,$J126),"#,##0")&amp;"원",IF($M126="C","결제금액",IF($M126="I",INDEX('완료 체험단'!$G$4:$G$2000,$N126),IF($M126="T",INDEX($V$5:$V$16,$J126),""))))</f>
        <v/>
      </c>
      <c r="G126" s="25" t="str">
        <f>IF($M126="H","실수익 "&amp;TEXT(INDEX($W$5:$W$16,$J126),"#,##0")&amp;"원",IF($M126="C","실수익",IF($M126="I",INDEX('완료 체험단'!$H$4:$H$2000,$N126),IF($M126="T",INDEX($W$5:$W$16,$J126),""))))</f>
        <v/>
      </c>
      <c r="I126" s="31">
        <f>ROWS(I$5:I126)</f>
        <v>122</v>
      </c>
      <c r="J126" t="str">
        <f t="shared" si="7"/>
        <v/>
      </c>
      <c r="K126" t="str">
        <f t="shared" si="8"/>
        <v/>
      </c>
      <c r="L126" t="str">
        <f t="shared" si="9"/>
        <v/>
      </c>
      <c r="M126" t="str">
        <f t="shared" si="10"/>
        <v/>
      </c>
      <c r="N126" t="str">
        <f>IF($M126="I",MATCH(SMALL('완료 체험단'!$K$4:$K$2000,INDEX($T$5:$T$16,$J126)+$K126-2),'완료 체험단'!$K$4:$K$2000,0),"")</f>
        <v/>
      </c>
    </row>
    <row r="127" spans="2:14">
      <c r="B127" s="23" t="str">
        <f>IF($M127="H",$J127&amp;"월",IF($M127="C","매장명",IF($M127="I",INDEX('완료 체험단'!$A$4:$A$2000,$N127),IF($M127="T","합계",""))))</f>
        <v/>
      </c>
      <c r="C127" s="29" t="str">
        <f>IF($M127="H",$L127&amp;"건",IF($M127="C","사이트",IF($M127="I",INDEX('완료 체험단'!$C$4:$C$2000,$N127),IF($M127="T",$L127&amp;"건",""))))</f>
        <v/>
      </c>
      <c r="D127" s="30" t="str">
        <f>IF($M127="C","방문일",IF($M127="I",INDEX('완료 체험단'!$D$4:$D$2000,$N127),""))</f>
        <v/>
      </c>
      <c r="E127" s="25" t="str">
        <f>IF($M127="H","제공금액 "&amp;TEXT(INDEX($U$5:$U$16,$J127),"#,##0")&amp;"원",IF($M127="C","제공금액",IF($M127="I",INDEX('완료 체험단'!$F$4:$F$2000,$N127),IF($M127="T",INDEX($U$5:$U$16,$J127),""))))</f>
        <v/>
      </c>
      <c r="F127" s="25" t="str">
        <f>IF($M127="H","결제금액 "&amp;TEXT(INDEX($V$5:$V$16,$J127),"#,##0")&amp;"원",IF($M127="C","결제금액",IF($M127="I",INDEX('완료 체험단'!$G$4:$G$2000,$N127),IF($M127="T",INDEX($V$5:$V$16,$J127),""))))</f>
        <v/>
      </c>
      <c r="G127" s="25" t="str">
        <f>IF($M127="H","실수익 "&amp;TEXT(INDEX($W$5:$W$16,$J127),"#,##0")&amp;"원",IF($M127="C","실수익",IF($M127="I",INDEX('완료 체험단'!$H$4:$H$2000,$N127),IF($M127="T",INDEX($W$5:$W$16,$J127),""))))</f>
        <v/>
      </c>
      <c r="I127" s="31">
        <f>ROWS(I$5:I127)</f>
        <v>123</v>
      </c>
      <c r="J127" t="str">
        <f t="shared" si="7"/>
        <v/>
      </c>
      <c r="K127" t="str">
        <f t="shared" si="8"/>
        <v/>
      </c>
      <c r="L127" t="str">
        <f t="shared" si="9"/>
        <v/>
      </c>
      <c r="M127" t="str">
        <f t="shared" si="10"/>
        <v/>
      </c>
      <c r="N127" t="str">
        <f>IF($M127="I",MATCH(SMALL('완료 체험단'!$K$4:$K$2000,INDEX($T$5:$T$16,$J127)+$K127-2),'완료 체험단'!$K$4:$K$2000,0),"")</f>
        <v/>
      </c>
    </row>
    <row r="128" spans="2:14">
      <c r="B128" s="23" t="str">
        <f>IF($M128="H",$J128&amp;"월",IF($M128="C","매장명",IF($M128="I",INDEX('완료 체험단'!$A$4:$A$2000,$N128),IF($M128="T","합계",""))))</f>
        <v/>
      </c>
      <c r="C128" s="29" t="str">
        <f>IF($M128="H",$L128&amp;"건",IF($M128="C","사이트",IF($M128="I",INDEX('완료 체험단'!$C$4:$C$2000,$N128),IF($M128="T",$L128&amp;"건",""))))</f>
        <v/>
      </c>
      <c r="D128" s="30" t="str">
        <f>IF($M128="C","방문일",IF($M128="I",INDEX('완료 체험단'!$D$4:$D$2000,$N128),""))</f>
        <v/>
      </c>
      <c r="E128" s="25" t="str">
        <f>IF($M128="H","제공금액 "&amp;TEXT(INDEX($U$5:$U$16,$J128),"#,##0")&amp;"원",IF($M128="C","제공금액",IF($M128="I",INDEX('완료 체험단'!$F$4:$F$2000,$N128),IF($M128="T",INDEX($U$5:$U$16,$J128),""))))</f>
        <v/>
      </c>
      <c r="F128" s="25" t="str">
        <f>IF($M128="H","결제금액 "&amp;TEXT(INDEX($V$5:$V$16,$J128),"#,##0")&amp;"원",IF($M128="C","결제금액",IF($M128="I",INDEX('완료 체험단'!$G$4:$G$2000,$N128),IF($M128="T",INDEX($V$5:$V$16,$J128),""))))</f>
        <v/>
      </c>
      <c r="G128" s="25" t="str">
        <f>IF($M128="H","실수익 "&amp;TEXT(INDEX($W$5:$W$16,$J128),"#,##0")&amp;"원",IF($M128="C","실수익",IF($M128="I",INDEX('완료 체험단'!$H$4:$H$2000,$N128),IF($M128="T",INDEX($W$5:$W$16,$J128),""))))</f>
        <v/>
      </c>
      <c r="I128" s="31">
        <f>ROWS(I$5:I128)</f>
        <v>124</v>
      </c>
      <c r="J128" t="str">
        <f t="shared" si="7"/>
        <v/>
      </c>
      <c r="K128" t="str">
        <f t="shared" si="8"/>
        <v/>
      </c>
      <c r="L128" t="str">
        <f t="shared" si="9"/>
        <v/>
      </c>
      <c r="M128" t="str">
        <f t="shared" si="10"/>
        <v/>
      </c>
      <c r="N128" t="str">
        <f>IF($M128="I",MATCH(SMALL('완료 체험단'!$K$4:$K$2000,INDEX($T$5:$T$16,$J128)+$K128-2),'완료 체험단'!$K$4:$K$2000,0),"")</f>
        <v/>
      </c>
    </row>
    <row r="129" spans="2:14">
      <c r="B129" s="23" t="str">
        <f>IF($M129="H",$J129&amp;"월",IF($M129="C","매장명",IF($M129="I",INDEX('완료 체험단'!$A$4:$A$2000,$N129),IF($M129="T","합계",""))))</f>
        <v/>
      </c>
      <c r="C129" s="29" t="str">
        <f>IF($M129="H",$L129&amp;"건",IF($M129="C","사이트",IF($M129="I",INDEX('완료 체험단'!$C$4:$C$2000,$N129),IF($M129="T",$L129&amp;"건",""))))</f>
        <v/>
      </c>
      <c r="D129" s="30" t="str">
        <f>IF($M129="C","방문일",IF($M129="I",INDEX('완료 체험단'!$D$4:$D$2000,$N129),""))</f>
        <v/>
      </c>
      <c r="E129" s="25" t="str">
        <f>IF($M129="H","제공금액 "&amp;TEXT(INDEX($U$5:$U$16,$J129),"#,##0")&amp;"원",IF($M129="C","제공금액",IF($M129="I",INDEX('완료 체험단'!$F$4:$F$2000,$N129),IF($M129="T",INDEX($U$5:$U$16,$J129),""))))</f>
        <v/>
      </c>
      <c r="F129" s="25" t="str">
        <f>IF($M129="H","결제금액 "&amp;TEXT(INDEX($V$5:$V$16,$J129),"#,##0")&amp;"원",IF($M129="C","결제금액",IF($M129="I",INDEX('완료 체험단'!$G$4:$G$2000,$N129),IF($M129="T",INDEX($V$5:$V$16,$J129),""))))</f>
        <v/>
      </c>
      <c r="G129" s="25" t="str">
        <f>IF($M129="H","실수익 "&amp;TEXT(INDEX($W$5:$W$16,$J129),"#,##0")&amp;"원",IF($M129="C","실수익",IF($M129="I",INDEX('완료 체험단'!$H$4:$H$2000,$N129),IF($M129="T",INDEX($W$5:$W$16,$J129),""))))</f>
        <v/>
      </c>
      <c r="I129" s="31">
        <f>ROWS(I$5:I129)</f>
        <v>125</v>
      </c>
      <c r="J129" t="str">
        <f t="shared" si="7"/>
        <v/>
      </c>
      <c r="K129" t="str">
        <f t="shared" si="8"/>
        <v/>
      </c>
      <c r="L129" t="str">
        <f t="shared" si="9"/>
        <v/>
      </c>
      <c r="M129" t="str">
        <f t="shared" si="10"/>
        <v/>
      </c>
      <c r="N129" t="str">
        <f>IF($M129="I",MATCH(SMALL('완료 체험단'!$K$4:$K$2000,INDEX($T$5:$T$16,$J129)+$K129-2),'완료 체험단'!$K$4:$K$2000,0),"")</f>
        <v/>
      </c>
    </row>
    <row r="130" spans="2:14">
      <c r="B130" s="23" t="str">
        <f>IF($M130="H",$J130&amp;"월",IF($M130="C","매장명",IF($M130="I",INDEX('완료 체험단'!$A$4:$A$2000,$N130),IF($M130="T","합계",""))))</f>
        <v/>
      </c>
      <c r="C130" s="29" t="str">
        <f>IF($M130="H",$L130&amp;"건",IF($M130="C","사이트",IF($M130="I",INDEX('완료 체험단'!$C$4:$C$2000,$N130),IF($M130="T",$L130&amp;"건",""))))</f>
        <v/>
      </c>
      <c r="D130" s="30" t="str">
        <f>IF($M130="C","방문일",IF($M130="I",INDEX('완료 체험단'!$D$4:$D$2000,$N130),""))</f>
        <v/>
      </c>
      <c r="E130" s="25" t="str">
        <f>IF($M130="H","제공금액 "&amp;TEXT(INDEX($U$5:$U$16,$J130),"#,##0")&amp;"원",IF($M130="C","제공금액",IF($M130="I",INDEX('완료 체험단'!$F$4:$F$2000,$N130),IF($M130="T",INDEX($U$5:$U$16,$J130),""))))</f>
        <v/>
      </c>
      <c r="F130" s="25" t="str">
        <f>IF($M130="H","결제금액 "&amp;TEXT(INDEX($V$5:$V$16,$J130),"#,##0")&amp;"원",IF($M130="C","결제금액",IF($M130="I",INDEX('완료 체험단'!$G$4:$G$2000,$N130),IF($M130="T",INDEX($V$5:$V$16,$J130),""))))</f>
        <v/>
      </c>
      <c r="G130" s="25" t="str">
        <f>IF($M130="H","실수익 "&amp;TEXT(INDEX($W$5:$W$16,$J130),"#,##0")&amp;"원",IF($M130="C","실수익",IF($M130="I",INDEX('완료 체험단'!$H$4:$H$2000,$N130),IF($M130="T",INDEX($W$5:$W$16,$J130),""))))</f>
        <v/>
      </c>
      <c r="I130" s="31">
        <f>ROWS(I$5:I130)</f>
        <v>126</v>
      </c>
      <c r="J130" t="str">
        <f t="shared" si="7"/>
        <v/>
      </c>
      <c r="K130" t="str">
        <f t="shared" si="8"/>
        <v/>
      </c>
      <c r="L130" t="str">
        <f t="shared" si="9"/>
        <v/>
      </c>
      <c r="M130" t="str">
        <f t="shared" si="10"/>
        <v/>
      </c>
      <c r="N130" t="str">
        <f>IF($M130="I",MATCH(SMALL('완료 체험단'!$K$4:$K$2000,INDEX($T$5:$T$16,$J130)+$K130-2),'완료 체험단'!$K$4:$K$2000,0),"")</f>
        <v/>
      </c>
    </row>
    <row r="131" spans="2:14">
      <c r="B131" s="23" t="str">
        <f>IF($M131="H",$J131&amp;"월",IF($M131="C","매장명",IF($M131="I",INDEX('완료 체험단'!$A$4:$A$2000,$N131),IF($M131="T","합계",""))))</f>
        <v/>
      </c>
      <c r="C131" s="29" t="str">
        <f>IF($M131="H",$L131&amp;"건",IF($M131="C","사이트",IF($M131="I",INDEX('완료 체험단'!$C$4:$C$2000,$N131),IF($M131="T",$L131&amp;"건",""))))</f>
        <v/>
      </c>
      <c r="D131" s="30" t="str">
        <f>IF($M131="C","방문일",IF($M131="I",INDEX('완료 체험단'!$D$4:$D$2000,$N131),""))</f>
        <v/>
      </c>
      <c r="E131" s="25" t="str">
        <f>IF($M131="H","제공금액 "&amp;TEXT(INDEX($U$5:$U$16,$J131),"#,##0")&amp;"원",IF($M131="C","제공금액",IF($M131="I",INDEX('완료 체험단'!$F$4:$F$2000,$N131),IF($M131="T",INDEX($U$5:$U$16,$J131),""))))</f>
        <v/>
      </c>
      <c r="F131" s="25" t="str">
        <f>IF($M131="H","결제금액 "&amp;TEXT(INDEX($V$5:$V$16,$J131),"#,##0")&amp;"원",IF($M131="C","결제금액",IF($M131="I",INDEX('완료 체험단'!$G$4:$G$2000,$N131),IF($M131="T",INDEX($V$5:$V$16,$J131),""))))</f>
        <v/>
      </c>
      <c r="G131" s="25" t="str">
        <f>IF($M131="H","실수익 "&amp;TEXT(INDEX($W$5:$W$16,$J131),"#,##0")&amp;"원",IF($M131="C","실수익",IF($M131="I",INDEX('완료 체험단'!$H$4:$H$2000,$N131),IF($M131="T",INDEX($W$5:$W$16,$J131),""))))</f>
        <v/>
      </c>
      <c r="I131" s="31">
        <f>ROWS(I$5:I131)</f>
        <v>127</v>
      </c>
      <c r="J131" t="str">
        <f t="shared" si="7"/>
        <v/>
      </c>
      <c r="K131" t="str">
        <f t="shared" si="8"/>
        <v/>
      </c>
      <c r="L131" t="str">
        <f t="shared" si="9"/>
        <v/>
      </c>
      <c r="M131" t="str">
        <f t="shared" si="10"/>
        <v/>
      </c>
      <c r="N131" t="str">
        <f>IF($M131="I",MATCH(SMALL('완료 체험단'!$K$4:$K$2000,INDEX($T$5:$T$16,$J131)+$K131-2),'완료 체험단'!$K$4:$K$2000,0),"")</f>
        <v/>
      </c>
    </row>
    <row r="132" spans="2:14">
      <c r="B132" s="23" t="str">
        <f>IF($M132="H",$J132&amp;"월",IF($M132="C","매장명",IF($M132="I",INDEX('완료 체험단'!$A$4:$A$2000,$N132),IF($M132="T","합계",""))))</f>
        <v/>
      </c>
      <c r="C132" s="29" t="str">
        <f>IF($M132="H",$L132&amp;"건",IF($M132="C","사이트",IF($M132="I",INDEX('완료 체험단'!$C$4:$C$2000,$N132),IF($M132="T",$L132&amp;"건",""))))</f>
        <v/>
      </c>
      <c r="D132" s="30" t="str">
        <f>IF($M132="C","방문일",IF($M132="I",INDEX('완료 체험단'!$D$4:$D$2000,$N132),""))</f>
        <v/>
      </c>
      <c r="E132" s="25" t="str">
        <f>IF($M132="H","제공금액 "&amp;TEXT(INDEX($U$5:$U$16,$J132),"#,##0")&amp;"원",IF($M132="C","제공금액",IF($M132="I",INDEX('완료 체험단'!$F$4:$F$2000,$N132),IF($M132="T",INDEX($U$5:$U$16,$J132),""))))</f>
        <v/>
      </c>
      <c r="F132" s="25" t="str">
        <f>IF($M132="H","결제금액 "&amp;TEXT(INDEX($V$5:$V$16,$J132),"#,##0")&amp;"원",IF($M132="C","결제금액",IF($M132="I",INDEX('완료 체험단'!$G$4:$G$2000,$N132),IF($M132="T",INDEX($V$5:$V$16,$J132),""))))</f>
        <v/>
      </c>
      <c r="G132" s="25" t="str">
        <f>IF($M132="H","실수익 "&amp;TEXT(INDEX($W$5:$W$16,$J132),"#,##0")&amp;"원",IF($M132="C","실수익",IF($M132="I",INDEX('완료 체험단'!$H$4:$H$2000,$N132),IF($M132="T",INDEX($W$5:$W$16,$J132),""))))</f>
        <v/>
      </c>
      <c r="I132" s="31">
        <f>ROWS(I$5:I132)</f>
        <v>128</v>
      </c>
      <c r="J132" t="str">
        <f t="shared" si="7"/>
        <v/>
      </c>
      <c r="K132" t="str">
        <f t="shared" si="8"/>
        <v/>
      </c>
      <c r="L132" t="str">
        <f t="shared" si="9"/>
        <v/>
      </c>
      <c r="M132" t="str">
        <f t="shared" si="10"/>
        <v/>
      </c>
      <c r="N132" t="str">
        <f>IF($M132="I",MATCH(SMALL('완료 체험단'!$K$4:$K$2000,INDEX($T$5:$T$16,$J132)+$K132-2),'완료 체험단'!$K$4:$K$2000,0),"")</f>
        <v/>
      </c>
    </row>
    <row r="133" spans="2:14">
      <c r="B133" s="23" t="str">
        <f>IF($M133="H",$J133&amp;"월",IF($M133="C","매장명",IF($M133="I",INDEX('완료 체험단'!$A$4:$A$2000,$N133),IF($M133="T","합계",""))))</f>
        <v/>
      </c>
      <c r="C133" s="29" t="str">
        <f>IF($M133="H",$L133&amp;"건",IF($M133="C","사이트",IF($M133="I",INDEX('완료 체험단'!$C$4:$C$2000,$N133),IF($M133="T",$L133&amp;"건",""))))</f>
        <v/>
      </c>
      <c r="D133" s="30" t="str">
        <f>IF($M133="C","방문일",IF($M133="I",INDEX('완료 체험단'!$D$4:$D$2000,$N133),""))</f>
        <v/>
      </c>
      <c r="E133" s="25" t="str">
        <f>IF($M133="H","제공금액 "&amp;TEXT(INDEX($U$5:$U$16,$J133),"#,##0")&amp;"원",IF($M133="C","제공금액",IF($M133="I",INDEX('완료 체험단'!$F$4:$F$2000,$N133),IF($M133="T",INDEX($U$5:$U$16,$J133),""))))</f>
        <v/>
      </c>
      <c r="F133" s="25" t="str">
        <f>IF($M133="H","결제금액 "&amp;TEXT(INDEX($V$5:$V$16,$J133),"#,##0")&amp;"원",IF($M133="C","결제금액",IF($M133="I",INDEX('완료 체험단'!$G$4:$G$2000,$N133),IF($M133="T",INDEX($V$5:$V$16,$J133),""))))</f>
        <v/>
      </c>
      <c r="G133" s="25" t="str">
        <f>IF($M133="H","실수익 "&amp;TEXT(INDEX($W$5:$W$16,$J133),"#,##0")&amp;"원",IF($M133="C","실수익",IF($M133="I",INDEX('완료 체험단'!$H$4:$H$2000,$N133),IF($M133="T",INDEX($W$5:$W$16,$J133),""))))</f>
        <v/>
      </c>
      <c r="I133" s="31">
        <f>ROWS(I$5:I133)</f>
        <v>129</v>
      </c>
      <c r="J133" t="str">
        <f t="shared" ref="J133:J196" si="11">IF($I133&gt;$S$17,"",MATCH($I133-1,$S$5:$S$16,1))</f>
        <v/>
      </c>
      <c r="K133" t="str">
        <f t="shared" ref="K133:K196" si="12">IF($J133="","",$I133-INDEX($S$5:$S$16,$J133))</f>
        <v/>
      </c>
      <c r="L133" t="str">
        <f t="shared" ref="L133:L196" si="13">IF($J133="","",INDEX($Q$5:$Q$16,$J133))</f>
        <v/>
      </c>
      <c r="M133" t="str">
        <f t="shared" ref="M133:M196" si="14">IF($J133="","",IF($K133=1,"H",IF($L133=0,"S",IF($K133=2,"C",IF($K133&lt;=$L133+2,"I",IF($K133=$L133+3,"T","S"))))))</f>
        <v/>
      </c>
      <c r="N133" t="str">
        <f>IF($M133="I",MATCH(SMALL('완료 체험단'!$K$4:$K$2000,INDEX($T$5:$T$16,$J133)+$K133-2),'완료 체험단'!$K$4:$K$2000,0),"")</f>
        <v/>
      </c>
    </row>
    <row r="134" spans="2:14">
      <c r="B134" s="23" t="str">
        <f>IF($M134="H",$J134&amp;"월",IF($M134="C","매장명",IF($M134="I",INDEX('완료 체험단'!$A$4:$A$2000,$N134),IF($M134="T","합계",""))))</f>
        <v/>
      </c>
      <c r="C134" s="29" t="str">
        <f>IF($M134="H",$L134&amp;"건",IF($M134="C","사이트",IF($M134="I",INDEX('완료 체험단'!$C$4:$C$2000,$N134),IF($M134="T",$L134&amp;"건",""))))</f>
        <v/>
      </c>
      <c r="D134" s="30" t="str">
        <f>IF($M134="C","방문일",IF($M134="I",INDEX('완료 체험단'!$D$4:$D$2000,$N134),""))</f>
        <v/>
      </c>
      <c r="E134" s="25" t="str">
        <f>IF($M134="H","제공금액 "&amp;TEXT(INDEX($U$5:$U$16,$J134),"#,##0")&amp;"원",IF($M134="C","제공금액",IF($M134="I",INDEX('완료 체험단'!$F$4:$F$2000,$N134),IF($M134="T",INDEX($U$5:$U$16,$J134),""))))</f>
        <v/>
      </c>
      <c r="F134" s="25" t="str">
        <f>IF($M134="H","결제금액 "&amp;TEXT(INDEX($V$5:$V$16,$J134),"#,##0")&amp;"원",IF($M134="C","결제금액",IF($M134="I",INDEX('완료 체험단'!$G$4:$G$2000,$N134),IF($M134="T",INDEX($V$5:$V$16,$J134),""))))</f>
        <v/>
      </c>
      <c r="G134" s="25" t="str">
        <f>IF($M134="H","실수익 "&amp;TEXT(INDEX($W$5:$W$16,$J134),"#,##0")&amp;"원",IF($M134="C","실수익",IF($M134="I",INDEX('완료 체험단'!$H$4:$H$2000,$N134),IF($M134="T",INDEX($W$5:$W$16,$J134),""))))</f>
        <v/>
      </c>
      <c r="I134" s="31">
        <f>ROWS(I$5:I134)</f>
        <v>130</v>
      </c>
      <c r="J134" t="str">
        <f t="shared" si="11"/>
        <v/>
      </c>
      <c r="K134" t="str">
        <f t="shared" si="12"/>
        <v/>
      </c>
      <c r="L134" t="str">
        <f t="shared" si="13"/>
        <v/>
      </c>
      <c r="M134" t="str">
        <f t="shared" si="14"/>
        <v/>
      </c>
      <c r="N134" t="str">
        <f>IF($M134="I",MATCH(SMALL('완료 체험단'!$K$4:$K$2000,INDEX($T$5:$T$16,$J134)+$K134-2),'완료 체험단'!$K$4:$K$2000,0),"")</f>
        <v/>
      </c>
    </row>
    <row r="135" spans="2:14">
      <c r="B135" s="23" t="str">
        <f>IF($M135="H",$J135&amp;"월",IF($M135="C","매장명",IF($M135="I",INDEX('완료 체험단'!$A$4:$A$2000,$N135),IF($M135="T","합계",""))))</f>
        <v/>
      </c>
      <c r="C135" s="29" t="str">
        <f>IF($M135="H",$L135&amp;"건",IF($M135="C","사이트",IF($M135="I",INDEX('완료 체험단'!$C$4:$C$2000,$N135),IF($M135="T",$L135&amp;"건",""))))</f>
        <v/>
      </c>
      <c r="D135" s="30" t="str">
        <f>IF($M135="C","방문일",IF($M135="I",INDEX('완료 체험단'!$D$4:$D$2000,$N135),""))</f>
        <v/>
      </c>
      <c r="E135" s="25" t="str">
        <f>IF($M135="H","제공금액 "&amp;TEXT(INDEX($U$5:$U$16,$J135),"#,##0")&amp;"원",IF($M135="C","제공금액",IF($M135="I",INDEX('완료 체험단'!$F$4:$F$2000,$N135),IF($M135="T",INDEX($U$5:$U$16,$J135),""))))</f>
        <v/>
      </c>
      <c r="F135" s="25" t="str">
        <f>IF($M135="H","결제금액 "&amp;TEXT(INDEX($V$5:$V$16,$J135),"#,##0")&amp;"원",IF($M135="C","결제금액",IF($M135="I",INDEX('완료 체험단'!$G$4:$G$2000,$N135),IF($M135="T",INDEX($V$5:$V$16,$J135),""))))</f>
        <v/>
      </c>
      <c r="G135" s="25" t="str">
        <f>IF($M135="H","실수익 "&amp;TEXT(INDEX($W$5:$W$16,$J135),"#,##0")&amp;"원",IF($M135="C","실수익",IF($M135="I",INDEX('완료 체험단'!$H$4:$H$2000,$N135),IF($M135="T",INDEX($W$5:$W$16,$J135),""))))</f>
        <v/>
      </c>
      <c r="I135" s="31">
        <f>ROWS(I$5:I135)</f>
        <v>131</v>
      </c>
      <c r="J135" t="str">
        <f t="shared" si="11"/>
        <v/>
      </c>
      <c r="K135" t="str">
        <f t="shared" si="12"/>
        <v/>
      </c>
      <c r="L135" t="str">
        <f t="shared" si="13"/>
        <v/>
      </c>
      <c r="M135" t="str">
        <f t="shared" si="14"/>
        <v/>
      </c>
      <c r="N135" t="str">
        <f>IF($M135="I",MATCH(SMALL('완료 체험단'!$K$4:$K$2000,INDEX($T$5:$T$16,$J135)+$K135-2),'완료 체험단'!$K$4:$K$2000,0),"")</f>
        <v/>
      </c>
    </row>
    <row r="136" spans="2:14">
      <c r="B136" s="23" t="str">
        <f>IF($M136="H",$J136&amp;"월",IF($M136="C","매장명",IF($M136="I",INDEX('완료 체험단'!$A$4:$A$2000,$N136),IF($M136="T","합계",""))))</f>
        <v/>
      </c>
      <c r="C136" s="29" t="str">
        <f>IF($M136="H",$L136&amp;"건",IF($M136="C","사이트",IF($M136="I",INDEX('완료 체험단'!$C$4:$C$2000,$N136),IF($M136="T",$L136&amp;"건",""))))</f>
        <v/>
      </c>
      <c r="D136" s="30" t="str">
        <f>IF($M136="C","방문일",IF($M136="I",INDEX('완료 체험단'!$D$4:$D$2000,$N136),""))</f>
        <v/>
      </c>
      <c r="E136" s="25" t="str">
        <f>IF($M136="H","제공금액 "&amp;TEXT(INDEX($U$5:$U$16,$J136),"#,##0")&amp;"원",IF($M136="C","제공금액",IF($M136="I",INDEX('완료 체험단'!$F$4:$F$2000,$N136),IF($M136="T",INDEX($U$5:$U$16,$J136),""))))</f>
        <v/>
      </c>
      <c r="F136" s="25" t="str">
        <f>IF($M136="H","결제금액 "&amp;TEXT(INDEX($V$5:$V$16,$J136),"#,##0")&amp;"원",IF($M136="C","결제금액",IF($M136="I",INDEX('완료 체험단'!$G$4:$G$2000,$N136),IF($M136="T",INDEX($V$5:$V$16,$J136),""))))</f>
        <v/>
      </c>
      <c r="G136" s="25" t="str">
        <f>IF($M136="H","실수익 "&amp;TEXT(INDEX($W$5:$W$16,$J136),"#,##0")&amp;"원",IF($M136="C","실수익",IF($M136="I",INDEX('완료 체험단'!$H$4:$H$2000,$N136),IF($M136="T",INDEX($W$5:$W$16,$J136),""))))</f>
        <v/>
      </c>
      <c r="I136" s="31">
        <f>ROWS(I$5:I136)</f>
        <v>132</v>
      </c>
      <c r="J136" t="str">
        <f t="shared" si="11"/>
        <v/>
      </c>
      <c r="K136" t="str">
        <f t="shared" si="12"/>
        <v/>
      </c>
      <c r="L136" t="str">
        <f t="shared" si="13"/>
        <v/>
      </c>
      <c r="M136" t="str">
        <f t="shared" si="14"/>
        <v/>
      </c>
      <c r="N136" t="str">
        <f>IF($M136="I",MATCH(SMALL('완료 체험단'!$K$4:$K$2000,INDEX($T$5:$T$16,$J136)+$K136-2),'완료 체험단'!$K$4:$K$2000,0),"")</f>
        <v/>
      </c>
    </row>
    <row r="137" spans="2:14">
      <c r="B137" s="23" t="str">
        <f>IF($M137="H",$J137&amp;"월",IF($M137="C","매장명",IF($M137="I",INDEX('완료 체험단'!$A$4:$A$2000,$N137),IF($M137="T","합계",""))))</f>
        <v/>
      </c>
      <c r="C137" s="29" t="str">
        <f>IF($M137="H",$L137&amp;"건",IF($M137="C","사이트",IF($M137="I",INDEX('완료 체험단'!$C$4:$C$2000,$N137),IF($M137="T",$L137&amp;"건",""))))</f>
        <v/>
      </c>
      <c r="D137" s="30" t="str">
        <f>IF($M137="C","방문일",IF($M137="I",INDEX('완료 체험단'!$D$4:$D$2000,$N137),""))</f>
        <v/>
      </c>
      <c r="E137" s="25" t="str">
        <f>IF($M137="H","제공금액 "&amp;TEXT(INDEX($U$5:$U$16,$J137),"#,##0")&amp;"원",IF($M137="C","제공금액",IF($M137="I",INDEX('완료 체험단'!$F$4:$F$2000,$N137),IF($M137="T",INDEX($U$5:$U$16,$J137),""))))</f>
        <v/>
      </c>
      <c r="F137" s="25" t="str">
        <f>IF($M137="H","결제금액 "&amp;TEXT(INDEX($V$5:$V$16,$J137),"#,##0")&amp;"원",IF($M137="C","결제금액",IF($M137="I",INDEX('완료 체험단'!$G$4:$G$2000,$N137),IF($M137="T",INDEX($V$5:$V$16,$J137),""))))</f>
        <v/>
      </c>
      <c r="G137" s="25" t="str">
        <f>IF($M137="H","실수익 "&amp;TEXT(INDEX($W$5:$W$16,$J137),"#,##0")&amp;"원",IF($M137="C","실수익",IF($M137="I",INDEX('완료 체험단'!$H$4:$H$2000,$N137),IF($M137="T",INDEX($W$5:$W$16,$J137),""))))</f>
        <v/>
      </c>
      <c r="I137" s="31">
        <f>ROWS(I$5:I137)</f>
        <v>133</v>
      </c>
      <c r="J137" t="str">
        <f t="shared" si="11"/>
        <v/>
      </c>
      <c r="K137" t="str">
        <f t="shared" si="12"/>
        <v/>
      </c>
      <c r="L137" t="str">
        <f t="shared" si="13"/>
        <v/>
      </c>
      <c r="M137" t="str">
        <f t="shared" si="14"/>
        <v/>
      </c>
      <c r="N137" t="str">
        <f>IF($M137="I",MATCH(SMALL('완료 체험단'!$K$4:$K$2000,INDEX($T$5:$T$16,$J137)+$K137-2),'완료 체험단'!$K$4:$K$2000,0),"")</f>
        <v/>
      </c>
    </row>
    <row r="138" spans="2:14">
      <c r="B138" s="23" t="str">
        <f>IF($M138="H",$J138&amp;"월",IF($M138="C","매장명",IF($M138="I",INDEX('완료 체험단'!$A$4:$A$2000,$N138),IF($M138="T","합계",""))))</f>
        <v/>
      </c>
      <c r="C138" s="29" t="str">
        <f>IF($M138="H",$L138&amp;"건",IF($M138="C","사이트",IF($M138="I",INDEX('완료 체험단'!$C$4:$C$2000,$N138),IF($M138="T",$L138&amp;"건",""))))</f>
        <v/>
      </c>
      <c r="D138" s="30" t="str">
        <f>IF($M138="C","방문일",IF($M138="I",INDEX('완료 체험단'!$D$4:$D$2000,$N138),""))</f>
        <v/>
      </c>
      <c r="E138" s="25" t="str">
        <f>IF($M138="H","제공금액 "&amp;TEXT(INDEX($U$5:$U$16,$J138),"#,##0")&amp;"원",IF($M138="C","제공금액",IF($M138="I",INDEX('완료 체험단'!$F$4:$F$2000,$N138),IF($M138="T",INDEX($U$5:$U$16,$J138),""))))</f>
        <v/>
      </c>
      <c r="F138" s="25" t="str">
        <f>IF($M138="H","결제금액 "&amp;TEXT(INDEX($V$5:$V$16,$J138),"#,##0")&amp;"원",IF($M138="C","결제금액",IF($M138="I",INDEX('완료 체험단'!$G$4:$G$2000,$N138),IF($M138="T",INDEX($V$5:$V$16,$J138),""))))</f>
        <v/>
      </c>
      <c r="G138" s="25" t="str">
        <f>IF($M138="H","실수익 "&amp;TEXT(INDEX($W$5:$W$16,$J138),"#,##0")&amp;"원",IF($M138="C","실수익",IF($M138="I",INDEX('완료 체험단'!$H$4:$H$2000,$N138),IF($M138="T",INDEX($W$5:$W$16,$J138),""))))</f>
        <v/>
      </c>
      <c r="I138" s="31">
        <f>ROWS(I$5:I138)</f>
        <v>134</v>
      </c>
      <c r="J138" t="str">
        <f t="shared" si="11"/>
        <v/>
      </c>
      <c r="K138" t="str">
        <f t="shared" si="12"/>
        <v/>
      </c>
      <c r="L138" t="str">
        <f t="shared" si="13"/>
        <v/>
      </c>
      <c r="M138" t="str">
        <f t="shared" si="14"/>
        <v/>
      </c>
      <c r="N138" t="str">
        <f>IF($M138="I",MATCH(SMALL('완료 체험단'!$K$4:$K$2000,INDEX($T$5:$T$16,$J138)+$K138-2),'완료 체험단'!$K$4:$K$2000,0),"")</f>
        <v/>
      </c>
    </row>
    <row r="139" spans="2:14">
      <c r="B139" s="23" t="str">
        <f>IF($M139="H",$J139&amp;"월",IF($M139="C","매장명",IF($M139="I",INDEX('완료 체험단'!$A$4:$A$2000,$N139),IF($M139="T","합계",""))))</f>
        <v/>
      </c>
      <c r="C139" s="29" t="str">
        <f>IF($M139="H",$L139&amp;"건",IF($M139="C","사이트",IF($M139="I",INDEX('완료 체험단'!$C$4:$C$2000,$N139),IF($M139="T",$L139&amp;"건",""))))</f>
        <v/>
      </c>
      <c r="D139" s="30" t="str">
        <f>IF($M139="C","방문일",IF($M139="I",INDEX('완료 체험단'!$D$4:$D$2000,$N139),""))</f>
        <v/>
      </c>
      <c r="E139" s="25" t="str">
        <f>IF($M139="H","제공금액 "&amp;TEXT(INDEX($U$5:$U$16,$J139),"#,##0")&amp;"원",IF($M139="C","제공금액",IF($M139="I",INDEX('완료 체험단'!$F$4:$F$2000,$N139),IF($M139="T",INDEX($U$5:$U$16,$J139),""))))</f>
        <v/>
      </c>
      <c r="F139" s="25" t="str">
        <f>IF($M139="H","결제금액 "&amp;TEXT(INDEX($V$5:$V$16,$J139),"#,##0")&amp;"원",IF($M139="C","결제금액",IF($M139="I",INDEX('완료 체험단'!$G$4:$G$2000,$N139),IF($M139="T",INDEX($V$5:$V$16,$J139),""))))</f>
        <v/>
      </c>
      <c r="G139" s="25" t="str">
        <f>IF($M139="H","실수익 "&amp;TEXT(INDEX($W$5:$W$16,$J139),"#,##0")&amp;"원",IF($M139="C","실수익",IF($M139="I",INDEX('완료 체험단'!$H$4:$H$2000,$N139),IF($M139="T",INDEX($W$5:$W$16,$J139),""))))</f>
        <v/>
      </c>
      <c r="I139" s="31">
        <f>ROWS(I$5:I139)</f>
        <v>135</v>
      </c>
      <c r="J139" t="str">
        <f t="shared" si="11"/>
        <v/>
      </c>
      <c r="K139" t="str">
        <f t="shared" si="12"/>
        <v/>
      </c>
      <c r="L139" t="str">
        <f t="shared" si="13"/>
        <v/>
      </c>
      <c r="M139" t="str">
        <f t="shared" si="14"/>
        <v/>
      </c>
      <c r="N139" t="str">
        <f>IF($M139="I",MATCH(SMALL('완료 체험단'!$K$4:$K$2000,INDEX($T$5:$T$16,$J139)+$K139-2),'완료 체험단'!$K$4:$K$2000,0),"")</f>
        <v/>
      </c>
    </row>
    <row r="140" spans="2:14">
      <c r="B140" s="23" t="str">
        <f>IF($M140="H",$J140&amp;"월",IF($M140="C","매장명",IF($M140="I",INDEX('완료 체험단'!$A$4:$A$2000,$N140),IF($M140="T","합계",""))))</f>
        <v/>
      </c>
      <c r="C140" s="29" t="str">
        <f>IF($M140="H",$L140&amp;"건",IF($M140="C","사이트",IF($M140="I",INDEX('완료 체험단'!$C$4:$C$2000,$N140),IF($M140="T",$L140&amp;"건",""))))</f>
        <v/>
      </c>
      <c r="D140" s="30" t="str">
        <f>IF($M140="C","방문일",IF($M140="I",INDEX('완료 체험단'!$D$4:$D$2000,$N140),""))</f>
        <v/>
      </c>
      <c r="E140" s="25" t="str">
        <f>IF($M140="H","제공금액 "&amp;TEXT(INDEX($U$5:$U$16,$J140),"#,##0")&amp;"원",IF($M140="C","제공금액",IF($M140="I",INDEX('완료 체험단'!$F$4:$F$2000,$N140),IF($M140="T",INDEX($U$5:$U$16,$J140),""))))</f>
        <v/>
      </c>
      <c r="F140" s="25" t="str">
        <f>IF($M140="H","결제금액 "&amp;TEXT(INDEX($V$5:$V$16,$J140),"#,##0")&amp;"원",IF($M140="C","결제금액",IF($M140="I",INDEX('완료 체험단'!$G$4:$G$2000,$N140),IF($M140="T",INDEX($V$5:$V$16,$J140),""))))</f>
        <v/>
      </c>
      <c r="G140" s="25" t="str">
        <f>IF($M140="H","실수익 "&amp;TEXT(INDEX($W$5:$W$16,$J140),"#,##0")&amp;"원",IF($M140="C","실수익",IF($M140="I",INDEX('완료 체험단'!$H$4:$H$2000,$N140),IF($M140="T",INDEX($W$5:$W$16,$J140),""))))</f>
        <v/>
      </c>
      <c r="I140" s="31">
        <f>ROWS(I$5:I140)</f>
        <v>136</v>
      </c>
      <c r="J140" t="str">
        <f t="shared" si="11"/>
        <v/>
      </c>
      <c r="K140" t="str">
        <f t="shared" si="12"/>
        <v/>
      </c>
      <c r="L140" t="str">
        <f t="shared" si="13"/>
        <v/>
      </c>
      <c r="M140" t="str">
        <f t="shared" si="14"/>
        <v/>
      </c>
      <c r="N140" t="str">
        <f>IF($M140="I",MATCH(SMALL('완료 체험단'!$K$4:$K$2000,INDEX($T$5:$T$16,$J140)+$K140-2),'완료 체험단'!$K$4:$K$2000,0),"")</f>
        <v/>
      </c>
    </row>
    <row r="141" spans="2:14">
      <c r="B141" s="23" t="str">
        <f>IF($M141="H",$J141&amp;"월",IF($M141="C","매장명",IF($M141="I",INDEX('완료 체험단'!$A$4:$A$2000,$N141),IF($M141="T","합계",""))))</f>
        <v/>
      </c>
      <c r="C141" s="29" t="str">
        <f>IF($M141="H",$L141&amp;"건",IF($M141="C","사이트",IF($M141="I",INDEX('완료 체험단'!$C$4:$C$2000,$N141),IF($M141="T",$L141&amp;"건",""))))</f>
        <v/>
      </c>
      <c r="D141" s="30" t="str">
        <f>IF($M141="C","방문일",IF($M141="I",INDEX('완료 체험단'!$D$4:$D$2000,$N141),""))</f>
        <v/>
      </c>
      <c r="E141" s="25" t="str">
        <f>IF($M141="H","제공금액 "&amp;TEXT(INDEX($U$5:$U$16,$J141),"#,##0")&amp;"원",IF($M141="C","제공금액",IF($M141="I",INDEX('완료 체험단'!$F$4:$F$2000,$N141),IF($M141="T",INDEX($U$5:$U$16,$J141),""))))</f>
        <v/>
      </c>
      <c r="F141" s="25" t="str">
        <f>IF($M141="H","결제금액 "&amp;TEXT(INDEX($V$5:$V$16,$J141),"#,##0")&amp;"원",IF($M141="C","결제금액",IF($M141="I",INDEX('완료 체험단'!$G$4:$G$2000,$N141),IF($M141="T",INDEX($V$5:$V$16,$J141),""))))</f>
        <v/>
      </c>
      <c r="G141" s="25" t="str">
        <f>IF($M141="H","실수익 "&amp;TEXT(INDEX($W$5:$W$16,$J141),"#,##0")&amp;"원",IF($M141="C","실수익",IF($M141="I",INDEX('완료 체험단'!$H$4:$H$2000,$N141),IF($M141="T",INDEX($W$5:$W$16,$J141),""))))</f>
        <v/>
      </c>
      <c r="I141" s="31">
        <f>ROWS(I$5:I141)</f>
        <v>137</v>
      </c>
      <c r="J141" t="str">
        <f t="shared" si="11"/>
        <v/>
      </c>
      <c r="K141" t="str">
        <f t="shared" si="12"/>
        <v/>
      </c>
      <c r="L141" t="str">
        <f t="shared" si="13"/>
        <v/>
      </c>
      <c r="M141" t="str">
        <f t="shared" si="14"/>
        <v/>
      </c>
      <c r="N141" t="str">
        <f>IF($M141="I",MATCH(SMALL('완료 체험단'!$K$4:$K$2000,INDEX($T$5:$T$16,$J141)+$K141-2),'완료 체험단'!$K$4:$K$2000,0),"")</f>
        <v/>
      </c>
    </row>
    <row r="142" spans="2:14">
      <c r="B142" s="23" t="str">
        <f>IF($M142="H",$J142&amp;"월",IF($M142="C","매장명",IF($M142="I",INDEX('완료 체험단'!$A$4:$A$2000,$N142),IF($M142="T","합계",""))))</f>
        <v/>
      </c>
      <c r="C142" s="29" t="str">
        <f>IF($M142="H",$L142&amp;"건",IF($M142="C","사이트",IF($M142="I",INDEX('완료 체험단'!$C$4:$C$2000,$N142),IF($M142="T",$L142&amp;"건",""))))</f>
        <v/>
      </c>
      <c r="D142" s="30" t="str">
        <f>IF($M142="C","방문일",IF($M142="I",INDEX('완료 체험단'!$D$4:$D$2000,$N142),""))</f>
        <v/>
      </c>
      <c r="E142" s="25" t="str">
        <f>IF($M142="H","제공금액 "&amp;TEXT(INDEX($U$5:$U$16,$J142),"#,##0")&amp;"원",IF($M142="C","제공금액",IF($M142="I",INDEX('완료 체험단'!$F$4:$F$2000,$N142),IF($M142="T",INDEX($U$5:$U$16,$J142),""))))</f>
        <v/>
      </c>
      <c r="F142" s="25" t="str">
        <f>IF($M142="H","결제금액 "&amp;TEXT(INDEX($V$5:$V$16,$J142),"#,##0")&amp;"원",IF($M142="C","결제금액",IF($M142="I",INDEX('완료 체험단'!$G$4:$G$2000,$N142),IF($M142="T",INDEX($V$5:$V$16,$J142),""))))</f>
        <v/>
      </c>
      <c r="G142" s="25" t="str">
        <f>IF($M142="H","실수익 "&amp;TEXT(INDEX($W$5:$W$16,$J142),"#,##0")&amp;"원",IF($M142="C","실수익",IF($M142="I",INDEX('완료 체험단'!$H$4:$H$2000,$N142),IF($M142="T",INDEX($W$5:$W$16,$J142),""))))</f>
        <v/>
      </c>
      <c r="I142" s="31">
        <f>ROWS(I$5:I142)</f>
        <v>138</v>
      </c>
      <c r="J142" t="str">
        <f t="shared" si="11"/>
        <v/>
      </c>
      <c r="K142" t="str">
        <f t="shared" si="12"/>
        <v/>
      </c>
      <c r="L142" t="str">
        <f t="shared" si="13"/>
        <v/>
      </c>
      <c r="M142" t="str">
        <f t="shared" si="14"/>
        <v/>
      </c>
      <c r="N142" t="str">
        <f>IF($M142="I",MATCH(SMALL('완료 체험단'!$K$4:$K$2000,INDEX($T$5:$T$16,$J142)+$K142-2),'완료 체험단'!$K$4:$K$2000,0),"")</f>
        <v/>
      </c>
    </row>
    <row r="143" spans="2:14">
      <c r="B143" s="23" t="str">
        <f>IF($M143="H",$J143&amp;"월",IF($M143="C","매장명",IF($M143="I",INDEX('완료 체험단'!$A$4:$A$2000,$N143),IF($M143="T","합계",""))))</f>
        <v/>
      </c>
      <c r="C143" s="29" t="str">
        <f>IF($M143="H",$L143&amp;"건",IF($M143="C","사이트",IF($M143="I",INDEX('완료 체험단'!$C$4:$C$2000,$N143),IF($M143="T",$L143&amp;"건",""))))</f>
        <v/>
      </c>
      <c r="D143" s="30" t="str">
        <f>IF($M143="C","방문일",IF($M143="I",INDEX('완료 체험단'!$D$4:$D$2000,$N143),""))</f>
        <v/>
      </c>
      <c r="E143" s="25" t="str">
        <f>IF($M143="H","제공금액 "&amp;TEXT(INDEX($U$5:$U$16,$J143),"#,##0")&amp;"원",IF($M143="C","제공금액",IF($M143="I",INDEX('완료 체험단'!$F$4:$F$2000,$N143),IF($M143="T",INDEX($U$5:$U$16,$J143),""))))</f>
        <v/>
      </c>
      <c r="F143" s="25" t="str">
        <f>IF($M143="H","결제금액 "&amp;TEXT(INDEX($V$5:$V$16,$J143),"#,##0")&amp;"원",IF($M143="C","결제금액",IF($M143="I",INDEX('완료 체험단'!$G$4:$G$2000,$N143),IF($M143="T",INDEX($V$5:$V$16,$J143),""))))</f>
        <v/>
      </c>
      <c r="G143" s="25" t="str">
        <f>IF($M143="H","실수익 "&amp;TEXT(INDEX($W$5:$W$16,$J143),"#,##0")&amp;"원",IF($M143="C","실수익",IF($M143="I",INDEX('완료 체험단'!$H$4:$H$2000,$N143),IF($M143="T",INDEX($W$5:$W$16,$J143),""))))</f>
        <v/>
      </c>
      <c r="I143" s="31">
        <f>ROWS(I$5:I143)</f>
        <v>139</v>
      </c>
      <c r="J143" t="str">
        <f t="shared" si="11"/>
        <v/>
      </c>
      <c r="K143" t="str">
        <f t="shared" si="12"/>
        <v/>
      </c>
      <c r="L143" t="str">
        <f t="shared" si="13"/>
        <v/>
      </c>
      <c r="M143" t="str">
        <f t="shared" si="14"/>
        <v/>
      </c>
      <c r="N143" t="str">
        <f>IF($M143="I",MATCH(SMALL('완료 체험단'!$K$4:$K$2000,INDEX($T$5:$T$16,$J143)+$K143-2),'완료 체험단'!$K$4:$K$2000,0),"")</f>
        <v/>
      </c>
    </row>
    <row r="144" spans="2:14">
      <c r="B144" s="23" t="str">
        <f>IF($M144="H",$J144&amp;"월",IF($M144="C","매장명",IF($M144="I",INDEX('완료 체험단'!$A$4:$A$2000,$N144),IF($M144="T","합계",""))))</f>
        <v/>
      </c>
      <c r="C144" s="29" t="str">
        <f>IF($M144="H",$L144&amp;"건",IF($M144="C","사이트",IF($M144="I",INDEX('완료 체험단'!$C$4:$C$2000,$N144),IF($M144="T",$L144&amp;"건",""))))</f>
        <v/>
      </c>
      <c r="D144" s="30" t="str">
        <f>IF($M144="C","방문일",IF($M144="I",INDEX('완료 체험단'!$D$4:$D$2000,$N144),""))</f>
        <v/>
      </c>
      <c r="E144" s="25" t="str">
        <f>IF($M144="H","제공금액 "&amp;TEXT(INDEX($U$5:$U$16,$J144),"#,##0")&amp;"원",IF($M144="C","제공금액",IF($M144="I",INDEX('완료 체험단'!$F$4:$F$2000,$N144),IF($M144="T",INDEX($U$5:$U$16,$J144),""))))</f>
        <v/>
      </c>
      <c r="F144" s="25" t="str">
        <f>IF($M144="H","결제금액 "&amp;TEXT(INDEX($V$5:$V$16,$J144),"#,##0")&amp;"원",IF($M144="C","결제금액",IF($M144="I",INDEX('완료 체험단'!$G$4:$G$2000,$N144),IF($M144="T",INDEX($V$5:$V$16,$J144),""))))</f>
        <v/>
      </c>
      <c r="G144" s="25" t="str">
        <f>IF($M144="H","실수익 "&amp;TEXT(INDEX($W$5:$W$16,$J144),"#,##0")&amp;"원",IF($M144="C","실수익",IF($M144="I",INDEX('완료 체험단'!$H$4:$H$2000,$N144),IF($M144="T",INDEX($W$5:$W$16,$J144),""))))</f>
        <v/>
      </c>
      <c r="I144" s="31">
        <f>ROWS(I$5:I144)</f>
        <v>140</v>
      </c>
      <c r="J144" t="str">
        <f t="shared" si="11"/>
        <v/>
      </c>
      <c r="K144" t="str">
        <f t="shared" si="12"/>
        <v/>
      </c>
      <c r="L144" t="str">
        <f t="shared" si="13"/>
        <v/>
      </c>
      <c r="M144" t="str">
        <f t="shared" si="14"/>
        <v/>
      </c>
      <c r="N144" t="str">
        <f>IF($M144="I",MATCH(SMALL('완료 체험단'!$K$4:$K$2000,INDEX($T$5:$T$16,$J144)+$K144-2),'완료 체험단'!$K$4:$K$2000,0),"")</f>
        <v/>
      </c>
    </row>
    <row r="145" spans="2:14">
      <c r="B145" s="23" t="str">
        <f>IF($M145="H",$J145&amp;"월",IF($M145="C","매장명",IF($M145="I",INDEX('완료 체험단'!$A$4:$A$2000,$N145),IF($M145="T","합계",""))))</f>
        <v/>
      </c>
      <c r="C145" s="29" t="str">
        <f>IF($M145="H",$L145&amp;"건",IF($M145="C","사이트",IF($M145="I",INDEX('완료 체험단'!$C$4:$C$2000,$N145),IF($M145="T",$L145&amp;"건",""))))</f>
        <v/>
      </c>
      <c r="D145" s="30" t="str">
        <f>IF($M145="C","방문일",IF($M145="I",INDEX('완료 체험단'!$D$4:$D$2000,$N145),""))</f>
        <v/>
      </c>
      <c r="E145" s="25" t="str">
        <f>IF($M145="H","제공금액 "&amp;TEXT(INDEX($U$5:$U$16,$J145),"#,##0")&amp;"원",IF($M145="C","제공금액",IF($M145="I",INDEX('완료 체험단'!$F$4:$F$2000,$N145),IF($M145="T",INDEX($U$5:$U$16,$J145),""))))</f>
        <v/>
      </c>
      <c r="F145" s="25" t="str">
        <f>IF($M145="H","결제금액 "&amp;TEXT(INDEX($V$5:$V$16,$J145),"#,##0")&amp;"원",IF($M145="C","결제금액",IF($M145="I",INDEX('완료 체험단'!$G$4:$G$2000,$N145),IF($M145="T",INDEX($V$5:$V$16,$J145),""))))</f>
        <v/>
      </c>
      <c r="G145" s="25" t="str">
        <f>IF($M145="H","실수익 "&amp;TEXT(INDEX($W$5:$W$16,$J145),"#,##0")&amp;"원",IF($M145="C","실수익",IF($M145="I",INDEX('완료 체험단'!$H$4:$H$2000,$N145),IF($M145="T",INDEX($W$5:$W$16,$J145),""))))</f>
        <v/>
      </c>
      <c r="I145" s="31">
        <f>ROWS(I$5:I145)</f>
        <v>141</v>
      </c>
      <c r="J145" t="str">
        <f t="shared" si="11"/>
        <v/>
      </c>
      <c r="K145" t="str">
        <f t="shared" si="12"/>
        <v/>
      </c>
      <c r="L145" t="str">
        <f t="shared" si="13"/>
        <v/>
      </c>
      <c r="M145" t="str">
        <f t="shared" si="14"/>
        <v/>
      </c>
      <c r="N145" t="str">
        <f>IF($M145="I",MATCH(SMALL('완료 체험단'!$K$4:$K$2000,INDEX($T$5:$T$16,$J145)+$K145-2),'완료 체험단'!$K$4:$K$2000,0),"")</f>
        <v/>
      </c>
    </row>
    <row r="146" spans="2:14">
      <c r="B146" s="23" t="str">
        <f>IF($M146="H",$J146&amp;"월",IF($M146="C","매장명",IF($M146="I",INDEX('완료 체험단'!$A$4:$A$2000,$N146),IF($M146="T","합계",""))))</f>
        <v/>
      </c>
      <c r="C146" s="29" t="str">
        <f>IF($M146="H",$L146&amp;"건",IF($M146="C","사이트",IF($M146="I",INDEX('완료 체험단'!$C$4:$C$2000,$N146),IF($M146="T",$L146&amp;"건",""))))</f>
        <v/>
      </c>
      <c r="D146" s="30" t="str">
        <f>IF($M146="C","방문일",IF($M146="I",INDEX('완료 체험단'!$D$4:$D$2000,$N146),""))</f>
        <v/>
      </c>
      <c r="E146" s="25" t="str">
        <f>IF($M146="H","제공금액 "&amp;TEXT(INDEX($U$5:$U$16,$J146),"#,##0")&amp;"원",IF($M146="C","제공금액",IF($M146="I",INDEX('완료 체험단'!$F$4:$F$2000,$N146),IF($M146="T",INDEX($U$5:$U$16,$J146),""))))</f>
        <v/>
      </c>
      <c r="F146" s="25" t="str">
        <f>IF($M146="H","결제금액 "&amp;TEXT(INDEX($V$5:$V$16,$J146),"#,##0")&amp;"원",IF($M146="C","결제금액",IF($M146="I",INDEX('완료 체험단'!$G$4:$G$2000,$N146),IF($M146="T",INDEX($V$5:$V$16,$J146),""))))</f>
        <v/>
      </c>
      <c r="G146" s="25" t="str">
        <f>IF($M146="H","실수익 "&amp;TEXT(INDEX($W$5:$W$16,$J146),"#,##0")&amp;"원",IF($M146="C","실수익",IF($M146="I",INDEX('완료 체험단'!$H$4:$H$2000,$N146),IF($M146="T",INDEX($W$5:$W$16,$J146),""))))</f>
        <v/>
      </c>
      <c r="I146" s="31">
        <f>ROWS(I$5:I146)</f>
        <v>142</v>
      </c>
      <c r="J146" t="str">
        <f t="shared" si="11"/>
        <v/>
      </c>
      <c r="K146" t="str">
        <f t="shared" si="12"/>
        <v/>
      </c>
      <c r="L146" t="str">
        <f t="shared" si="13"/>
        <v/>
      </c>
      <c r="M146" t="str">
        <f t="shared" si="14"/>
        <v/>
      </c>
      <c r="N146" t="str">
        <f>IF($M146="I",MATCH(SMALL('완료 체험단'!$K$4:$K$2000,INDEX($T$5:$T$16,$J146)+$K146-2),'완료 체험단'!$K$4:$K$2000,0),"")</f>
        <v/>
      </c>
    </row>
    <row r="147" spans="2:14">
      <c r="B147" s="23" t="str">
        <f>IF($M147="H",$J147&amp;"월",IF($M147="C","매장명",IF($M147="I",INDEX('완료 체험단'!$A$4:$A$2000,$N147),IF($M147="T","합계",""))))</f>
        <v/>
      </c>
      <c r="C147" s="29" t="str">
        <f>IF($M147="H",$L147&amp;"건",IF($M147="C","사이트",IF($M147="I",INDEX('완료 체험단'!$C$4:$C$2000,$N147),IF($M147="T",$L147&amp;"건",""))))</f>
        <v/>
      </c>
      <c r="D147" s="30" t="str">
        <f>IF($M147="C","방문일",IF($M147="I",INDEX('완료 체험단'!$D$4:$D$2000,$N147),""))</f>
        <v/>
      </c>
      <c r="E147" s="25" t="str">
        <f>IF($M147="H","제공금액 "&amp;TEXT(INDEX($U$5:$U$16,$J147),"#,##0")&amp;"원",IF($M147="C","제공금액",IF($M147="I",INDEX('완료 체험단'!$F$4:$F$2000,$N147),IF($M147="T",INDEX($U$5:$U$16,$J147),""))))</f>
        <v/>
      </c>
      <c r="F147" s="25" t="str">
        <f>IF($M147="H","결제금액 "&amp;TEXT(INDEX($V$5:$V$16,$J147),"#,##0")&amp;"원",IF($M147="C","결제금액",IF($M147="I",INDEX('완료 체험단'!$G$4:$G$2000,$N147),IF($M147="T",INDEX($V$5:$V$16,$J147),""))))</f>
        <v/>
      </c>
      <c r="G147" s="25" t="str">
        <f>IF($M147="H","실수익 "&amp;TEXT(INDEX($W$5:$W$16,$J147),"#,##0")&amp;"원",IF($M147="C","실수익",IF($M147="I",INDEX('완료 체험단'!$H$4:$H$2000,$N147),IF($M147="T",INDEX($W$5:$W$16,$J147),""))))</f>
        <v/>
      </c>
      <c r="I147" s="31">
        <f>ROWS(I$5:I147)</f>
        <v>143</v>
      </c>
      <c r="J147" t="str">
        <f t="shared" si="11"/>
        <v/>
      </c>
      <c r="K147" t="str">
        <f t="shared" si="12"/>
        <v/>
      </c>
      <c r="L147" t="str">
        <f t="shared" si="13"/>
        <v/>
      </c>
      <c r="M147" t="str">
        <f t="shared" si="14"/>
        <v/>
      </c>
      <c r="N147" t="str">
        <f>IF($M147="I",MATCH(SMALL('완료 체험단'!$K$4:$K$2000,INDEX($T$5:$T$16,$J147)+$K147-2),'완료 체험단'!$K$4:$K$2000,0),"")</f>
        <v/>
      </c>
    </row>
    <row r="148" spans="2:14">
      <c r="B148" s="23" t="str">
        <f>IF($M148="H",$J148&amp;"월",IF($M148="C","매장명",IF($M148="I",INDEX('완료 체험단'!$A$4:$A$2000,$N148),IF($M148="T","합계",""))))</f>
        <v/>
      </c>
      <c r="C148" s="29" t="str">
        <f>IF($M148="H",$L148&amp;"건",IF($M148="C","사이트",IF($M148="I",INDEX('완료 체험단'!$C$4:$C$2000,$N148),IF($M148="T",$L148&amp;"건",""))))</f>
        <v/>
      </c>
      <c r="D148" s="30" t="str">
        <f>IF($M148="C","방문일",IF($M148="I",INDEX('완료 체험단'!$D$4:$D$2000,$N148),""))</f>
        <v/>
      </c>
      <c r="E148" s="25" t="str">
        <f>IF($M148="H","제공금액 "&amp;TEXT(INDEX($U$5:$U$16,$J148),"#,##0")&amp;"원",IF($M148="C","제공금액",IF($M148="I",INDEX('완료 체험단'!$F$4:$F$2000,$N148),IF($M148="T",INDEX($U$5:$U$16,$J148),""))))</f>
        <v/>
      </c>
      <c r="F148" s="25" t="str">
        <f>IF($M148="H","결제금액 "&amp;TEXT(INDEX($V$5:$V$16,$J148),"#,##0")&amp;"원",IF($M148="C","결제금액",IF($M148="I",INDEX('완료 체험단'!$G$4:$G$2000,$N148),IF($M148="T",INDEX($V$5:$V$16,$J148),""))))</f>
        <v/>
      </c>
      <c r="G148" s="25" t="str">
        <f>IF($M148="H","실수익 "&amp;TEXT(INDEX($W$5:$W$16,$J148),"#,##0")&amp;"원",IF($M148="C","실수익",IF($M148="I",INDEX('완료 체험단'!$H$4:$H$2000,$N148),IF($M148="T",INDEX($W$5:$W$16,$J148),""))))</f>
        <v/>
      </c>
      <c r="I148" s="31">
        <f>ROWS(I$5:I148)</f>
        <v>144</v>
      </c>
      <c r="J148" t="str">
        <f t="shared" si="11"/>
        <v/>
      </c>
      <c r="K148" t="str">
        <f t="shared" si="12"/>
        <v/>
      </c>
      <c r="L148" t="str">
        <f t="shared" si="13"/>
        <v/>
      </c>
      <c r="M148" t="str">
        <f t="shared" si="14"/>
        <v/>
      </c>
      <c r="N148" t="str">
        <f>IF($M148="I",MATCH(SMALL('완료 체험단'!$K$4:$K$2000,INDEX($T$5:$T$16,$J148)+$K148-2),'완료 체험단'!$K$4:$K$2000,0),"")</f>
        <v/>
      </c>
    </row>
    <row r="149" spans="2:14">
      <c r="B149" s="23" t="str">
        <f>IF($M149="H",$J149&amp;"월",IF($M149="C","매장명",IF($M149="I",INDEX('완료 체험단'!$A$4:$A$2000,$N149),IF($M149="T","합계",""))))</f>
        <v/>
      </c>
      <c r="C149" s="29" t="str">
        <f>IF($M149="H",$L149&amp;"건",IF($M149="C","사이트",IF($M149="I",INDEX('완료 체험단'!$C$4:$C$2000,$N149),IF($M149="T",$L149&amp;"건",""))))</f>
        <v/>
      </c>
      <c r="D149" s="30" t="str">
        <f>IF($M149="C","방문일",IF($M149="I",INDEX('완료 체험단'!$D$4:$D$2000,$N149),""))</f>
        <v/>
      </c>
      <c r="E149" s="25" t="str">
        <f>IF($M149="H","제공금액 "&amp;TEXT(INDEX($U$5:$U$16,$J149),"#,##0")&amp;"원",IF($M149="C","제공금액",IF($M149="I",INDEX('완료 체험단'!$F$4:$F$2000,$N149),IF($M149="T",INDEX($U$5:$U$16,$J149),""))))</f>
        <v/>
      </c>
      <c r="F149" s="25" t="str">
        <f>IF($M149="H","결제금액 "&amp;TEXT(INDEX($V$5:$V$16,$J149),"#,##0")&amp;"원",IF($M149="C","결제금액",IF($M149="I",INDEX('완료 체험단'!$G$4:$G$2000,$N149),IF($M149="T",INDEX($V$5:$V$16,$J149),""))))</f>
        <v/>
      </c>
      <c r="G149" s="25" t="str">
        <f>IF($M149="H","실수익 "&amp;TEXT(INDEX($W$5:$W$16,$J149),"#,##0")&amp;"원",IF($M149="C","실수익",IF($M149="I",INDEX('완료 체험단'!$H$4:$H$2000,$N149),IF($M149="T",INDEX($W$5:$W$16,$J149),""))))</f>
        <v/>
      </c>
      <c r="I149" s="31">
        <f>ROWS(I$5:I149)</f>
        <v>145</v>
      </c>
      <c r="J149" t="str">
        <f t="shared" si="11"/>
        <v/>
      </c>
      <c r="K149" t="str">
        <f t="shared" si="12"/>
        <v/>
      </c>
      <c r="L149" t="str">
        <f t="shared" si="13"/>
        <v/>
      </c>
      <c r="M149" t="str">
        <f t="shared" si="14"/>
        <v/>
      </c>
      <c r="N149" t="str">
        <f>IF($M149="I",MATCH(SMALL('완료 체험단'!$K$4:$K$2000,INDEX($T$5:$T$16,$J149)+$K149-2),'완료 체험단'!$K$4:$K$2000,0),"")</f>
        <v/>
      </c>
    </row>
    <row r="150" spans="2:14">
      <c r="B150" s="23" t="str">
        <f>IF($M150="H",$J150&amp;"월",IF($M150="C","매장명",IF($M150="I",INDEX('완료 체험단'!$A$4:$A$2000,$N150),IF($M150="T","합계",""))))</f>
        <v/>
      </c>
      <c r="C150" s="29" t="str">
        <f>IF($M150="H",$L150&amp;"건",IF($M150="C","사이트",IF($M150="I",INDEX('완료 체험단'!$C$4:$C$2000,$N150),IF($M150="T",$L150&amp;"건",""))))</f>
        <v/>
      </c>
      <c r="D150" s="30" t="str">
        <f>IF($M150="C","방문일",IF($M150="I",INDEX('완료 체험단'!$D$4:$D$2000,$N150),""))</f>
        <v/>
      </c>
      <c r="E150" s="25" t="str">
        <f>IF($M150="H","제공금액 "&amp;TEXT(INDEX($U$5:$U$16,$J150),"#,##0")&amp;"원",IF($M150="C","제공금액",IF($M150="I",INDEX('완료 체험단'!$F$4:$F$2000,$N150),IF($M150="T",INDEX($U$5:$U$16,$J150),""))))</f>
        <v/>
      </c>
      <c r="F150" s="25" t="str">
        <f>IF($M150="H","결제금액 "&amp;TEXT(INDEX($V$5:$V$16,$J150),"#,##0")&amp;"원",IF($M150="C","결제금액",IF($M150="I",INDEX('완료 체험단'!$G$4:$G$2000,$N150),IF($M150="T",INDEX($V$5:$V$16,$J150),""))))</f>
        <v/>
      </c>
      <c r="G150" s="25" t="str">
        <f>IF($M150="H","실수익 "&amp;TEXT(INDEX($W$5:$W$16,$J150),"#,##0")&amp;"원",IF($M150="C","실수익",IF($M150="I",INDEX('완료 체험단'!$H$4:$H$2000,$N150),IF($M150="T",INDEX($W$5:$W$16,$J150),""))))</f>
        <v/>
      </c>
      <c r="I150" s="31">
        <f>ROWS(I$5:I150)</f>
        <v>146</v>
      </c>
      <c r="J150" t="str">
        <f t="shared" si="11"/>
        <v/>
      </c>
      <c r="K150" t="str">
        <f t="shared" si="12"/>
        <v/>
      </c>
      <c r="L150" t="str">
        <f t="shared" si="13"/>
        <v/>
      </c>
      <c r="M150" t="str">
        <f t="shared" si="14"/>
        <v/>
      </c>
      <c r="N150" t="str">
        <f>IF($M150="I",MATCH(SMALL('완료 체험단'!$K$4:$K$2000,INDEX($T$5:$T$16,$J150)+$K150-2),'완료 체험단'!$K$4:$K$2000,0),"")</f>
        <v/>
      </c>
    </row>
    <row r="151" spans="2:14">
      <c r="B151" s="23" t="str">
        <f>IF($M151="H",$J151&amp;"월",IF($M151="C","매장명",IF($M151="I",INDEX('완료 체험단'!$A$4:$A$2000,$N151),IF($M151="T","합계",""))))</f>
        <v/>
      </c>
      <c r="C151" s="29" t="str">
        <f>IF($M151="H",$L151&amp;"건",IF($M151="C","사이트",IF($M151="I",INDEX('완료 체험단'!$C$4:$C$2000,$N151),IF($M151="T",$L151&amp;"건",""))))</f>
        <v/>
      </c>
      <c r="D151" s="30" t="str">
        <f>IF($M151="C","방문일",IF($M151="I",INDEX('완료 체험단'!$D$4:$D$2000,$N151),""))</f>
        <v/>
      </c>
      <c r="E151" s="25" t="str">
        <f>IF($M151="H","제공금액 "&amp;TEXT(INDEX($U$5:$U$16,$J151),"#,##0")&amp;"원",IF($M151="C","제공금액",IF($M151="I",INDEX('완료 체험단'!$F$4:$F$2000,$N151),IF($M151="T",INDEX($U$5:$U$16,$J151),""))))</f>
        <v/>
      </c>
      <c r="F151" s="25" t="str">
        <f>IF($M151="H","결제금액 "&amp;TEXT(INDEX($V$5:$V$16,$J151),"#,##0")&amp;"원",IF($M151="C","결제금액",IF($M151="I",INDEX('완료 체험단'!$G$4:$G$2000,$N151),IF($M151="T",INDEX($V$5:$V$16,$J151),""))))</f>
        <v/>
      </c>
      <c r="G151" s="25" t="str">
        <f>IF($M151="H","실수익 "&amp;TEXT(INDEX($W$5:$W$16,$J151),"#,##0")&amp;"원",IF($M151="C","실수익",IF($M151="I",INDEX('완료 체험단'!$H$4:$H$2000,$N151),IF($M151="T",INDEX($W$5:$W$16,$J151),""))))</f>
        <v/>
      </c>
      <c r="I151" s="31">
        <f>ROWS(I$5:I151)</f>
        <v>147</v>
      </c>
      <c r="J151" t="str">
        <f t="shared" si="11"/>
        <v/>
      </c>
      <c r="K151" t="str">
        <f t="shared" si="12"/>
        <v/>
      </c>
      <c r="L151" t="str">
        <f t="shared" si="13"/>
        <v/>
      </c>
      <c r="M151" t="str">
        <f t="shared" si="14"/>
        <v/>
      </c>
      <c r="N151" t="str">
        <f>IF($M151="I",MATCH(SMALL('완료 체험단'!$K$4:$K$2000,INDEX($T$5:$T$16,$J151)+$K151-2),'완료 체험단'!$K$4:$K$2000,0),"")</f>
        <v/>
      </c>
    </row>
    <row r="152" spans="2:14">
      <c r="B152" s="23" t="str">
        <f>IF($M152="H",$J152&amp;"월",IF($M152="C","매장명",IF($M152="I",INDEX('완료 체험단'!$A$4:$A$2000,$N152),IF($M152="T","합계",""))))</f>
        <v/>
      </c>
      <c r="C152" s="29" t="str">
        <f>IF($M152="H",$L152&amp;"건",IF($M152="C","사이트",IF($M152="I",INDEX('완료 체험단'!$C$4:$C$2000,$N152),IF($M152="T",$L152&amp;"건",""))))</f>
        <v/>
      </c>
      <c r="D152" s="30" t="str">
        <f>IF($M152="C","방문일",IF($M152="I",INDEX('완료 체험단'!$D$4:$D$2000,$N152),""))</f>
        <v/>
      </c>
      <c r="E152" s="25" t="str">
        <f>IF($M152="H","제공금액 "&amp;TEXT(INDEX($U$5:$U$16,$J152),"#,##0")&amp;"원",IF($M152="C","제공금액",IF($M152="I",INDEX('완료 체험단'!$F$4:$F$2000,$N152),IF($M152="T",INDEX($U$5:$U$16,$J152),""))))</f>
        <v/>
      </c>
      <c r="F152" s="25" t="str">
        <f>IF($M152="H","결제금액 "&amp;TEXT(INDEX($V$5:$V$16,$J152),"#,##0")&amp;"원",IF($M152="C","결제금액",IF($M152="I",INDEX('완료 체험단'!$G$4:$G$2000,$N152),IF($M152="T",INDEX($V$5:$V$16,$J152),""))))</f>
        <v/>
      </c>
      <c r="G152" s="25" t="str">
        <f>IF($M152="H","실수익 "&amp;TEXT(INDEX($W$5:$W$16,$J152),"#,##0")&amp;"원",IF($M152="C","실수익",IF($M152="I",INDEX('완료 체험단'!$H$4:$H$2000,$N152),IF($M152="T",INDEX($W$5:$W$16,$J152),""))))</f>
        <v/>
      </c>
      <c r="I152" s="31">
        <f>ROWS(I$5:I152)</f>
        <v>148</v>
      </c>
      <c r="J152" t="str">
        <f t="shared" si="11"/>
        <v/>
      </c>
      <c r="K152" t="str">
        <f t="shared" si="12"/>
        <v/>
      </c>
      <c r="L152" t="str">
        <f t="shared" si="13"/>
        <v/>
      </c>
      <c r="M152" t="str">
        <f t="shared" si="14"/>
        <v/>
      </c>
      <c r="N152" t="str">
        <f>IF($M152="I",MATCH(SMALL('완료 체험단'!$K$4:$K$2000,INDEX($T$5:$T$16,$J152)+$K152-2),'완료 체험단'!$K$4:$K$2000,0),"")</f>
        <v/>
      </c>
    </row>
    <row r="153" spans="2:14">
      <c r="B153" s="23" t="str">
        <f>IF($M153="H",$J153&amp;"월",IF($M153="C","매장명",IF($M153="I",INDEX('완료 체험단'!$A$4:$A$2000,$N153),IF($M153="T","합계",""))))</f>
        <v/>
      </c>
      <c r="C153" s="29" t="str">
        <f>IF($M153="H",$L153&amp;"건",IF($M153="C","사이트",IF($M153="I",INDEX('완료 체험단'!$C$4:$C$2000,$N153),IF($M153="T",$L153&amp;"건",""))))</f>
        <v/>
      </c>
      <c r="D153" s="30" t="str">
        <f>IF($M153="C","방문일",IF($M153="I",INDEX('완료 체험단'!$D$4:$D$2000,$N153),""))</f>
        <v/>
      </c>
      <c r="E153" s="25" t="str">
        <f>IF($M153="H","제공금액 "&amp;TEXT(INDEX($U$5:$U$16,$J153),"#,##0")&amp;"원",IF($M153="C","제공금액",IF($M153="I",INDEX('완료 체험단'!$F$4:$F$2000,$N153),IF($M153="T",INDEX($U$5:$U$16,$J153),""))))</f>
        <v/>
      </c>
      <c r="F153" s="25" t="str">
        <f>IF($M153="H","결제금액 "&amp;TEXT(INDEX($V$5:$V$16,$J153),"#,##0")&amp;"원",IF($M153="C","결제금액",IF($M153="I",INDEX('완료 체험단'!$G$4:$G$2000,$N153),IF($M153="T",INDEX($V$5:$V$16,$J153),""))))</f>
        <v/>
      </c>
      <c r="G153" s="25" t="str">
        <f>IF($M153="H","실수익 "&amp;TEXT(INDEX($W$5:$W$16,$J153),"#,##0")&amp;"원",IF($M153="C","실수익",IF($M153="I",INDEX('완료 체험단'!$H$4:$H$2000,$N153),IF($M153="T",INDEX($W$5:$W$16,$J153),""))))</f>
        <v/>
      </c>
      <c r="I153" s="31">
        <f>ROWS(I$5:I153)</f>
        <v>149</v>
      </c>
      <c r="J153" t="str">
        <f t="shared" si="11"/>
        <v/>
      </c>
      <c r="K153" t="str">
        <f t="shared" si="12"/>
        <v/>
      </c>
      <c r="L153" t="str">
        <f t="shared" si="13"/>
        <v/>
      </c>
      <c r="M153" t="str">
        <f t="shared" si="14"/>
        <v/>
      </c>
      <c r="N153" t="str">
        <f>IF($M153="I",MATCH(SMALL('완료 체험단'!$K$4:$K$2000,INDEX($T$5:$T$16,$J153)+$K153-2),'완료 체험단'!$K$4:$K$2000,0),"")</f>
        <v/>
      </c>
    </row>
    <row r="154" spans="2:14">
      <c r="B154" s="23" t="str">
        <f>IF($M154="H",$J154&amp;"월",IF($M154="C","매장명",IF($M154="I",INDEX('완료 체험단'!$A$4:$A$2000,$N154),IF($M154="T","합계",""))))</f>
        <v/>
      </c>
      <c r="C154" s="29" t="str">
        <f>IF($M154="H",$L154&amp;"건",IF($M154="C","사이트",IF($M154="I",INDEX('완료 체험단'!$C$4:$C$2000,$N154),IF($M154="T",$L154&amp;"건",""))))</f>
        <v/>
      </c>
      <c r="D154" s="30" t="str">
        <f>IF($M154="C","방문일",IF($M154="I",INDEX('완료 체험단'!$D$4:$D$2000,$N154),""))</f>
        <v/>
      </c>
      <c r="E154" s="25" t="str">
        <f>IF($M154="H","제공금액 "&amp;TEXT(INDEX($U$5:$U$16,$J154),"#,##0")&amp;"원",IF($M154="C","제공금액",IF($M154="I",INDEX('완료 체험단'!$F$4:$F$2000,$N154),IF($M154="T",INDEX($U$5:$U$16,$J154),""))))</f>
        <v/>
      </c>
      <c r="F154" s="25" t="str">
        <f>IF($M154="H","결제금액 "&amp;TEXT(INDEX($V$5:$V$16,$J154),"#,##0")&amp;"원",IF($M154="C","결제금액",IF($M154="I",INDEX('완료 체험단'!$G$4:$G$2000,$N154),IF($M154="T",INDEX($V$5:$V$16,$J154),""))))</f>
        <v/>
      </c>
      <c r="G154" s="25" t="str">
        <f>IF($M154="H","실수익 "&amp;TEXT(INDEX($W$5:$W$16,$J154),"#,##0")&amp;"원",IF($M154="C","실수익",IF($M154="I",INDEX('완료 체험단'!$H$4:$H$2000,$N154),IF($M154="T",INDEX($W$5:$W$16,$J154),""))))</f>
        <v/>
      </c>
      <c r="I154" s="31">
        <f>ROWS(I$5:I154)</f>
        <v>150</v>
      </c>
      <c r="J154" t="str">
        <f t="shared" si="11"/>
        <v/>
      </c>
      <c r="K154" t="str">
        <f t="shared" si="12"/>
        <v/>
      </c>
      <c r="L154" t="str">
        <f t="shared" si="13"/>
        <v/>
      </c>
      <c r="M154" t="str">
        <f t="shared" si="14"/>
        <v/>
      </c>
      <c r="N154" t="str">
        <f>IF($M154="I",MATCH(SMALL('완료 체험단'!$K$4:$K$2000,INDEX($T$5:$T$16,$J154)+$K154-2),'완료 체험단'!$K$4:$K$2000,0),"")</f>
        <v/>
      </c>
    </row>
    <row r="155" spans="2:14">
      <c r="B155" s="23" t="str">
        <f>IF($M155="H",$J155&amp;"월",IF($M155="C","매장명",IF($M155="I",INDEX('완료 체험단'!$A$4:$A$2000,$N155),IF($M155="T","합계",""))))</f>
        <v/>
      </c>
      <c r="C155" s="29" t="str">
        <f>IF($M155="H",$L155&amp;"건",IF($M155="C","사이트",IF($M155="I",INDEX('완료 체험단'!$C$4:$C$2000,$N155),IF($M155="T",$L155&amp;"건",""))))</f>
        <v/>
      </c>
      <c r="D155" s="30" t="str">
        <f>IF($M155="C","방문일",IF($M155="I",INDEX('완료 체험단'!$D$4:$D$2000,$N155),""))</f>
        <v/>
      </c>
      <c r="E155" s="25" t="str">
        <f>IF($M155="H","제공금액 "&amp;TEXT(INDEX($U$5:$U$16,$J155),"#,##0")&amp;"원",IF($M155="C","제공금액",IF($M155="I",INDEX('완료 체험단'!$F$4:$F$2000,$N155),IF($M155="T",INDEX($U$5:$U$16,$J155),""))))</f>
        <v/>
      </c>
      <c r="F155" s="25" t="str">
        <f>IF($M155="H","결제금액 "&amp;TEXT(INDEX($V$5:$V$16,$J155),"#,##0")&amp;"원",IF($M155="C","결제금액",IF($M155="I",INDEX('완료 체험단'!$G$4:$G$2000,$N155),IF($M155="T",INDEX($V$5:$V$16,$J155),""))))</f>
        <v/>
      </c>
      <c r="G155" s="25" t="str">
        <f>IF($M155="H","실수익 "&amp;TEXT(INDEX($W$5:$W$16,$J155),"#,##0")&amp;"원",IF($M155="C","실수익",IF($M155="I",INDEX('완료 체험단'!$H$4:$H$2000,$N155),IF($M155="T",INDEX($W$5:$W$16,$J155),""))))</f>
        <v/>
      </c>
      <c r="I155" s="31">
        <f>ROWS(I$5:I155)</f>
        <v>151</v>
      </c>
      <c r="J155" t="str">
        <f t="shared" si="11"/>
        <v/>
      </c>
      <c r="K155" t="str">
        <f t="shared" si="12"/>
        <v/>
      </c>
      <c r="L155" t="str">
        <f t="shared" si="13"/>
        <v/>
      </c>
      <c r="M155" t="str">
        <f t="shared" si="14"/>
        <v/>
      </c>
      <c r="N155" t="str">
        <f>IF($M155="I",MATCH(SMALL('완료 체험단'!$K$4:$K$2000,INDEX($T$5:$T$16,$J155)+$K155-2),'완료 체험단'!$K$4:$K$2000,0),"")</f>
        <v/>
      </c>
    </row>
    <row r="156" spans="2:14">
      <c r="B156" s="23" t="str">
        <f>IF($M156="H",$J156&amp;"월",IF($M156="C","매장명",IF($M156="I",INDEX('완료 체험단'!$A$4:$A$2000,$N156),IF($M156="T","합계",""))))</f>
        <v/>
      </c>
      <c r="C156" s="29" t="str">
        <f>IF($M156="H",$L156&amp;"건",IF($M156="C","사이트",IF($M156="I",INDEX('완료 체험단'!$C$4:$C$2000,$N156),IF($M156="T",$L156&amp;"건",""))))</f>
        <v/>
      </c>
      <c r="D156" s="30" t="str">
        <f>IF($M156="C","방문일",IF($M156="I",INDEX('완료 체험단'!$D$4:$D$2000,$N156),""))</f>
        <v/>
      </c>
      <c r="E156" s="25" t="str">
        <f>IF($M156="H","제공금액 "&amp;TEXT(INDEX($U$5:$U$16,$J156),"#,##0")&amp;"원",IF($M156="C","제공금액",IF($M156="I",INDEX('완료 체험단'!$F$4:$F$2000,$N156),IF($M156="T",INDEX($U$5:$U$16,$J156),""))))</f>
        <v/>
      </c>
      <c r="F156" s="25" t="str">
        <f>IF($M156="H","결제금액 "&amp;TEXT(INDEX($V$5:$V$16,$J156),"#,##0")&amp;"원",IF($M156="C","결제금액",IF($M156="I",INDEX('완료 체험단'!$G$4:$G$2000,$N156),IF($M156="T",INDEX($V$5:$V$16,$J156),""))))</f>
        <v/>
      </c>
      <c r="G156" s="25" t="str">
        <f>IF($M156="H","실수익 "&amp;TEXT(INDEX($W$5:$W$16,$J156),"#,##0")&amp;"원",IF($M156="C","실수익",IF($M156="I",INDEX('완료 체험단'!$H$4:$H$2000,$N156),IF($M156="T",INDEX($W$5:$W$16,$J156),""))))</f>
        <v/>
      </c>
      <c r="I156" s="31">
        <f>ROWS(I$5:I156)</f>
        <v>152</v>
      </c>
      <c r="J156" t="str">
        <f t="shared" si="11"/>
        <v/>
      </c>
      <c r="K156" t="str">
        <f t="shared" si="12"/>
        <v/>
      </c>
      <c r="L156" t="str">
        <f t="shared" si="13"/>
        <v/>
      </c>
      <c r="M156" t="str">
        <f t="shared" si="14"/>
        <v/>
      </c>
      <c r="N156" t="str">
        <f>IF($M156="I",MATCH(SMALL('완료 체험단'!$K$4:$K$2000,INDEX($T$5:$T$16,$J156)+$K156-2),'완료 체험단'!$K$4:$K$2000,0),"")</f>
        <v/>
      </c>
    </row>
    <row r="157" spans="2:14">
      <c r="B157" s="23" t="str">
        <f>IF($M157="H",$J157&amp;"월",IF($M157="C","매장명",IF($M157="I",INDEX('완료 체험단'!$A$4:$A$2000,$N157),IF($M157="T","합계",""))))</f>
        <v/>
      </c>
      <c r="C157" s="29" t="str">
        <f>IF($M157="H",$L157&amp;"건",IF($M157="C","사이트",IF($M157="I",INDEX('완료 체험단'!$C$4:$C$2000,$N157),IF($M157="T",$L157&amp;"건",""))))</f>
        <v/>
      </c>
      <c r="D157" s="30" t="str">
        <f>IF($M157="C","방문일",IF($M157="I",INDEX('완료 체험단'!$D$4:$D$2000,$N157),""))</f>
        <v/>
      </c>
      <c r="E157" s="25" t="str">
        <f>IF($M157="H","제공금액 "&amp;TEXT(INDEX($U$5:$U$16,$J157),"#,##0")&amp;"원",IF($M157="C","제공금액",IF($M157="I",INDEX('완료 체험단'!$F$4:$F$2000,$N157),IF($M157="T",INDEX($U$5:$U$16,$J157),""))))</f>
        <v/>
      </c>
      <c r="F157" s="25" t="str">
        <f>IF($M157="H","결제금액 "&amp;TEXT(INDEX($V$5:$V$16,$J157),"#,##0")&amp;"원",IF($M157="C","결제금액",IF($M157="I",INDEX('완료 체험단'!$G$4:$G$2000,$N157),IF($M157="T",INDEX($V$5:$V$16,$J157),""))))</f>
        <v/>
      </c>
      <c r="G157" s="25" t="str">
        <f>IF($M157="H","실수익 "&amp;TEXT(INDEX($W$5:$W$16,$J157),"#,##0")&amp;"원",IF($M157="C","실수익",IF($M157="I",INDEX('완료 체험단'!$H$4:$H$2000,$N157),IF($M157="T",INDEX($W$5:$W$16,$J157),""))))</f>
        <v/>
      </c>
      <c r="I157" s="31">
        <f>ROWS(I$5:I157)</f>
        <v>153</v>
      </c>
      <c r="J157" t="str">
        <f t="shared" si="11"/>
        <v/>
      </c>
      <c r="K157" t="str">
        <f t="shared" si="12"/>
        <v/>
      </c>
      <c r="L157" t="str">
        <f t="shared" si="13"/>
        <v/>
      </c>
      <c r="M157" t="str">
        <f t="shared" si="14"/>
        <v/>
      </c>
      <c r="N157" t="str">
        <f>IF($M157="I",MATCH(SMALL('완료 체험단'!$K$4:$K$2000,INDEX($T$5:$T$16,$J157)+$K157-2),'완료 체험단'!$K$4:$K$2000,0),"")</f>
        <v/>
      </c>
    </row>
    <row r="158" spans="2:14">
      <c r="B158" s="23" t="str">
        <f>IF($M158="H",$J158&amp;"월",IF($M158="C","매장명",IF($M158="I",INDEX('완료 체험단'!$A$4:$A$2000,$N158),IF($M158="T","합계",""))))</f>
        <v/>
      </c>
      <c r="C158" s="29" t="str">
        <f>IF($M158="H",$L158&amp;"건",IF($M158="C","사이트",IF($M158="I",INDEX('완료 체험단'!$C$4:$C$2000,$N158),IF($M158="T",$L158&amp;"건",""))))</f>
        <v/>
      </c>
      <c r="D158" s="30" t="str">
        <f>IF($M158="C","방문일",IF($M158="I",INDEX('완료 체험단'!$D$4:$D$2000,$N158),""))</f>
        <v/>
      </c>
      <c r="E158" s="25" t="str">
        <f>IF($M158="H","제공금액 "&amp;TEXT(INDEX($U$5:$U$16,$J158),"#,##0")&amp;"원",IF($M158="C","제공금액",IF($M158="I",INDEX('완료 체험단'!$F$4:$F$2000,$N158),IF($M158="T",INDEX($U$5:$U$16,$J158),""))))</f>
        <v/>
      </c>
      <c r="F158" s="25" t="str">
        <f>IF($M158="H","결제금액 "&amp;TEXT(INDEX($V$5:$V$16,$J158),"#,##0")&amp;"원",IF($M158="C","결제금액",IF($M158="I",INDEX('완료 체험단'!$G$4:$G$2000,$N158),IF($M158="T",INDEX($V$5:$V$16,$J158),""))))</f>
        <v/>
      </c>
      <c r="G158" s="25" t="str">
        <f>IF($M158="H","실수익 "&amp;TEXT(INDEX($W$5:$W$16,$J158),"#,##0")&amp;"원",IF($M158="C","실수익",IF($M158="I",INDEX('완료 체험단'!$H$4:$H$2000,$N158),IF($M158="T",INDEX($W$5:$W$16,$J158),""))))</f>
        <v/>
      </c>
      <c r="I158" s="31">
        <f>ROWS(I$5:I158)</f>
        <v>154</v>
      </c>
      <c r="J158" t="str">
        <f t="shared" si="11"/>
        <v/>
      </c>
      <c r="K158" t="str">
        <f t="shared" si="12"/>
        <v/>
      </c>
      <c r="L158" t="str">
        <f t="shared" si="13"/>
        <v/>
      </c>
      <c r="M158" t="str">
        <f t="shared" si="14"/>
        <v/>
      </c>
      <c r="N158" t="str">
        <f>IF($M158="I",MATCH(SMALL('완료 체험단'!$K$4:$K$2000,INDEX($T$5:$T$16,$J158)+$K158-2),'완료 체험단'!$K$4:$K$2000,0),"")</f>
        <v/>
      </c>
    </row>
    <row r="159" spans="2:14">
      <c r="B159" s="23" t="str">
        <f>IF($M159="H",$J159&amp;"월",IF($M159="C","매장명",IF($M159="I",INDEX('완료 체험단'!$A$4:$A$2000,$N159),IF($M159="T","합계",""))))</f>
        <v/>
      </c>
      <c r="C159" s="29" t="str">
        <f>IF($M159="H",$L159&amp;"건",IF($M159="C","사이트",IF($M159="I",INDEX('완료 체험단'!$C$4:$C$2000,$N159),IF($M159="T",$L159&amp;"건",""))))</f>
        <v/>
      </c>
      <c r="D159" s="30" t="str">
        <f>IF($M159="C","방문일",IF($M159="I",INDEX('완료 체험단'!$D$4:$D$2000,$N159),""))</f>
        <v/>
      </c>
      <c r="E159" s="25" t="str">
        <f>IF($M159="H","제공금액 "&amp;TEXT(INDEX($U$5:$U$16,$J159),"#,##0")&amp;"원",IF($M159="C","제공금액",IF($M159="I",INDEX('완료 체험단'!$F$4:$F$2000,$N159),IF($M159="T",INDEX($U$5:$U$16,$J159),""))))</f>
        <v/>
      </c>
      <c r="F159" s="25" t="str">
        <f>IF($M159="H","결제금액 "&amp;TEXT(INDEX($V$5:$V$16,$J159),"#,##0")&amp;"원",IF($M159="C","결제금액",IF($M159="I",INDEX('완료 체험단'!$G$4:$G$2000,$N159),IF($M159="T",INDEX($V$5:$V$16,$J159),""))))</f>
        <v/>
      </c>
      <c r="G159" s="25" t="str">
        <f>IF($M159="H","실수익 "&amp;TEXT(INDEX($W$5:$W$16,$J159),"#,##0")&amp;"원",IF($M159="C","실수익",IF($M159="I",INDEX('완료 체험단'!$H$4:$H$2000,$N159),IF($M159="T",INDEX($W$5:$W$16,$J159),""))))</f>
        <v/>
      </c>
      <c r="I159" s="31">
        <f>ROWS(I$5:I159)</f>
        <v>155</v>
      </c>
      <c r="J159" t="str">
        <f t="shared" si="11"/>
        <v/>
      </c>
      <c r="K159" t="str">
        <f t="shared" si="12"/>
        <v/>
      </c>
      <c r="L159" t="str">
        <f t="shared" si="13"/>
        <v/>
      </c>
      <c r="M159" t="str">
        <f t="shared" si="14"/>
        <v/>
      </c>
      <c r="N159" t="str">
        <f>IF($M159="I",MATCH(SMALL('완료 체험단'!$K$4:$K$2000,INDEX($T$5:$T$16,$J159)+$K159-2),'완료 체험단'!$K$4:$K$2000,0),"")</f>
        <v/>
      </c>
    </row>
    <row r="160" spans="2:14">
      <c r="B160" s="23" t="str">
        <f>IF($M160="H",$J160&amp;"월",IF($M160="C","매장명",IF($M160="I",INDEX('완료 체험단'!$A$4:$A$2000,$N160),IF($M160="T","합계",""))))</f>
        <v/>
      </c>
      <c r="C160" s="29" t="str">
        <f>IF($M160="H",$L160&amp;"건",IF($M160="C","사이트",IF($M160="I",INDEX('완료 체험단'!$C$4:$C$2000,$N160),IF($M160="T",$L160&amp;"건",""))))</f>
        <v/>
      </c>
      <c r="D160" s="30" t="str">
        <f>IF($M160="C","방문일",IF($M160="I",INDEX('완료 체험단'!$D$4:$D$2000,$N160),""))</f>
        <v/>
      </c>
      <c r="E160" s="25" t="str">
        <f>IF($M160="H","제공금액 "&amp;TEXT(INDEX($U$5:$U$16,$J160),"#,##0")&amp;"원",IF($M160="C","제공금액",IF($M160="I",INDEX('완료 체험단'!$F$4:$F$2000,$N160),IF($M160="T",INDEX($U$5:$U$16,$J160),""))))</f>
        <v/>
      </c>
      <c r="F160" s="25" t="str">
        <f>IF($M160="H","결제금액 "&amp;TEXT(INDEX($V$5:$V$16,$J160),"#,##0")&amp;"원",IF($M160="C","결제금액",IF($M160="I",INDEX('완료 체험단'!$G$4:$G$2000,$N160),IF($M160="T",INDEX($V$5:$V$16,$J160),""))))</f>
        <v/>
      </c>
      <c r="G160" s="25" t="str">
        <f>IF($M160="H","실수익 "&amp;TEXT(INDEX($W$5:$W$16,$J160),"#,##0")&amp;"원",IF($M160="C","실수익",IF($M160="I",INDEX('완료 체험단'!$H$4:$H$2000,$N160),IF($M160="T",INDEX($W$5:$W$16,$J160),""))))</f>
        <v/>
      </c>
      <c r="I160" s="31">
        <f>ROWS(I$5:I160)</f>
        <v>156</v>
      </c>
      <c r="J160" t="str">
        <f t="shared" si="11"/>
        <v/>
      </c>
      <c r="K160" t="str">
        <f t="shared" si="12"/>
        <v/>
      </c>
      <c r="L160" t="str">
        <f t="shared" si="13"/>
        <v/>
      </c>
      <c r="M160" t="str">
        <f t="shared" si="14"/>
        <v/>
      </c>
      <c r="N160" t="str">
        <f>IF($M160="I",MATCH(SMALL('완료 체험단'!$K$4:$K$2000,INDEX($T$5:$T$16,$J160)+$K160-2),'완료 체험단'!$K$4:$K$2000,0),"")</f>
        <v/>
      </c>
    </row>
    <row r="161" spans="2:14">
      <c r="B161" s="23" t="str">
        <f>IF($M161="H",$J161&amp;"월",IF($M161="C","매장명",IF($M161="I",INDEX('완료 체험단'!$A$4:$A$2000,$N161),IF($M161="T","합계",""))))</f>
        <v/>
      </c>
      <c r="C161" s="29" t="str">
        <f>IF($M161="H",$L161&amp;"건",IF($M161="C","사이트",IF($M161="I",INDEX('완료 체험단'!$C$4:$C$2000,$N161),IF($M161="T",$L161&amp;"건",""))))</f>
        <v/>
      </c>
      <c r="D161" s="30" t="str">
        <f>IF($M161="C","방문일",IF($M161="I",INDEX('완료 체험단'!$D$4:$D$2000,$N161),""))</f>
        <v/>
      </c>
      <c r="E161" s="25" t="str">
        <f>IF($M161="H","제공금액 "&amp;TEXT(INDEX($U$5:$U$16,$J161),"#,##0")&amp;"원",IF($M161="C","제공금액",IF($M161="I",INDEX('완료 체험단'!$F$4:$F$2000,$N161),IF($M161="T",INDEX($U$5:$U$16,$J161),""))))</f>
        <v/>
      </c>
      <c r="F161" s="25" t="str">
        <f>IF($M161="H","결제금액 "&amp;TEXT(INDEX($V$5:$V$16,$J161),"#,##0")&amp;"원",IF($M161="C","결제금액",IF($M161="I",INDEX('완료 체험단'!$G$4:$G$2000,$N161),IF($M161="T",INDEX($V$5:$V$16,$J161),""))))</f>
        <v/>
      </c>
      <c r="G161" s="25" t="str">
        <f>IF($M161="H","실수익 "&amp;TEXT(INDEX($W$5:$W$16,$J161),"#,##0")&amp;"원",IF($M161="C","실수익",IF($M161="I",INDEX('완료 체험단'!$H$4:$H$2000,$N161),IF($M161="T",INDEX($W$5:$W$16,$J161),""))))</f>
        <v/>
      </c>
      <c r="I161" s="31">
        <f>ROWS(I$5:I161)</f>
        <v>157</v>
      </c>
      <c r="J161" t="str">
        <f t="shared" si="11"/>
        <v/>
      </c>
      <c r="K161" t="str">
        <f t="shared" si="12"/>
        <v/>
      </c>
      <c r="L161" t="str">
        <f t="shared" si="13"/>
        <v/>
      </c>
      <c r="M161" t="str">
        <f t="shared" si="14"/>
        <v/>
      </c>
      <c r="N161" t="str">
        <f>IF($M161="I",MATCH(SMALL('완료 체험단'!$K$4:$K$2000,INDEX($T$5:$T$16,$J161)+$K161-2),'완료 체험단'!$K$4:$K$2000,0),"")</f>
        <v/>
      </c>
    </row>
    <row r="162" spans="2:14">
      <c r="B162" s="23" t="str">
        <f>IF($M162="H",$J162&amp;"월",IF($M162="C","매장명",IF($M162="I",INDEX('완료 체험단'!$A$4:$A$2000,$N162),IF($M162="T","합계",""))))</f>
        <v/>
      </c>
      <c r="C162" s="29" t="str">
        <f>IF($M162="H",$L162&amp;"건",IF($M162="C","사이트",IF($M162="I",INDEX('완료 체험단'!$C$4:$C$2000,$N162),IF($M162="T",$L162&amp;"건",""))))</f>
        <v/>
      </c>
      <c r="D162" s="30" t="str">
        <f>IF($M162="C","방문일",IF($M162="I",INDEX('완료 체험단'!$D$4:$D$2000,$N162),""))</f>
        <v/>
      </c>
      <c r="E162" s="25" t="str">
        <f>IF($M162="H","제공금액 "&amp;TEXT(INDEX($U$5:$U$16,$J162),"#,##0")&amp;"원",IF($M162="C","제공금액",IF($M162="I",INDEX('완료 체험단'!$F$4:$F$2000,$N162),IF($M162="T",INDEX($U$5:$U$16,$J162),""))))</f>
        <v/>
      </c>
      <c r="F162" s="25" t="str">
        <f>IF($M162="H","결제금액 "&amp;TEXT(INDEX($V$5:$V$16,$J162),"#,##0")&amp;"원",IF($M162="C","결제금액",IF($M162="I",INDEX('완료 체험단'!$G$4:$G$2000,$N162),IF($M162="T",INDEX($V$5:$V$16,$J162),""))))</f>
        <v/>
      </c>
      <c r="G162" s="25" t="str">
        <f>IF($M162="H","실수익 "&amp;TEXT(INDEX($W$5:$W$16,$J162),"#,##0")&amp;"원",IF($M162="C","실수익",IF($M162="I",INDEX('완료 체험단'!$H$4:$H$2000,$N162),IF($M162="T",INDEX($W$5:$W$16,$J162),""))))</f>
        <v/>
      </c>
      <c r="I162" s="31">
        <f>ROWS(I$5:I162)</f>
        <v>158</v>
      </c>
      <c r="J162" t="str">
        <f t="shared" si="11"/>
        <v/>
      </c>
      <c r="K162" t="str">
        <f t="shared" si="12"/>
        <v/>
      </c>
      <c r="L162" t="str">
        <f t="shared" si="13"/>
        <v/>
      </c>
      <c r="M162" t="str">
        <f t="shared" si="14"/>
        <v/>
      </c>
      <c r="N162" t="str">
        <f>IF($M162="I",MATCH(SMALL('완료 체험단'!$K$4:$K$2000,INDEX($T$5:$T$16,$J162)+$K162-2),'완료 체험단'!$K$4:$K$2000,0),"")</f>
        <v/>
      </c>
    </row>
    <row r="163" spans="2:14">
      <c r="B163" s="23" t="str">
        <f>IF($M163="H",$J163&amp;"월",IF($M163="C","매장명",IF($M163="I",INDEX('완료 체험단'!$A$4:$A$2000,$N163),IF($M163="T","합계",""))))</f>
        <v/>
      </c>
      <c r="C163" s="29" t="str">
        <f>IF($M163="H",$L163&amp;"건",IF($M163="C","사이트",IF($M163="I",INDEX('완료 체험단'!$C$4:$C$2000,$N163),IF($M163="T",$L163&amp;"건",""))))</f>
        <v/>
      </c>
      <c r="D163" s="30" t="str">
        <f>IF($M163="C","방문일",IF($M163="I",INDEX('완료 체험단'!$D$4:$D$2000,$N163),""))</f>
        <v/>
      </c>
      <c r="E163" s="25" t="str">
        <f>IF($M163="H","제공금액 "&amp;TEXT(INDEX($U$5:$U$16,$J163),"#,##0")&amp;"원",IF($M163="C","제공금액",IF($M163="I",INDEX('완료 체험단'!$F$4:$F$2000,$N163),IF($M163="T",INDEX($U$5:$U$16,$J163),""))))</f>
        <v/>
      </c>
      <c r="F163" s="25" t="str">
        <f>IF($M163="H","결제금액 "&amp;TEXT(INDEX($V$5:$V$16,$J163),"#,##0")&amp;"원",IF($M163="C","결제금액",IF($M163="I",INDEX('완료 체험단'!$G$4:$G$2000,$N163),IF($M163="T",INDEX($V$5:$V$16,$J163),""))))</f>
        <v/>
      </c>
      <c r="G163" s="25" t="str">
        <f>IF($M163="H","실수익 "&amp;TEXT(INDEX($W$5:$W$16,$J163),"#,##0")&amp;"원",IF($M163="C","실수익",IF($M163="I",INDEX('완료 체험단'!$H$4:$H$2000,$N163),IF($M163="T",INDEX($W$5:$W$16,$J163),""))))</f>
        <v/>
      </c>
      <c r="I163" s="31">
        <f>ROWS(I$5:I163)</f>
        <v>159</v>
      </c>
      <c r="J163" t="str">
        <f t="shared" si="11"/>
        <v/>
      </c>
      <c r="K163" t="str">
        <f t="shared" si="12"/>
        <v/>
      </c>
      <c r="L163" t="str">
        <f t="shared" si="13"/>
        <v/>
      </c>
      <c r="M163" t="str">
        <f t="shared" si="14"/>
        <v/>
      </c>
      <c r="N163" t="str">
        <f>IF($M163="I",MATCH(SMALL('완료 체험단'!$K$4:$K$2000,INDEX($T$5:$T$16,$J163)+$K163-2),'완료 체험단'!$K$4:$K$2000,0),"")</f>
        <v/>
      </c>
    </row>
    <row r="164" spans="2:14">
      <c r="B164" s="23" t="str">
        <f>IF($M164="H",$J164&amp;"월",IF($M164="C","매장명",IF($M164="I",INDEX('완료 체험단'!$A$4:$A$2000,$N164),IF($M164="T","합계",""))))</f>
        <v/>
      </c>
      <c r="C164" s="29" t="str">
        <f>IF($M164="H",$L164&amp;"건",IF($M164="C","사이트",IF($M164="I",INDEX('완료 체험단'!$C$4:$C$2000,$N164),IF($M164="T",$L164&amp;"건",""))))</f>
        <v/>
      </c>
      <c r="D164" s="30" t="str">
        <f>IF($M164="C","방문일",IF($M164="I",INDEX('완료 체험단'!$D$4:$D$2000,$N164),""))</f>
        <v/>
      </c>
      <c r="E164" s="25" t="str">
        <f>IF($M164="H","제공금액 "&amp;TEXT(INDEX($U$5:$U$16,$J164),"#,##0")&amp;"원",IF($M164="C","제공금액",IF($M164="I",INDEX('완료 체험단'!$F$4:$F$2000,$N164),IF($M164="T",INDEX($U$5:$U$16,$J164),""))))</f>
        <v/>
      </c>
      <c r="F164" s="25" t="str">
        <f>IF($M164="H","결제금액 "&amp;TEXT(INDEX($V$5:$V$16,$J164),"#,##0")&amp;"원",IF($M164="C","결제금액",IF($M164="I",INDEX('완료 체험단'!$G$4:$G$2000,$N164),IF($M164="T",INDEX($V$5:$V$16,$J164),""))))</f>
        <v/>
      </c>
      <c r="G164" s="25" t="str">
        <f>IF($M164="H","실수익 "&amp;TEXT(INDEX($W$5:$W$16,$J164),"#,##0")&amp;"원",IF($M164="C","실수익",IF($M164="I",INDEX('완료 체험단'!$H$4:$H$2000,$N164),IF($M164="T",INDEX($W$5:$W$16,$J164),""))))</f>
        <v/>
      </c>
      <c r="I164" s="31">
        <f>ROWS(I$5:I164)</f>
        <v>160</v>
      </c>
      <c r="J164" t="str">
        <f t="shared" si="11"/>
        <v/>
      </c>
      <c r="K164" t="str">
        <f t="shared" si="12"/>
        <v/>
      </c>
      <c r="L164" t="str">
        <f t="shared" si="13"/>
        <v/>
      </c>
      <c r="M164" t="str">
        <f t="shared" si="14"/>
        <v/>
      </c>
      <c r="N164" t="str">
        <f>IF($M164="I",MATCH(SMALL('완료 체험단'!$K$4:$K$2000,INDEX($T$5:$T$16,$J164)+$K164-2),'완료 체험단'!$K$4:$K$2000,0),"")</f>
        <v/>
      </c>
    </row>
    <row r="165" spans="2:14">
      <c r="B165" s="23" t="str">
        <f>IF($M165="H",$J165&amp;"월",IF($M165="C","매장명",IF($M165="I",INDEX('완료 체험단'!$A$4:$A$2000,$N165),IF($M165="T","합계",""))))</f>
        <v/>
      </c>
      <c r="C165" s="29" t="str">
        <f>IF($M165="H",$L165&amp;"건",IF($M165="C","사이트",IF($M165="I",INDEX('완료 체험단'!$C$4:$C$2000,$N165),IF($M165="T",$L165&amp;"건",""))))</f>
        <v/>
      </c>
      <c r="D165" s="30" t="str">
        <f>IF($M165="C","방문일",IF($M165="I",INDEX('완료 체험단'!$D$4:$D$2000,$N165),""))</f>
        <v/>
      </c>
      <c r="E165" s="25" t="str">
        <f>IF($M165="H","제공금액 "&amp;TEXT(INDEX($U$5:$U$16,$J165),"#,##0")&amp;"원",IF($M165="C","제공금액",IF($M165="I",INDEX('완료 체험단'!$F$4:$F$2000,$N165),IF($M165="T",INDEX($U$5:$U$16,$J165),""))))</f>
        <v/>
      </c>
      <c r="F165" s="25" t="str">
        <f>IF($M165="H","결제금액 "&amp;TEXT(INDEX($V$5:$V$16,$J165),"#,##0")&amp;"원",IF($M165="C","결제금액",IF($M165="I",INDEX('완료 체험단'!$G$4:$G$2000,$N165),IF($M165="T",INDEX($V$5:$V$16,$J165),""))))</f>
        <v/>
      </c>
      <c r="G165" s="25" t="str">
        <f>IF($M165="H","실수익 "&amp;TEXT(INDEX($W$5:$W$16,$J165),"#,##0")&amp;"원",IF($M165="C","실수익",IF($M165="I",INDEX('완료 체험단'!$H$4:$H$2000,$N165),IF($M165="T",INDEX($W$5:$W$16,$J165),""))))</f>
        <v/>
      </c>
      <c r="I165" s="31">
        <f>ROWS(I$5:I165)</f>
        <v>161</v>
      </c>
      <c r="J165" t="str">
        <f t="shared" si="11"/>
        <v/>
      </c>
      <c r="K165" t="str">
        <f t="shared" si="12"/>
        <v/>
      </c>
      <c r="L165" t="str">
        <f t="shared" si="13"/>
        <v/>
      </c>
      <c r="M165" t="str">
        <f t="shared" si="14"/>
        <v/>
      </c>
      <c r="N165" t="str">
        <f>IF($M165="I",MATCH(SMALL('완료 체험단'!$K$4:$K$2000,INDEX($T$5:$T$16,$J165)+$K165-2),'완료 체험단'!$K$4:$K$2000,0),"")</f>
        <v/>
      </c>
    </row>
    <row r="166" spans="2:14">
      <c r="B166" s="23" t="str">
        <f>IF($M166="H",$J166&amp;"월",IF($M166="C","매장명",IF($M166="I",INDEX('완료 체험단'!$A$4:$A$2000,$N166),IF($M166="T","합계",""))))</f>
        <v/>
      </c>
      <c r="C166" s="29" t="str">
        <f>IF($M166="H",$L166&amp;"건",IF($M166="C","사이트",IF($M166="I",INDEX('완료 체험단'!$C$4:$C$2000,$N166),IF($M166="T",$L166&amp;"건",""))))</f>
        <v/>
      </c>
      <c r="D166" s="30" t="str">
        <f>IF($M166="C","방문일",IF($M166="I",INDEX('완료 체험단'!$D$4:$D$2000,$N166),""))</f>
        <v/>
      </c>
      <c r="E166" s="25" t="str">
        <f>IF($M166="H","제공금액 "&amp;TEXT(INDEX($U$5:$U$16,$J166),"#,##0")&amp;"원",IF($M166="C","제공금액",IF($M166="I",INDEX('완료 체험단'!$F$4:$F$2000,$N166),IF($M166="T",INDEX($U$5:$U$16,$J166),""))))</f>
        <v/>
      </c>
      <c r="F166" s="25" t="str">
        <f>IF($M166="H","결제금액 "&amp;TEXT(INDEX($V$5:$V$16,$J166),"#,##0")&amp;"원",IF($M166="C","결제금액",IF($M166="I",INDEX('완료 체험단'!$G$4:$G$2000,$N166),IF($M166="T",INDEX($V$5:$V$16,$J166),""))))</f>
        <v/>
      </c>
      <c r="G166" s="25" t="str">
        <f>IF($M166="H","실수익 "&amp;TEXT(INDEX($W$5:$W$16,$J166),"#,##0")&amp;"원",IF($M166="C","실수익",IF($M166="I",INDEX('완료 체험단'!$H$4:$H$2000,$N166),IF($M166="T",INDEX($W$5:$W$16,$J166),""))))</f>
        <v/>
      </c>
      <c r="I166" s="31">
        <f>ROWS(I$5:I166)</f>
        <v>162</v>
      </c>
      <c r="J166" t="str">
        <f t="shared" si="11"/>
        <v/>
      </c>
      <c r="K166" t="str">
        <f t="shared" si="12"/>
        <v/>
      </c>
      <c r="L166" t="str">
        <f t="shared" si="13"/>
        <v/>
      </c>
      <c r="M166" t="str">
        <f t="shared" si="14"/>
        <v/>
      </c>
      <c r="N166" t="str">
        <f>IF($M166="I",MATCH(SMALL('완료 체험단'!$K$4:$K$2000,INDEX($T$5:$T$16,$J166)+$K166-2),'완료 체험단'!$K$4:$K$2000,0),"")</f>
        <v/>
      </c>
    </row>
    <row r="167" spans="2:14">
      <c r="B167" s="23" t="str">
        <f>IF($M167="H",$J167&amp;"월",IF($M167="C","매장명",IF($M167="I",INDEX('완료 체험단'!$A$4:$A$2000,$N167),IF($M167="T","합계",""))))</f>
        <v/>
      </c>
      <c r="C167" s="29" t="str">
        <f>IF($M167="H",$L167&amp;"건",IF($M167="C","사이트",IF($M167="I",INDEX('완료 체험단'!$C$4:$C$2000,$N167),IF($M167="T",$L167&amp;"건",""))))</f>
        <v/>
      </c>
      <c r="D167" s="30" t="str">
        <f>IF($M167="C","방문일",IF($M167="I",INDEX('완료 체험단'!$D$4:$D$2000,$N167),""))</f>
        <v/>
      </c>
      <c r="E167" s="25" t="str">
        <f>IF($M167="H","제공금액 "&amp;TEXT(INDEX($U$5:$U$16,$J167),"#,##0")&amp;"원",IF($M167="C","제공금액",IF($M167="I",INDEX('완료 체험단'!$F$4:$F$2000,$N167),IF($M167="T",INDEX($U$5:$U$16,$J167),""))))</f>
        <v/>
      </c>
      <c r="F167" s="25" t="str">
        <f>IF($M167="H","결제금액 "&amp;TEXT(INDEX($V$5:$V$16,$J167),"#,##0")&amp;"원",IF($M167="C","결제금액",IF($M167="I",INDEX('완료 체험단'!$G$4:$G$2000,$N167),IF($M167="T",INDEX($V$5:$V$16,$J167),""))))</f>
        <v/>
      </c>
      <c r="G167" s="25" t="str">
        <f>IF($M167="H","실수익 "&amp;TEXT(INDEX($W$5:$W$16,$J167),"#,##0")&amp;"원",IF($M167="C","실수익",IF($M167="I",INDEX('완료 체험단'!$H$4:$H$2000,$N167),IF($M167="T",INDEX($W$5:$W$16,$J167),""))))</f>
        <v/>
      </c>
      <c r="I167" s="31">
        <f>ROWS(I$5:I167)</f>
        <v>163</v>
      </c>
      <c r="J167" t="str">
        <f t="shared" si="11"/>
        <v/>
      </c>
      <c r="K167" t="str">
        <f t="shared" si="12"/>
        <v/>
      </c>
      <c r="L167" t="str">
        <f t="shared" si="13"/>
        <v/>
      </c>
      <c r="M167" t="str">
        <f t="shared" si="14"/>
        <v/>
      </c>
      <c r="N167" t="str">
        <f>IF($M167="I",MATCH(SMALL('완료 체험단'!$K$4:$K$2000,INDEX($T$5:$T$16,$J167)+$K167-2),'완료 체험단'!$K$4:$K$2000,0),"")</f>
        <v/>
      </c>
    </row>
    <row r="168" spans="2:14">
      <c r="B168" s="23" t="str">
        <f>IF($M168="H",$J168&amp;"월",IF($M168="C","매장명",IF($M168="I",INDEX('완료 체험단'!$A$4:$A$2000,$N168),IF($M168="T","합계",""))))</f>
        <v/>
      </c>
      <c r="C168" s="29" t="str">
        <f>IF($M168="H",$L168&amp;"건",IF($M168="C","사이트",IF($M168="I",INDEX('완료 체험단'!$C$4:$C$2000,$N168),IF($M168="T",$L168&amp;"건",""))))</f>
        <v/>
      </c>
      <c r="D168" s="30" t="str">
        <f>IF($M168="C","방문일",IF($M168="I",INDEX('완료 체험단'!$D$4:$D$2000,$N168),""))</f>
        <v/>
      </c>
      <c r="E168" s="25" t="str">
        <f>IF($M168="H","제공금액 "&amp;TEXT(INDEX($U$5:$U$16,$J168),"#,##0")&amp;"원",IF($M168="C","제공금액",IF($M168="I",INDEX('완료 체험단'!$F$4:$F$2000,$N168),IF($M168="T",INDEX($U$5:$U$16,$J168),""))))</f>
        <v/>
      </c>
      <c r="F168" s="25" t="str">
        <f>IF($M168="H","결제금액 "&amp;TEXT(INDEX($V$5:$V$16,$J168),"#,##0")&amp;"원",IF($M168="C","결제금액",IF($M168="I",INDEX('완료 체험단'!$G$4:$G$2000,$N168),IF($M168="T",INDEX($V$5:$V$16,$J168),""))))</f>
        <v/>
      </c>
      <c r="G168" s="25" t="str">
        <f>IF($M168="H","실수익 "&amp;TEXT(INDEX($W$5:$W$16,$J168),"#,##0")&amp;"원",IF($M168="C","실수익",IF($M168="I",INDEX('완료 체험단'!$H$4:$H$2000,$N168),IF($M168="T",INDEX($W$5:$W$16,$J168),""))))</f>
        <v/>
      </c>
      <c r="I168" s="31">
        <f>ROWS(I$5:I168)</f>
        <v>164</v>
      </c>
      <c r="J168" t="str">
        <f t="shared" si="11"/>
        <v/>
      </c>
      <c r="K168" t="str">
        <f t="shared" si="12"/>
        <v/>
      </c>
      <c r="L168" t="str">
        <f t="shared" si="13"/>
        <v/>
      </c>
      <c r="M168" t="str">
        <f t="shared" si="14"/>
        <v/>
      </c>
      <c r="N168" t="str">
        <f>IF($M168="I",MATCH(SMALL('완료 체험단'!$K$4:$K$2000,INDEX($T$5:$T$16,$J168)+$K168-2),'완료 체험단'!$K$4:$K$2000,0),"")</f>
        <v/>
      </c>
    </row>
    <row r="169" spans="2:14">
      <c r="B169" s="23" t="str">
        <f>IF($M169="H",$J169&amp;"월",IF($M169="C","매장명",IF($M169="I",INDEX('완료 체험단'!$A$4:$A$2000,$N169),IF($M169="T","합계",""))))</f>
        <v/>
      </c>
      <c r="C169" s="29" t="str">
        <f>IF($M169="H",$L169&amp;"건",IF($M169="C","사이트",IF($M169="I",INDEX('완료 체험단'!$C$4:$C$2000,$N169),IF($M169="T",$L169&amp;"건",""))))</f>
        <v/>
      </c>
      <c r="D169" s="30" t="str">
        <f>IF($M169="C","방문일",IF($M169="I",INDEX('완료 체험단'!$D$4:$D$2000,$N169),""))</f>
        <v/>
      </c>
      <c r="E169" s="25" t="str">
        <f>IF($M169="H","제공금액 "&amp;TEXT(INDEX($U$5:$U$16,$J169),"#,##0")&amp;"원",IF($M169="C","제공금액",IF($M169="I",INDEX('완료 체험단'!$F$4:$F$2000,$N169),IF($M169="T",INDEX($U$5:$U$16,$J169),""))))</f>
        <v/>
      </c>
      <c r="F169" s="25" t="str">
        <f>IF($M169="H","결제금액 "&amp;TEXT(INDEX($V$5:$V$16,$J169),"#,##0")&amp;"원",IF($M169="C","결제금액",IF($M169="I",INDEX('완료 체험단'!$G$4:$G$2000,$N169),IF($M169="T",INDEX($V$5:$V$16,$J169),""))))</f>
        <v/>
      </c>
      <c r="G169" s="25" t="str">
        <f>IF($M169="H","실수익 "&amp;TEXT(INDEX($W$5:$W$16,$J169),"#,##0")&amp;"원",IF($M169="C","실수익",IF($M169="I",INDEX('완료 체험단'!$H$4:$H$2000,$N169),IF($M169="T",INDEX($W$5:$W$16,$J169),""))))</f>
        <v/>
      </c>
      <c r="I169" s="31">
        <f>ROWS(I$5:I169)</f>
        <v>165</v>
      </c>
      <c r="J169" t="str">
        <f t="shared" si="11"/>
        <v/>
      </c>
      <c r="K169" t="str">
        <f t="shared" si="12"/>
        <v/>
      </c>
      <c r="L169" t="str">
        <f t="shared" si="13"/>
        <v/>
      </c>
      <c r="M169" t="str">
        <f t="shared" si="14"/>
        <v/>
      </c>
      <c r="N169" t="str">
        <f>IF($M169="I",MATCH(SMALL('완료 체험단'!$K$4:$K$2000,INDEX($T$5:$T$16,$J169)+$K169-2),'완료 체험단'!$K$4:$K$2000,0),"")</f>
        <v/>
      </c>
    </row>
    <row r="170" spans="2:14">
      <c r="B170" s="23" t="str">
        <f>IF($M170="H",$J170&amp;"월",IF($M170="C","매장명",IF($M170="I",INDEX('완료 체험단'!$A$4:$A$2000,$N170),IF($M170="T","합계",""))))</f>
        <v/>
      </c>
      <c r="C170" s="29" t="str">
        <f>IF($M170="H",$L170&amp;"건",IF($M170="C","사이트",IF($M170="I",INDEX('완료 체험단'!$C$4:$C$2000,$N170),IF($M170="T",$L170&amp;"건",""))))</f>
        <v/>
      </c>
      <c r="D170" s="30" t="str">
        <f>IF($M170="C","방문일",IF($M170="I",INDEX('완료 체험단'!$D$4:$D$2000,$N170),""))</f>
        <v/>
      </c>
      <c r="E170" s="25" t="str">
        <f>IF($M170="H","제공금액 "&amp;TEXT(INDEX($U$5:$U$16,$J170),"#,##0")&amp;"원",IF($M170="C","제공금액",IF($M170="I",INDEX('완료 체험단'!$F$4:$F$2000,$N170),IF($M170="T",INDEX($U$5:$U$16,$J170),""))))</f>
        <v/>
      </c>
      <c r="F170" s="25" t="str">
        <f>IF($M170="H","결제금액 "&amp;TEXT(INDEX($V$5:$V$16,$J170),"#,##0")&amp;"원",IF($M170="C","결제금액",IF($M170="I",INDEX('완료 체험단'!$G$4:$G$2000,$N170),IF($M170="T",INDEX($V$5:$V$16,$J170),""))))</f>
        <v/>
      </c>
      <c r="G170" s="25" t="str">
        <f>IF($M170="H","실수익 "&amp;TEXT(INDEX($W$5:$W$16,$J170),"#,##0")&amp;"원",IF($M170="C","실수익",IF($M170="I",INDEX('완료 체험단'!$H$4:$H$2000,$N170),IF($M170="T",INDEX($W$5:$W$16,$J170),""))))</f>
        <v/>
      </c>
      <c r="I170" s="31">
        <f>ROWS(I$5:I170)</f>
        <v>166</v>
      </c>
      <c r="J170" t="str">
        <f t="shared" si="11"/>
        <v/>
      </c>
      <c r="K170" t="str">
        <f t="shared" si="12"/>
        <v/>
      </c>
      <c r="L170" t="str">
        <f t="shared" si="13"/>
        <v/>
      </c>
      <c r="M170" t="str">
        <f t="shared" si="14"/>
        <v/>
      </c>
      <c r="N170" t="str">
        <f>IF($M170="I",MATCH(SMALL('완료 체험단'!$K$4:$K$2000,INDEX($T$5:$T$16,$J170)+$K170-2),'완료 체험단'!$K$4:$K$2000,0),"")</f>
        <v/>
      </c>
    </row>
    <row r="171" spans="2:14">
      <c r="B171" s="23" t="str">
        <f>IF($M171="H",$J171&amp;"월",IF($M171="C","매장명",IF($M171="I",INDEX('완료 체험단'!$A$4:$A$2000,$N171),IF($M171="T","합계",""))))</f>
        <v/>
      </c>
      <c r="C171" s="29" t="str">
        <f>IF($M171="H",$L171&amp;"건",IF($M171="C","사이트",IF($M171="I",INDEX('완료 체험단'!$C$4:$C$2000,$N171),IF($M171="T",$L171&amp;"건",""))))</f>
        <v/>
      </c>
      <c r="D171" s="30" t="str">
        <f>IF($M171="C","방문일",IF($M171="I",INDEX('완료 체험단'!$D$4:$D$2000,$N171),""))</f>
        <v/>
      </c>
      <c r="E171" s="25" t="str">
        <f>IF($M171="H","제공금액 "&amp;TEXT(INDEX($U$5:$U$16,$J171),"#,##0")&amp;"원",IF($M171="C","제공금액",IF($M171="I",INDEX('완료 체험단'!$F$4:$F$2000,$N171),IF($M171="T",INDEX($U$5:$U$16,$J171),""))))</f>
        <v/>
      </c>
      <c r="F171" s="25" t="str">
        <f>IF($M171="H","결제금액 "&amp;TEXT(INDEX($V$5:$V$16,$J171),"#,##0")&amp;"원",IF($M171="C","결제금액",IF($M171="I",INDEX('완료 체험단'!$G$4:$G$2000,$N171),IF($M171="T",INDEX($V$5:$V$16,$J171),""))))</f>
        <v/>
      </c>
      <c r="G171" s="25" t="str">
        <f>IF($M171="H","실수익 "&amp;TEXT(INDEX($W$5:$W$16,$J171),"#,##0")&amp;"원",IF($M171="C","실수익",IF($M171="I",INDEX('완료 체험단'!$H$4:$H$2000,$N171),IF($M171="T",INDEX($W$5:$W$16,$J171),""))))</f>
        <v/>
      </c>
      <c r="I171" s="31">
        <f>ROWS(I$5:I171)</f>
        <v>167</v>
      </c>
      <c r="J171" t="str">
        <f t="shared" si="11"/>
        <v/>
      </c>
      <c r="K171" t="str">
        <f t="shared" si="12"/>
        <v/>
      </c>
      <c r="L171" t="str">
        <f t="shared" si="13"/>
        <v/>
      </c>
      <c r="M171" t="str">
        <f t="shared" si="14"/>
        <v/>
      </c>
      <c r="N171" t="str">
        <f>IF($M171="I",MATCH(SMALL('완료 체험단'!$K$4:$K$2000,INDEX($T$5:$T$16,$J171)+$K171-2),'완료 체험단'!$K$4:$K$2000,0),"")</f>
        <v/>
      </c>
    </row>
    <row r="172" spans="2:14">
      <c r="B172" s="23" t="str">
        <f>IF($M172="H",$J172&amp;"월",IF($M172="C","매장명",IF($M172="I",INDEX('완료 체험단'!$A$4:$A$2000,$N172),IF($M172="T","합계",""))))</f>
        <v/>
      </c>
      <c r="C172" s="29" t="str">
        <f>IF($M172="H",$L172&amp;"건",IF($M172="C","사이트",IF($M172="I",INDEX('완료 체험단'!$C$4:$C$2000,$N172),IF($M172="T",$L172&amp;"건",""))))</f>
        <v/>
      </c>
      <c r="D172" s="30" t="str">
        <f>IF($M172="C","방문일",IF($M172="I",INDEX('완료 체험단'!$D$4:$D$2000,$N172),""))</f>
        <v/>
      </c>
      <c r="E172" s="25" t="str">
        <f>IF($M172="H","제공금액 "&amp;TEXT(INDEX($U$5:$U$16,$J172),"#,##0")&amp;"원",IF($M172="C","제공금액",IF($M172="I",INDEX('완료 체험단'!$F$4:$F$2000,$N172),IF($M172="T",INDEX($U$5:$U$16,$J172),""))))</f>
        <v/>
      </c>
      <c r="F172" s="25" t="str">
        <f>IF($M172="H","결제금액 "&amp;TEXT(INDEX($V$5:$V$16,$J172),"#,##0")&amp;"원",IF($M172="C","결제금액",IF($M172="I",INDEX('완료 체험단'!$G$4:$G$2000,$N172),IF($M172="T",INDEX($V$5:$V$16,$J172),""))))</f>
        <v/>
      </c>
      <c r="G172" s="25" t="str">
        <f>IF($M172="H","실수익 "&amp;TEXT(INDEX($W$5:$W$16,$J172),"#,##0")&amp;"원",IF($M172="C","실수익",IF($M172="I",INDEX('완료 체험단'!$H$4:$H$2000,$N172),IF($M172="T",INDEX($W$5:$W$16,$J172),""))))</f>
        <v/>
      </c>
      <c r="I172" s="31">
        <f>ROWS(I$5:I172)</f>
        <v>168</v>
      </c>
      <c r="J172" t="str">
        <f t="shared" si="11"/>
        <v/>
      </c>
      <c r="K172" t="str">
        <f t="shared" si="12"/>
        <v/>
      </c>
      <c r="L172" t="str">
        <f t="shared" si="13"/>
        <v/>
      </c>
      <c r="M172" t="str">
        <f t="shared" si="14"/>
        <v/>
      </c>
      <c r="N172" t="str">
        <f>IF($M172="I",MATCH(SMALL('완료 체험단'!$K$4:$K$2000,INDEX($T$5:$T$16,$J172)+$K172-2),'완료 체험단'!$K$4:$K$2000,0),"")</f>
        <v/>
      </c>
    </row>
    <row r="173" spans="2:14">
      <c r="B173" s="23" t="str">
        <f>IF($M173="H",$J173&amp;"월",IF($M173="C","매장명",IF($M173="I",INDEX('완료 체험단'!$A$4:$A$2000,$N173),IF($M173="T","합계",""))))</f>
        <v/>
      </c>
      <c r="C173" s="29" t="str">
        <f>IF($M173="H",$L173&amp;"건",IF($M173="C","사이트",IF($M173="I",INDEX('완료 체험단'!$C$4:$C$2000,$N173),IF($M173="T",$L173&amp;"건",""))))</f>
        <v/>
      </c>
      <c r="D173" s="30" t="str">
        <f>IF($M173="C","방문일",IF($M173="I",INDEX('완료 체험단'!$D$4:$D$2000,$N173),""))</f>
        <v/>
      </c>
      <c r="E173" s="25" t="str">
        <f>IF($M173="H","제공금액 "&amp;TEXT(INDEX($U$5:$U$16,$J173),"#,##0")&amp;"원",IF($M173="C","제공금액",IF($M173="I",INDEX('완료 체험단'!$F$4:$F$2000,$N173),IF($M173="T",INDEX($U$5:$U$16,$J173),""))))</f>
        <v/>
      </c>
      <c r="F173" s="25" t="str">
        <f>IF($M173="H","결제금액 "&amp;TEXT(INDEX($V$5:$V$16,$J173),"#,##0")&amp;"원",IF($M173="C","결제금액",IF($M173="I",INDEX('완료 체험단'!$G$4:$G$2000,$N173),IF($M173="T",INDEX($V$5:$V$16,$J173),""))))</f>
        <v/>
      </c>
      <c r="G173" s="25" t="str">
        <f>IF($M173="H","실수익 "&amp;TEXT(INDEX($W$5:$W$16,$J173),"#,##0")&amp;"원",IF($M173="C","실수익",IF($M173="I",INDEX('완료 체험단'!$H$4:$H$2000,$N173),IF($M173="T",INDEX($W$5:$W$16,$J173),""))))</f>
        <v/>
      </c>
      <c r="I173" s="31">
        <f>ROWS(I$5:I173)</f>
        <v>169</v>
      </c>
      <c r="J173" t="str">
        <f t="shared" si="11"/>
        <v/>
      </c>
      <c r="K173" t="str">
        <f t="shared" si="12"/>
        <v/>
      </c>
      <c r="L173" t="str">
        <f t="shared" si="13"/>
        <v/>
      </c>
      <c r="M173" t="str">
        <f t="shared" si="14"/>
        <v/>
      </c>
      <c r="N173" t="str">
        <f>IF($M173="I",MATCH(SMALL('완료 체험단'!$K$4:$K$2000,INDEX($T$5:$T$16,$J173)+$K173-2),'완료 체험단'!$K$4:$K$2000,0),"")</f>
        <v/>
      </c>
    </row>
    <row r="174" spans="2:14">
      <c r="B174" s="23" t="str">
        <f>IF($M174="H",$J174&amp;"월",IF($M174="C","매장명",IF($M174="I",INDEX('완료 체험단'!$A$4:$A$2000,$N174),IF($M174="T","합계",""))))</f>
        <v/>
      </c>
      <c r="C174" s="29" t="str">
        <f>IF($M174="H",$L174&amp;"건",IF($M174="C","사이트",IF($M174="I",INDEX('완료 체험단'!$C$4:$C$2000,$N174),IF($M174="T",$L174&amp;"건",""))))</f>
        <v/>
      </c>
      <c r="D174" s="30" t="str">
        <f>IF($M174="C","방문일",IF($M174="I",INDEX('완료 체험단'!$D$4:$D$2000,$N174),""))</f>
        <v/>
      </c>
      <c r="E174" s="25" t="str">
        <f>IF($M174="H","제공금액 "&amp;TEXT(INDEX($U$5:$U$16,$J174),"#,##0")&amp;"원",IF($M174="C","제공금액",IF($M174="I",INDEX('완료 체험단'!$F$4:$F$2000,$N174),IF($M174="T",INDEX($U$5:$U$16,$J174),""))))</f>
        <v/>
      </c>
      <c r="F174" s="25" t="str">
        <f>IF($M174="H","결제금액 "&amp;TEXT(INDEX($V$5:$V$16,$J174),"#,##0")&amp;"원",IF($M174="C","결제금액",IF($M174="I",INDEX('완료 체험단'!$G$4:$G$2000,$N174),IF($M174="T",INDEX($V$5:$V$16,$J174),""))))</f>
        <v/>
      </c>
      <c r="G174" s="25" t="str">
        <f>IF($M174="H","실수익 "&amp;TEXT(INDEX($W$5:$W$16,$J174),"#,##0")&amp;"원",IF($M174="C","실수익",IF($M174="I",INDEX('완료 체험단'!$H$4:$H$2000,$N174),IF($M174="T",INDEX($W$5:$W$16,$J174),""))))</f>
        <v/>
      </c>
      <c r="I174" s="31">
        <f>ROWS(I$5:I174)</f>
        <v>170</v>
      </c>
      <c r="J174" t="str">
        <f t="shared" si="11"/>
        <v/>
      </c>
      <c r="K174" t="str">
        <f t="shared" si="12"/>
        <v/>
      </c>
      <c r="L174" t="str">
        <f t="shared" si="13"/>
        <v/>
      </c>
      <c r="M174" t="str">
        <f t="shared" si="14"/>
        <v/>
      </c>
      <c r="N174" t="str">
        <f>IF($M174="I",MATCH(SMALL('완료 체험단'!$K$4:$K$2000,INDEX($T$5:$T$16,$J174)+$K174-2),'완료 체험단'!$K$4:$K$2000,0),"")</f>
        <v/>
      </c>
    </row>
    <row r="175" spans="2:14">
      <c r="B175" s="23" t="str">
        <f>IF($M175="H",$J175&amp;"월",IF($M175="C","매장명",IF($M175="I",INDEX('완료 체험단'!$A$4:$A$2000,$N175),IF($M175="T","합계",""))))</f>
        <v/>
      </c>
      <c r="C175" s="29" t="str">
        <f>IF($M175="H",$L175&amp;"건",IF($M175="C","사이트",IF($M175="I",INDEX('완료 체험단'!$C$4:$C$2000,$N175),IF($M175="T",$L175&amp;"건",""))))</f>
        <v/>
      </c>
      <c r="D175" s="30" t="str">
        <f>IF($M175="C","방문일",IF($M175="I",INDEX('완료 체험단'!$D$4:$D$2000,$N175),""))</f>
        <v/>
      </c>
      <c r="E175" s="25" t="str">
        <f>IF($M175="H","제공금액 "&amp;TEXT(INDEX($U$5:$U$16,$J175),"#,##0")&amp;"원",IF($M175="C","제공금액",IF($M175="I",INDEX('완료 체험단'!$F$4:$F$2000,$N175),IF($M175="T",INDEX($U$5:$U$16,$J175),""))))</f>
        <v/>
      </c>
      <c r="F175" s="25" t="str">
        <f>IF($M175="H","결제금액 "&amp;TEXT(INDEX($V$5:$V$16,$J175),"#,##0")&amp;"원",IF($M175="C","결제금액",IF($M175="I",INDEX('완료 체험단'!$G$4:$G$2000,$N175),IF($M175="T",INDEX($V$5:$V$16,$J175),""))))</f>
        <v/>
      </c>
      <c r="G175" s="25" t="str">
        <f>IF($M175="H","실수익 "&amp;TEXT(INDEX($W$5:$W$16,$J175),"#,##0")&amp;"원",IF($M175="C","실수익",IF($M175="I",INDEX('완료 체험단'!$H$4:$H$2000,$N175),IF($M175="T",INDEX($W$5:$W$16,$J175),""))))</f>
        <v/>
      </c>
      <c r="I175" s="31">
        <f>ROWS(I$5:I175)</f>
        <v>171</v>
      </c>
      <c r="J175" t="str">
        <f t="shared" si="11"/>
        <v/>
      </c>
      <c r="K175" t="str">
        <f t="shared" si="12"/>
        <v/>
      </c>
      <c r="L175" t="str">
        <f t="shared" si="13"/>
        <v/>
      </c>
      <c r="M175" t="str">
        <f t="shared" si="14"/>
        <v/>
      </c>
      <c r="N175" t="str">
        <f>IF($M175="I",MATCH(SMALL('완료 체험단'!$K$4:$K$2000,INDEX($T$5:$T$16,$J175)+$K175-2),'완료 체험단'!$K$4:$K$2000,0),"")</f>
        <v/>
      </c>
    </row>
    <row r="176" spans="2:14">
      <c r="B176" s="23" t="str">
        <f>IF($M176="H",$J176&amp;"월",IF($M176="C","매장명",IF($M176="I",INDEX('완료 체험단'!$A$4:$A$2000,$N176),IF($M176="T","합계",""))))</f>
        <v/>
      </c>
      <c r="C176" s="29" t="str">
        <f>IF($M176="H",$L176&amp;"건",IF($M176="C","사이트",IF($M176="I",INDEX('완료 체험단'!$C$4:$C$2000,$N176),IF($M176="T",$L176&amp;"건",""))))</f>
        <v/>
      </c>
      <c r="D176" s="30" t="str">
        <f>IF($M176="C","방문일",IF($M176="I",INDEX('완료 체험단'!$D$4:$D$2000,$N176),""))</f>
        <v/>
      </c>
      <c r="E176" s="25" t="str">
        <f>IF($M176="H","제공금액 "&amp;TEXT(INDEX($U$5:$U$16,$J176),"#,##0")&amp;"원",IF($M176="C","제공금액",IF($M176="I",INDEX('완료 체험단'!$F$4:$F$2000,$N176),IF($M176="T",INDEX($U$5:$U$16,$J176),""))))</f>
        <v/>
      </c>
      <c r="F176" s="25" t="str">
        <f>IF($M176="H","결제금액 "&amp;TEXT(INDEX($V$5:$V$16,$J176),"#,##0")&amp;"원",IF($M176="C","결제금액",IF($M176="I",INDEX('완료 체험단'!$G$4:$G$2000,$N176),IF($M176="T",INDEX($V$5:$V$16,$J176),""))))</f>
        <v/>
      </c>
      <c r="G176" s="25" t="str">
        <f>IF($M176="H","실수익 "&amp;TEXT(INDEX($W$5:$W$16,$J176),"#,##0")&amp;"원",IF($M176="C","실수익",IF($M176="I",INDEX('완료 체험단'!$H$4:$H$2000,$N176),IF($M176="T",INDEX($W$5:$W$16,$J176),""))))</f>
        <v/>
      </c>
      <c r="I176" s="31">
        <f>ROWS(I$5:I176)</f>
        <v>172</v>
      </c>
      <c r="J176" t="str">
        <f t="shared" si="11"/>
        <v/>
      </c>
      <c r="K176" t="str">
        <f t="shared" si="12"/>
        <v/>
      </c>
      <c r="L176" t="str">
        <f t="shared" si="13"/>
        <v/>
      </c>
      <c r="M176" t="str">
        <f t="shared" si="14"/>
        <v/>
      </c>
      <c r="N176" t="str">
        <f>IF($M176="I",MATCH(SMALL('완료 체험단'!$K$4:$K$2000,INDEX($T$5:$T$16,$J176)+$K176-2),'완료 체험단'!$K$4:$K$2000,0),"")</f>
        <v/>
      </c>
    </row>
    <row r="177" spans="2:14">
      <c r="B177" s="23" t="str">
        <f>IF($M177="H",$J177&amp;"월",IF($M177="C","매장명",IF($M177="I",INDEX('완료 체험단'!$A$4:$A$2000,$N177),IF($M177="T","합계",""))))</f>
        <v/>
      </c>
      <c r="C177" s="29" t="str">
        <f>IF($M177="H",$L177&amp;"건",IF($M177="C","사이트",IF($M177="I",INDEX('완료 체험단'!$C$4:$C$2000,$N177),IF($M177="T",$L177&amp;"건",""))))</f>
        <v/>
      </c>
      <c r="D177" s="30" t="str">
        <f>IF($M177="C","방문일",IF($M177="I",INDEX('완료 체험단'!$D$4:$D$2000,$N177),""))</f>
        <v/>
      </c>
      <c r="E177" s="25" t="str">
        <f>IF($M177="H","제공금액 "&amp;TEXT(INDEX($U$5:$U$16,$J177),"#,##0")&amp;"원",IF($M177="C","제공금액",IF($M177="I",INDEX('완료 체험단'!$F$4:$F$2000,$N177),IF($M177="T",INDEX($U$5:$U$16,$J177),""))))</f>
        <v/>
      </c>
      <c r="F177" s="25" t="str">
        <f>IF($M177="H","결제금액 "&amp;TEXT(INDEX($V$5:$V$16,$J177),"#,##0")&amp;"원",IF($M177="C","결제금액",IF($M177="I",INDEX('완료 체험단'!$G$4:$G$2000,$N177),IF($M177="T",INDEX($V$5:$V$16,$J177),""))))</f>
        <v/>
      </c>
      <c r="G177" s="25" t="str">
        <f>IF($M177="H","실수익 "&amp;TEXT(INDEX($W$5:$W$16,$J177),"#,##0")&amp;"원",IF($M177="C","실수익",IF($M177="I",INDEX('완료 체험단'!$H$4:$H$2000,$N177),IF($M177="T",INDEX($W$5:$W$16,$J177),""))))</f>
        <v/>
      </c>
      <c r="I177" s="31">
        <f>ROWS(I$5:I177)</f>
        <v>173</v>
      </c>
      <c r="J177" t="str">
        <f t="shared" si="11"/>
        <v/>
      </c>
      <c r="K177" t="str">
        <f t="shared" si="12"/>
        <v/>
      </c>
      <c r="L177" t="str">
        <f t="shared" si="13"/>
        <v/>
      </c>
      <c r="M177" t="str">
        <f t="shared" si="14"/>
        <v/>
      </c>
      <c r="N177" t="str">
        <f>IF($M177="I",MATCH(SMALL('완료 체험단'!$K$4:$K$2000,INDEX($T$5:$T$16,$J177)+$K177-2),'완료 체험단'!$K$4:$K$2000,0),"")</f>
        <v/>
      </c>
    </row>
    <row r="178" spans="2:14">
      <c r="B178" s="23" t="str">
        <f>IF($M178="H",$J178&amp;"월",IF($M178="C","매장명",IF($M178="I",INDEX('완료 체험단'!$A$4:$A$2000,$N178),IF($M178="T","합계",""))))</f>
        <v/>
      </c>
      <c r="C178" s="29" t="str">
        <f>IF($M178="H",$L178&amp;"건",IF($M178="C","사이트",IF($M178="I",INDEX('완료 체험단'!$C$4:$C$2000,$N178),IF($M178="T",$L178&amp;"건",""))))</f>
        <v/>
      </c>
      <c r="D178" s="30" t="str">
        <f>IF($M178="C","방문일",IF($M178="I",INDEX('완료 체험단'!$D$4:$D$2000,$N178),""))</f>
        <v/>
      </c>
      <c r="E178" s="25" t="str">
        <f>IF($M178="H","제공금액 "&amp;TEXT(INDEX($U$5:$U$16,$J178),"#,##0")&amp;"원",IF($M178="C","제공금액",IF($M178="I",INDEX('완료 체험단'!$F$4:$F$2000,$N178),IF($M178="T",INDEX($U$5:$U$16,$J178),""))))</f>
        <v/>
      </c>
      <c r="F178" s="25" t="str">
        <f>IF($M178="H","결제금액 "&amp;TEXT(INDEX($V$5:$V$16,$J178),"#,##0")&amp;"원",IF($M178="C","결제금액",IF($M178="I",INDEX('완료 체험단'!$G$4:$G$2000,$N178),IF($M178="T",INDEX($V$5:$V$16,$J178),""))))</f>
        <v/>
      </c>
      <c r="G178" s="25" t="str">
        <f>IF($M178="H","실수익 "&amp;TEXT(INDEX($W$5:$W$16,$J178),"#,##0")&amp;"원",IF($M178="C","실수익",IF($M178="I",INDEX('완료 체험단'!$H$4:$H$2000,$N178),IF($M178="T",INDEX($W$5:$W$16,$J178),""))))</f>
        <v/>
      </c>
      <c r="I178" s="31">
        <f>ROWS(I$5:I178)</f>
        <v>174</v>
      </c>
      <c r="J178" t="str">
        <f t="shared" si="11"/>
        <v/>
      </c>
      <c r="K178" t="str">
        <f t="shared" si="12"/>
        <v/>
      </c>
      <c r="L178" t="str">
        <f t="shared" si="13"/>
        <v/>
      </c>
      <c r="M178" t="str">
        <f t="shared" si="14"/>
        <v/>
      </c>
      <c r="N178" t="str">
        <f>IF($M178="I",MATCH(SMALL('완료 체험단'!$K$4:$K$2000,INDEX($T$5:$T$16,$J178)+$K178-2),'완료 체험단'!$K$4:$K$2000,0),"")</f>
        <v/>
      </c>
    </row>
    <row r="179" spans="2:14">
      <c r="B179" s="23" t="str">
        <f>IF($M179="H",$J179&amp;"월",IF($M179="C","매장명",IF($M179="I",INDEX('완료 체험단'!$A$4:$A$2000,$N179),IF($M179="T","합계",""))))</f>
        <v/>
      </c>
      <c r="C179" s="29" t="str">
        <f>IF($M179="H",$L179&amp;"건",IF($M179="C","사이트",IF($M179="I",INDEX('완료 체험단'!$C$4:$C$2000,$N179),IF($M179="T",$L179&amp;"건",""))))</f>
        <v/>
      </c>
      <c r="D179" s="30" t="str">
        <f>IF($M179="C","방문일",IF($M179="I",INDEX('완료 체험단'!$D$4:$D$2000,$N179),""))</f>
        <v/>
      </c>
      <c r="E179" s="25" t="str">
        <f>IF($M179="H","제공금액 "&amp;TEXT(INDEX($U$5:$U$16,$J179),"#,##0")&amp;"원",IF($M179="C","제공금액",IF($M179="I",INDEX('완료 체험단'!$F$4:$F$2000,$N179),IF($M179="T",INDEX($U$5:$U$16,$J179),""))))</f>
        <v/>
      </c>
      <c r="F179" s="25" t="str">
        <f>IF($M179="H","결제금액 "&amp;TEXT(INDEX($V$5:$V$16,$J179),"#,##0")&amp;"원",IF($M179="C","결제금액",IF($M179="I",INDEX('완료 체험단'!$G$4:$G$2000,$N179),IF($M179="T",INDEX($V$5:$V$16,$J179),""))))</f>
        <v/>
      </c>
      <c r="G179" s="25" t="str">
        <f>IF($M179="H","실수익 "&amp;TEXT(INDEX($W$5:$W$16,$J179),"#,##0")&amp;"원",IF($M179="C","실수익",IF($M179="I",INDEX('완료 체험단'!$H$4:$H$2000,$N179),IF($M179="T",INDEX($W$5:$W$16,$J179),""))))</f>
        <v/>
      </c>
      <c r="I179" s="31">
        <f>ROWS(I$5:I179)</f>
        <v>175</v>
      </c>
      <c r="J179" t="str">
        <f t="shared" si="11"/>
        <v/>
      </c>
      <c r="K179" t="str">
        <f t="shared" si="12"/>
        <v/>
      </c>
      <c r="L179" t="str">
        <f t="shared" si="13"/>
        <v/>
      </c>
      <c r="M179" t="str">
        <f t="shared" si="14"/>
        <v/>
      </c>
      <c r="N179" t="str">
        <f>IF($M179="I",MATCH(SMALL('완료 체험단'!$K$4:$K$2000,INDEX($T$5:$T$16,$J179)+$K179-2),'완료 체험단'!$K$4:$K$2000,0),"")</f>
        <v/>
      </c>
    </row>
    <row r="180" spans="2:14">
      <c r="B180" s="23" t="str">
        <f>IF($M180="H",$J180&amp;"월",IF($M180="C","매장명",IF($M180="I",INDEX('완료 체험단'!$A$4:$A$2000,$N180),IF($M180="T","합계",""))))</f>
        <v/>
      </c>
      <c r="C180" s="29" t="str">
        <f>IF($M180="H",$L180&amp;"건",IF($M180="C","사이트",IF($M180="I",INDEX('완료 체험단'!$C$4:$C$2000,$N180),IF($M180="T",$L180&amp;"건",""))))</f>
        <v/>
      </c>
      <c r="D180" s="30" t="str">
        <f>IF($M180="C","방문일",IF($M180="I",INDEX('완료 체험단'!$D$4:$D$2000,$N180),""))</f>
        <v/>
      </c>
      <c r="E180" s="25" t="str">
        <f>IF($M180="H","제공금액 "&amp;TEXT(INDEX($U$5:$U$16,$J180),"#,##0")&amp;"원",IF($M180="C","제공금액",IF($M180="I",INDEX('완료 체험단'!$F$4:$F$2000,$N180),IF($M180="T",INDEX($U$5:$U$16,$J180),""))))</f>
        <v/>
      </c>
      <c r="F180" s="25" t="str">
        <f>IF($M180="H","결제금액 "&amp;TEXT(INDEX($V$5:$V$16,$J180),"#,##0")&amp;"원",IF($M180="C","결제금액",IF($M180="I",INDEX('완료 체험단'!$G$4:$G$2000,$N180),IF($M180="T",INDEX($V$5:$V$16,$J180),""))))</f>
        <v/>
      </c>
      <c r="G180" s="25" t="str">
        <f>IF($M180="H","실수익 "&amp;TEXT(INDEX($W$5:$W$16,$J180),"#,##0")&amp;"원",IF($M180="C","실수익",IF($M180="I",INDEX('완료 체험단'!$H$4:$H$2000,$N180),IF($M180="T",INDEX($W$5:$W$16,$J180),""))))</f>
        <v/>
      </c>
      <c r="I180" s="31">
        <f>ROWS(I$5:I180)</f>
        <v>176</v>
      </c>
      <c r="J180" t="str">
        <f t="shared" si="11"/>
        <v/>
      </c>
      <c r="K180" t="str">
        <f t="shared" si="12"/>
        <v/>
      </c>
      <c r="L180" t="str">
        <f t="shared" si="13"/>
        <v/>
      </c>
      <c r="M180" t="str">
        <f t="shared" si="14"/>
        <v/>
      </c>
      <c r="N180" t="str">
        <f>IF($M180="I",MATCH(SMALL('완료 체험단'!$K$4:$K$2000,INDEX($T$5:$T$16,$J180)+$K180-2),'완료 체험단'!$K$4:$K$2000,0),"")</f>
        <v/>
      </c>
    </row>
    <row r="181" spans="2:14">
      <c r="B181" s="23" t="str">
        <f>IF($M181="H",$J181&amp;"월",IF($M181="C","매장명",IF($M181="I",INDEX('완료 체험단'!$A$4:$A$2000,$N181),IF($M181="T","합계",""))))</f>
        <v/>
      </c>
      <c r="C181" s="29" t="str">
        <f>IF($M181="H",$L181&amp;"건",IF($M181="C","사이트",IF($M181="I",INDEX('완료 체험단'!$C$4:$C$2000,$N181),IF($M181="T",$L181&amp;"건",""))))</f>
        <v/>
      </c>
      <c r="D181" s="30" t="str">
        <f>IF($M181="C","방문일",IF($M181="I",INDEX('완료 체험단'!$D$4:$D$2000,$N181),""))</f>
        <v/>
      </c>
      <c r="E181" s="25" t="str">
        <f>IF($M181="H","제공금액 "&amp;TEXT(INDEX($U$5:$U$16,$J181),"#,##0")&amp;"원",IF($M181="C","제공금액",IF($M181="I",INDEX('완료 체험단'!$F$4:$F$2000,$N181),IF($M181="T",INDEX($U$5:$U$16,$J181),""))))</f>
        <v/>
      </c>
      <c r="F181" s="25" t="str">
        <f>IF($M181="H","결제금액 "&amp;TEXT(INDEX($V$5:$V$16,$J181),"#,##0")&amp;"원",IF($M181="C","결제금액",IF($M181="I",INDEX('완료 체험단'!$G$4:$G$2000,$N181),IF($M181="T",INDEX($V$5:$V$16,$J181),""))))</f>
        <v/>
      </c>
      <c r="G181" s="25" t="str">
        <f>IF($M181="H","실수익 "&amp;TEXT(INDEX($W$5:$W$16,$J181),"#,##0")&amp;"원",IF($M181="C","실수익",IF($M181="I",INDEX('완료 체험단'!$H$4:$H$2000,$N181),IF($M181="T",INDEX($W$5:$W$16,$J181),""))))</f>
        <v/>
      </c>
      <c r="I181" s="31">
        <f>ROWS(I$5:I181)</f>
        <v>177</v>
      </c>
      <c r="J181" t="str">
        <f t="shared" si="11"/>
        <v/>
      </c>
      <c r="K181" t="str">
        <f t="shared" si="12"/>
        <v/>
      </c>
      <c r="L181" t="str">
        <f t="shared" si="13"/>
        <v/>
      </c>
      <c r="M181" t="str">
        <f t="shared" si="14"/>
        <v/>
      </c>
      <c r="N181" t="str">
        <f>IF($M181="I",MATCH(SMALL('완료 체험단'!$K$4:$K$2000,INDEX($T$5:$T$16,$J181)+$K181-2),'완료 체험단'!$K$4:$K$2000,0),"")</f>
        <v/>
      </c>
    </row>
    <row r="182" spans="2:14">
      <c r="B182" s="23" t="str">
        <f>IF($M182="H",$J182&amp;"월",IF($M182="C","매장명",IF($M182="I",INDEX('완료 체험단'!$A$4:$A$2000,$N182),IF($M182="T","합계",""))))</f>
        <v/>
      </c>
      <c r="C182" s="29" t="str">
        <f>IF($M182="H",$L182&amp;"건",IF($M182="C","사이트",IF($M182="I",INDEX('완료 체험단'!$C$4:$C$2000,$N182),IF($M182="T",$L182&amp;"건",""))))</f>
        <v/>
      </c>
      <c r="D182" s="30" t="str">
        <f>IF($M182="C","방문일",IF($M182="I",INDEX('완료 체험단'!$D$4:$D$2000,$N182),""))</f>
        <v/>
      </c>
      <c r="E182" s="25" t="str">
        <f>IF($M182="H","제공금액 "&amp;TEXT(INDEX($U$5:$U$16,$J182),"#,##0")&amp;"원",IF($M182="C","제공금액",IF($M182="I",INDEX('완료 체험단'!$F$4:$F$2000,$N182),IF($M182="T",INDEX($U$5:$U$16,$J182),""))))</f>
        <v/>
      </c>
      <c r="F182" s="25" t="str">
        <f>IF($M182="H","결제금액 "&amp;TEXT(INDEX($V$5:$V$16,$J182),"#,##0")&amp;"원",IF($M182="C","결제금액",IF($M182="I",INDEX('완료 체험단'!$G$4:$G$2000,$N182),IF($M182="T",INDEX($V$5:$V$16,$J182),""))))</f>
        <v/>
      </c>
      <c r="G182" s="25" t="str">
        <f>IF($M182="H","실수익 "&amp;TEXT(INDEX($W$5:$W$16,$J182),"#,##0")&amp;"원",IF($M182="C","실수익",IF($M182="I",INDEX('완료 체험단'!$H$4:$H$2000,$N182),IF($M182="T",INDEX($W$5:$W$16,$J182),""))))</f>
        <v/>
      </c>
      <c r="I182" s="31">
        <f>ROWS(I$5:I182)</f>
        <v>178</v>
      </c>
      <c r="J182" t="str">
        <f t="shared" si="11"/>
        <v/>
      </c>
      <c r="K182" t="str">
        <f t="shared" si="12"/>
        <v/>
      </c>
      <c r="L182" t="str">
        <f t="shared" si="13"/>
        <v/>
      </c>
      <c r="M182" t="str">
        <f t="shared" si="14"/>
        <v/>
      </c>
      <c r="N182" t="str">
        <f>IF($M182="I",MATCH(SMALL('완료 체험단'!$K$4:$K$2000,INDEX($T$5:$T$16,$J182)+$K182-2),'완료 체험단'!$K$4:$K$2000,0),"")</f>
        <v/>
      </c>
    </row>
    <row r="183" spans="2:14">
      <c r="B183" s="23" t="str">
        <f>IF($M183="H",$J183&amp;"월",IF($M183="C","매장명",IF($M183="I",INDEX('완료 체험단'!$A$4:$A$2000,$N183),IF($M183="T","합계",""))))</f>
        <v/>
      </c>
      <c r="C183" s="29" t="str">
        <f>IF($M183="H",$L183&amp;"건",IF($M183="C","사이트",IF($M183="I",INDEX('완료 체험단'!$C$4:$C$2000,$N183),IF($M183="T",$L183&amp;"건",""))))</f>
        <v/>
      </c>
      <c r="D183" s="30" t="str">
        <f>IF($M183="C","방문일",IF($M183="I",INDEX('완료 체험단'!$D$4:$D$2000,$N183),""))</f>
        <v/>
      </c>
      <c r="E183" s="25" t="str">
        <f>IF($M183="H","제공금액 "&amp;TEXT(INDEX($U$5:$U$16,$J183),"#,##0")&amp;"원",IF($M183="C","제공금액",IF($M183="I",INDEX('완료 체험단'!$F$4:$F$2000,$N183),IF($M183="T",INDEX($U$5:$U$16,$J183),""))))</f>
        <v/>
      </c>
      <c r="F183" s="25" t="str">
        <f>IF($M183="H","결제금액 "&amp;TEXT(INDEX($V$5:$V$16,$J183),"#,##0")&amp;"원",IF($M183="C","결제금액",IF($M183="I",INDEX('완료 체험단'!$G$4:$G$2000,$N183),IF($M183="T",INDEX($V$5:$V$16,$J183),""))))</f>
        <v/>
      </c>
      <c r="G183" s="25" t="str">
        <f>IF($M183="H","실수익 "&amp;TEXT(INDEX($W$5:$W$16,$J183),"#,##0")&amp;"원",IF($M183="C","실수익",IF($M183="I",INDEX('완료 체험단'!$H$4:$H$2000,$N183),IF($M183="T",INDEX($W$5:$W$16,$J183),""))))</f>
        <v/>
      </c>
      <c r="I183" s="31">
        <f>ROWS(I$5:I183)</f>
        <v>179</v>
      </c>
      <c r="J183" t="str">
        <f t="shared" si="11"/>
        <v/>
      </c>
      <c r="K183" t="str">
        <f t="shared" si="12"/>
        <v/>
      </c>
      <c r="L183" t="str">
        <f t="shared" si="13"/>
        <v/>
      </c>
      <c r="M183" t="str">
        <f t="shared" si="14"/>
        <v/>
      </c>
      <c r="N183" t="str">
        <f>IF($M183="I",MATCH(SMALL('완료 체험단'!$K$4:$K$2000,INDEX($T$5:$T$16,$J183)+$K183-2),'완료 체험단'!$K$4:$K$2000,0),"")</f>
        <v/>
      </c>
    </row>
    <row r="184" spans="2:14">
      <c r="B184" s="23" t="str">
        <f>IF($M184="H",$J184&amp;"월",IF($M184="C","매장명",IF($M184="I",INDEX('완료 체험단'!$A$4:$A$2000,$N184),IF($M184="T","합계",""))))</f>
        <v/>
      </c>
      <c r="C184" s="29" t="str">
        <f>IF($M184="H",$L184&amp;"건",IF($M184="C","사이트",IF($M184="I",INDEX('완료 체험단'!$C$4:$C$2000,$N184),IF($M184="T",$L184&amp;"건",""))))</f>
        <v/>
      </c>
      <c r="D184" s="30" t="str">
        <f>IF($M184="C","방문일",IF($M184="I",INDEX('완료 체험단'!$D$4:$D$2000,$N184),""))</f>
        <v/>
      </c>
      <c r="E184" s="25" t="str">
        <f>IF($M184="H","제공금액 "&amp;TEXT(INDEX($U$5:$U$16,$J184),"#,##0")&amp;"원",IF($M184="C","제공금액",IF($M184="I",INDEX('완료 체험단'!$F$4:$F$2000,$N184),IF($M184="T",INDEX($U$5:$U$16,$J184),""))))</f>
        <v/>
      </c>
      <c r="F184" s="25" t="str">
        <f>IF($M184="H","결제금액 "&amp;TEXT(INDEX($V$5:$V$16,$J184),"#,##0")&amp;"원",IF($M184="C","결제금액",IF($M184="I",INDEX('완료 체험단'!$G$4:$G$2000,$N184),IF($M184="T",INDEX($V$5:$V$16,$J184),""))))</f>
        <v/>
      </c>
      <c r="G184" s="25" t="str">
        <f>IF($M184="H","실수익 "&amp;TEXT(INDEX($W$5:$W$16,$J184),"#,##0")&amp;"원",IF($M184="C","실수익",IF($M184="I",INDEX('완료 체험단'!$H$4:$H$2000,$N184),IF($M184="T",INDEX($W$5:$W$16,$J184),""))))</f>
        <v/>
      </c>
      <c r="I184" s="31">
        <f>ROWS(I$5:I184)</f>
        <v>180</v>
      </c>
      <c r="J184" t="str">
        <f t="shared" si="11"/>
        <v/>
      </c>
      <c r="K184" t="str">
        <f t="shared" si="12"/>
        <v/>
      </c>
      <c r="L184" t="str">
        <f t="shared" si="13"/>
        <v/>
      </c>
      <c r="M184" t="str">
        <f t="shared" si="14"/>
        <v/>
      </c>
      <c r="N184" t="str">
        <f>IF($M184="I",MATCH(SMALL('완료 체험단'!$K$4:$K$2000,INDEX($T$5:$T$16,$J184)+$K184-2),'완료 체험단'!$K$4:$K$2000,0),"")</f>
        <v/>
      </c>
    </row>
    <row r="185" spans="2:14">
      <c r="B185" s="23" t="str">
        <f>IF($M185="H",$J185&amp;"월",IF($M185="C","매장명",IF($M185="I",INDEX('완료 체험단'!$A$4:$A$2000,$N185),IF($M185="T","합계",""))))</f>
        <v/>
      </c>
      <c r="C185" s="29" t="str">
        <f>IF($M185="H",$L185&amp;"건",IF($M185="C","사이트",IF($M185="I",INDEX('완료 체험단'!$C$4:$C$2000,$N185),IF($M185="T",$L185&amp;"건",""))))</f>
        <v/>
      </c>
      <c r="D185" s="30" t="str">
        <f>IF($M185="C","방문일",IF($M185="I",INDEX('완료 체험단'!$D$4:$D$2000,$N185),""))</f>
        <v/>
      </c>
      <c r="E185" s="25" t="str">
        <f>IF($M185="H","제공금액 "&amp;TEXT(INDEX($U$5:$U$16,$J185),"#,##0")&amp;"원",IF($M185="C","제공금액",IF($M185="I",INDEX('완료 체험단'!$F$4:$F$2000,$N185),IF($M185="T",INDEX($U$5:$U$16,$J185),""))))</f>
        <v/>
      </c>
      <c r="F185" s="25" t="str">
        <f>IF($M185="H","결제금액 "&amp;TEXT(INDEX($V$5:$V$16,$J185),"#,##0")&amp;"원",IF($M185="C","결제금액",IF($M185="I",INDEX('완료 체험단'!$G$4:$G$2000,$N185),IF($M185="T",INDEX($V$5:$V$16,$J185),""))))</f>
        <v/>
      </c>
      <c r="G185" s="25" t="str">
        <f>IF($M185="H","실수익 "&amp;TEXT(INDEX($W$5:$W$16,$J185),"#,##0")&amp;"원",IF($M185="C","실수익",IF($M185="I",INDEX('완료 체험단'!$H$4:$H$2000,$N185),IF($M185="T",INDEX($W$5:$W$16,$J185),""))))</f>
        <v/>
      </c>
      <c r="I185" s="31">
        <f>ROWS(I$5:I185)</f>
        <v>181</v>
      </c>
      <c r="J185" t="str">
        <f t="shared" si="11"/>
        <v/>
      </c>
      <c r="K185" t="str">
        <f t="shared" si="12"/>
        <v/>
      </c>
      <c r="L185" t="str">
        <f t="shared" si="13"/>
        <v/>
      </c>
      <c r="M185" t="str">
        <f t="shared" si="14"/>
        <v/>
      </c>
      <c r="N185" t="str">
        <f>IF($M185="I",MATCH(SMALL('완료 체험단'!$K$4:$K$2000,INDEX($T$5:$T$16,$J185)+$K185-2),'완료 체험단'!$K$4:$K$2000,0),"")</f>
        <v/>
      </c>
    </row>
    <row r="186" spans="2:14">
      <c r="B186" s="23" t="str">
        <f>IF($M186="H",$J186&amp;"월",IF($M186="C","매장명",IF($M186="I",INDEX('완료 체험단'!$A$4:$A$2000,$N186),IF($M186="T","합계",""))))</f>
        <v/>
      </c>
      <c r="C186" s="29" t="str">
        <f>IF($M186="H",$L186&amp;"건",IF($M186="C","사이트",IF($M186="I",INDEX('완료 체험단'!$C$4:$C$2000,$N186),IF($M186="T",$L186&amp;"건",""))))</f>
        <v/>
      </c>
      <c r="D186" s="30" t="str">
        <f>IF($M186="C","방문일",IF($M186="I",INDEX('완료 체험단'!$D$4:$D$2000,$N186),""))</f>
        <v/>
      </c>
      <c r="E186" s="25" t="str">
        <f>IF($M186="H","제공금액 "&amp;TEXT(INDEX($U$5:$U$16,$J186),"#,##0")&amp;"원",IF($M186="C","제공금액",IF($M186="I",INDEX('완료 체험단'!$F$4:$F$2000,$N186),IF($M186="T",INDEX($U$5:$U$16,$J186),""))))</f>
        <v/>
      </c>
      <c r="F186" s="25" t="str">
        <f>IF($M186="H","결제금액 "&amp;TEXT(INDEX($V$5:$V$16,$J186),"#,##0")&amp;"원",IF($M186="C","결제금액",IF($M186="I",INDEX('완료 체험단'!$G$4:$G$2000,$N186),IF($M186="T",INDEX($V$5:$V$16,$J186),""))))</f>
        <v/>
      </c>
      <c r="G186" s="25" t="str">
        <f>IF($M186="H","실수익 "&amp;TEXT(INDEX($W$5:$W$16,$J186),"#,##0")&amp;"원",IF($M186="C","실수익",IF($M186="I",INDEX('완료 체험단'!$H$4:$H$2000,$N186),IF($M186="T",INDEX($W$5:$W$16,$J186),""))))</f>
        <v/>
      </c>
      <c r="I186" s="31">
        <f>ROWS(I$5:I186)</f>
        <v>182</v>
      </c>
      <c r="J186" t="str">
        <f t="shared" si="11"/>
        <v/>
      </c>
      <c r="K186" t="str">
        <f t="shared" si="12"/>
        <v/>
      </c>
      <c r="L186" t="str">
        <f t="shared" si="13"/>
        <v/>
      </c>
      <c r="M186" t="str">
        <f t="shared" si="14"/>
        <v/>
      </c>
      <c r="N186" t="str">
        <f>IF($M186="I",MATCH(SMALL('완료 체험단'!$K$4:$K$2000,INDEX($T$5:$T$16,$J186)+$K186-2),'완료 체험단'!$K$4:$K$2000,0),"")</f>
        <v/>
      </c>
    </row>
    <row r="187" spans="2:14">
      <c r="B187" s="23" t="str">
        <f>IF($M187="H",$J187&amp;"월",IF($M187="C","매장명",IF($M187="I",INDEX('완료 체험단'!$A$4:$A$2000,$N187),IF($M187="T","합계",""))))</f>
        <v/>
      </c>
      <c r="C187" s="29" t="str">
        <f>IF($M187="H",$L187&amp;"건",IF($M187="C","사이트",IF($M187="I",INDEX('완료 체험단'!$C$4:$C$2000,$N187),IF($M187="T",$L187&amp;"건",""))))</f>
        <v/>
      </c>
      <c r="D187" s="30" t="str">
        <f>IF($M187="C","방문일",IF($M187="I",INDEX('완료 체험단'!$D$4:$D$2000,$N187),""))</f>
        <v/>
      </c>
      <c r="E187" s="25" t="str">
        <f>IF($M187="H","제공금액 "&amp;TEXT(INDEX($U$5:$U$16,$J187),"#,##0")&amp;"원",IF($M187="C","제공금액",IF($M187="I",INDEX('완료 체험단'!$F$4:$F$2000,$N187),IF($M187="T",INDEX($U$5:$U$16,$J187),""))))</f>
        <v/>
      </c>
      <c r="F187" s="25" t="str">
        <f>IF($M187="H","결제금액 "&amp;TEXT(INDEX($V$5:$V$16,$J187),"#,##0")&amp;"원",IF($M187="C","결제금액",IF($M187="I",INDEX('완료 체험단'!$G$4:$G$2000,$N187),IF($M187="T",INDEX($V$5:$V$16,$J187),""))))</f>
        <v/>
      </c>
      <c r="G187" s="25" t="str">
        <f>IF($M187="H","실수익 "&amp;TEXT(INDEX($W$5:$W$16,$J187),"#,##0")&amp;"원",IF($M187="C","실수익",IF($M187="I",INDEX('완료 체험단'!$H$4:$H$2000,$N187),IF($M187="T",INDEX($W$5:$W$16,$J187),""))))</f>
        <v/>
      </c>
      <c r="I187" s="31">
        <f>ROWS(I$5:I187)</f>
        <v>183</v>
      </c>
      <c r="J187" t="str">
        <f t="shared" si="11"/>
        <v/>
      </c>
      <c r="K187" t="str">
        <f t="shared" si="12"/>
        <v/>
      </c>
      <c r="L187" t="str">
        <f t="shared" si="13"/>
        <v/>
      </c>
      <c r="M187" t="str">
        <f t="shared" si="14"/>
        <v/>
      </c>
      <c r="N187" t="str">
        <f>IF($M187="I",MATCH(SMALL('완료 체험단'!$K$4:$K$2000,INDEX($T$5:$T$16,$J187)+$K187-2),'완료 체험단'!$K$4:$K$2000,0),"")</f>
        <v/>
      </c>
    </row>
    <row r="188" spans="2:14">
      <c r="B188" s="23" t="str">
        <f>IF($M188="H",$J188&amp;"월",IF($M188="C","매장명",IF($M188="I",INDEX('완료 체험단'!$A$4:$A$2000,$N188),IF($M188="T","합계",""))))</f>
        <v/>
      </c>
      <c r="C188" s="29" t="str">
        <f>IF($M188="H",$L188&amp;"건",IF($M188="C","사이트",IF($M188="I",INDEX('완료 체험단'!$C$4:$C$2000,$N188),IF($M188="T",$L188&amp;"건",""))))</f>
        <v/>
      </c>
      <c r="D188" s="30" t="str">
        <f>IF($M188="C","방문일",IF($M188="I",INDEX('완료 체험단'!$D$4:$D$2000,$N188),""))</f>
        <v/>
      </c>
      <c r="E188" s="25" t="str">
        <f>IF($M188="H","제공금액 "&amp;TEXT(INDEX($U$5:$U$16,$J188),"#,##0")&amp;"원",IF($M188="C","제공금액",IF($M188="I",INDEX('완료 체험단'!$F$4:$F$2000,$N188),IF($M188="T",INDEX($U$5:$U$16,$J188),""))))</f>
        <v/>
      </c>
      <c r="F188" s="25" t="str">
        <f>IF($M188="H","결제금액 "&amp;TEXT(INDEX($V$5:$V$16,$J188),"#,##0")&amp;"원",IF($M188="C","결제금액",IF($M188="I",INDEX('완료 체험단'!$G$4:$G$2000,$N188),IF($M188="T",INDEX($V$5:$V$16,$J188),""))))</f>
        <v/>
      </c>
      <c r="G188" s="25" t="str">
        <f>IF($M188="H","실수익 "&amp;TEXT(INDEX($W$5:$W$16,$J188),"#,##0")&amp;"원",IF($M188="C","실수익",IF($M188="I",INDEX('완료 체험단'!$H$4:$H$2000,$N188),IF($M188="T",INDEX($W$5:$W$16,$J188),""))))</f>
        <v/>
      </c>
      <c r="I188" s="31">
        <f>ROWS(I$5:I188)</f>
        <v>184</v>
      </c>
      <c r="J188" t="str">
        <f t="shared" si="11"/>
        <v/>
      </c>
      <c r="K188" t="str">
        <f t="shared" si="12"/>
        <v/>
      </c>
      <c r="L188" t="str">
        <f t="shared" si="13"/>
        <v/>
      </c>
      <c r="M188" t="str">
        <f t="shared" si="14"/>
        <v/>
      </c>
      <c r="N188" t="str">
        <f>IF($M188="I",MATCH(SMALL('완료 체험단'!$K$4:$K$2000,INDEX($T$5:$T$16,$J188)+$K188-2),'완료 체험단'!$K$4:$K$2000,0),"")</f>
        <v/>
      </c>
    </row>
    <row r="189" spans="2:14">
      <c r="B189" s="23" t="str">
        <f>IF($M189="H",$J189&amp;"월",IF($M189="C","매장명",IF($M189="I",INDEX('완료 체험단'!$A$4:$A$2000,$N189),IF($M189="T","합계",""))))</f>
        <v/>
      </c>
      <c r="C189" s="29" t="str">
        <f>IF($M189="H",$L189&amp;"건",IF($M189="C","사이트",IF($M189="I",INDEX('완료 체험단'!$C$4:$C$2000,$N189),IF($M189="T",$L189&amp;"건",""))))</f>
        <v/>
      </c>
      <c r="D189" s="30" t="str">
        <f>IF($M189="C","방문일",IF($M189="I",INDEX('완료 체험단'!$D$4:$D$2000,$N189),""))</f>
        <v/>
      </c>
      <c r="E189" s="25" t="str">
        <f>IF($M189="H","제공금액 "&amp;TEXT(INDEX($U$5:$U$16,$J189),"#,##0")&amp;"원",IF($M189="C","제공금액",IF($M189="I",INDEX('완료 체험단'!$F$4:$F$2000,$N189),IF($M189="T",INDEX($U$5:$U$16,$J189),""))))</f>
        <v/>
      </c>
      <c r="F189" s="25" t="str">
        <f>IF($M189="H","결제금액 "&amp;TEXT(INDEX($V$5:$V$16,$J189),"#,##0")&amp;"원",IF($M189="C","결제금액",IF($M189="I",INDEX('완료 체험단'!$G$4:$G$2000,$N189),IF($M189="T",INDEX($V$5:$V$16,$J189),""))))</f>
        <v/>
      </c>
      <c r="G189" s="25" t="str">
        <f>IF($M189="H","실수익 "&amp;TEXT(INDEX($W$5:$W$16,$J189),"#,##0")&amp;"원",IF($M189="C","실수익",IF($M189="I",INDEX('완료 체험단'!$H$4:$H$2000,$N189),IF($M189="T",INDEX($W$5:$W$16,$J189),""))))</f>
        <v/>
      </c>
      <c r="I189" s="31">
        <f>ROWS(I$5:I189)</f>
        <v>185</v>
      </c>
      <c r="J189" t="str">
        <f t="shared" si="11"/>
        <v/>
      </c>
      <c r="K189" t="str">
        <f t="shared" si="12"/>
        <v/>
      </c>
      <c r="L189" t="str">
        <f t="shared" si="13"/>
        <v/>
      </c>
      <c r="M189" t="str">
        <f t="shared" si="14"/>
        <v/>
      </c>
      <c r="N189" t="str">
        <f>IF($M189="I",MATCH(SMALL('완료 체험단'!$K$4:$K$2000,INDEX($T$5:$T$16,$J189)+$K189-2),'완료 체험단'!$K$4:$K$2000,0),"")</f>
        <v/>
      </c>
    </row>
    <row r="190" spans="2:14">
      <c r="B190" s="23" t="str">
        <f>IF($M190="H",$J190&amp;"월",IF($M190="C","매장명",IF($M190="I",INDEX('완료 체험단'!$A$4:$A$2000,$N190),IF($M190="T","합계",""))))</f>
        <v/>
      </c>
      <c r="C190" s="29" t="str">
        <f>IF($M190="H",$L190&amp;"건",IF($M190="C","사이트",IF($M190="I",INDEX('완료 체험단'!$C$4:$C$2000,$N190),IF($M190="T",$L190&amp;"건",""))))</f>
        <v/>
      </c>
      <c r="D190" s="30" t="str">
        <f>IF($M190="C","방문일",IF($M190="I",INDEX('완료 체험단'!$D$4:$D$2000,$N190),""))</f>
        <v/>
      </c>
      <c r="E190" s="25" t="str">
        <f>IF($M190="H","제공금액 "&amp;TEXT(INDEX($U$5:$U$16,$J190),"#,##0")&amp;"원",IF($M190="C","제공금액",IF($M190="I",INDEX('완료 체험단'!$F$4:$F$2000,$N190),IF($M190="T",INDEX($U$5:$U$16,$J190),""))))</f>
        <v/>
      </c>
      <c r="F190" s="25" t="str">
        <f>IF($M190="H","결제금액 "&amp;TEXT(INDEX($V$5:$V$16,$J190),"#,##0")&amp;"원",IF($M190="C","결제금액",IF($M190="I",INDEX('완료 체험단'!$G$4:$G$2000,$N190),IF($M190="T",INDEX($V$5:$V$16,$J190),""))))</f>
        <v/>
      </c>
      <c r="G190" s="25" t="str">
        <f>IF($M190="H","실수익 "&amp;TEXT(INDEX($W$5:$W$16,$J190),"#,##0")&amp;"원",IF($M190="C","실수익",IF($M190="I",INDEX('완료 체험단'!$H$4:$H$2000,$N190),IF($M190="T",INDEX($W$5:$W$16,$J190),""))))</f>
        <v/>
      </c>
      <c r="I190" s="31">
        <f>ROWS(I$5:I190)</f>
        <v>186</v>
      </c>
      <c r="J190" t="str">
        <f t="shared" si="11"/>
        <v/>
      </c>
      <c r="K190" t="str">
        <f t="shared" si="12"/>
        <v/>
      </c>
      <c r="L190" t="str">
        <f t="shared" si="13"/>
        <v/>
      </c>
      <c r="M190" t="str">
        <f t="shared" si="14"/>
        <v/>
      </c>
      <c r="N190" t="str">
        <f>IF($M190="I",MATCH(SMALL('완료 체험단'!$K$4:$K$2000,INDEX($T$5:$T$16,$J190)+$K190-2),'완료 체험단'!$K$4:$K$2000,0),"")</f>
        <v/>
      </c>
    </row>
    <row r="191" spans="2:14">
      <c r="B191" s="23" t="str">
        <f>IF($M191="H",$J191&amp;"월",IF($M191="C","매장명",IF($M191="I",INDEX('완료 체험단'!$A$4:$A$2000,$N191),IF($M191="T","합계",""))))</f>
        <v/>
      </c>
      <c r="C191" s="29" t="str">
        <f>IF($M191="H",$L191&amp;"건",IF($M191="C","사이트",IF($M191="I",INDEX('완료 체험단'!$C$4:$C$2000,$N191),IF($M191="T",$L191&amp;"건",""))))</f>
        <v/>
      </c>
      <c r="D191" s="30" t="str">
        <f>IF($M191="C","방문일",IF($M191="I",INDEX('완료 체험단'!$D$4:$D$2000,$N191),""))</f>
        <v/>
      </c>
      <c r="E191" s="25" t="str">
        <f>IF($M191="H","제공금액 "&amp;TEXT(INDEX($U$5:$U$16,$J191),"#,##0")&amp;"원",IF($M191="C","제공금액",IF($M191="I",INDEX('완료 체험단'!$F$4:$F$2000,$N191),IF($M191="T",INDEX($U$5:$U$16,$J191),""))))</f>
        <v/>
      </c>
      <c r="F191" s="25" t="str">
        <f>IF($M191="H","결제금액 "&amp;TEXT(INDEX($V$5:$V$16,$J191),"#,##0")&amp;"원",IF($M191="C","결제금액",IF($M191="I",INDEX('완료 체험단'!$G$4:$G$2000,$N191),IF($M191="T",INDEX($V$5:$V$16,$J191),""))))</f>
        <v/>
      </c>
      <c r="G191" s="25" t="str">
        <f>IF($M191="H","실수익 "&amp;TEXT(INDEX($W$5:$W$16,$J191),"#,##0")&amp;"원",IF($M191="C","실수익",IF($M191="I",INDEX('완료 체험단'!$H$4:$H$2000,$N191),IF($M191="T",INDEX($W$5:$W$16,$J191),""))))</f>
        <v/>
      </c>
      <c r="I191" s="31">
        <f>ROWS(I$5:I191)</f>
        <v>187</v>
      </c>
      <c r="J191" t="str">
        <f t="shared" si="11"/>
        <v/>
      </c>
      <c r="K191" t="str">
        <f t="shared" si="12"/>
        <v/>
      </c>
      <c r="L191" t="str">
        <f t="shared" si="13"/>
        <v/>
      </c>
      <c r="M191" t="str">
        <f t="shared" si="14"/>
        <v/>
      </c>
      <c r="N191" t="str">
        <f>IF($M191="I",MATCH(SMALL('완료 체험단'!$K$4:$K$2000,INDEX($T$5:$T$16,$J191)+$K191-2),'완료 체험단'!$K$4:$K$2000,0),"")</f>
        <v/>
      </c>
    </row>
    <row r="192" spans="2:14">
      <c r="B192" s="23" t="str">
        <f>IF($M192="H",$J192&amp;"월",IF($M192="C","매장명",IF($M192="I",INDEX('완료 체험단'!$A$4:$A$2000,$N192),IF($M192="T","합계",""))))</f>
        <v/>
      </c>
      <c r="C192" s="29" t="str">
        <f>IF($M192="H",$L192&amp;"건",IF($M192="C","사이트",IF($M192="I",INDEX('완료 체험단'!$C$4:$C$2000,$N192),IF($M192="T",$L192&amp;"건",""))))</f>
        <v/>
      </c>
      <c r="D192" s="30" t="str">
        <f>IF($M192="C","방문일",IF($M192="I",INDEX('완료 체험단'!$D$4:$D$2000,$N192),""))</f>
        <v/>
      </c>
      <c r="E192" s="25" t="str">
        <f>IF($M192="H","제공금액 "&amp;TEXT(INDEX($U$5:$U$16,$J192),"#,##0")&amp;"원",IF($M192="C","제공금액",IF($M192="I",INDEX('완료 체험단'!$F$4:$F$2000,$N192),IF($M192="T",INDEX($U$5:$U$16,$J192),""))))</f>
        <v/>
      </c>
      <c r="F192" s="25" t="str">
        <f>IF($M192="H","결제금액 "&amp;TEXT(INDEX($V$5:$V$16,$J192),"#,##0")&amp;"원",IF($M192="C","결제금액",IF($M192="I",INDEX('완료 체험단'!$G$4:$G$2000,$N192),IF($M192="T",INDEX($V$5:$V$16,$J192),""))))</f>
        <v/>
      </c>
      <c r="G192" s="25" t="str">
        <f>IF($M192="H","실수익 "&amp;TEXT(INDEX($W$5:$W$16,$J192),"#,##0")&amp;"원",IF($M192="C","실수익",IF($M192="I",INDEX('완료 체험단'!$H$4:$H$2000,$N192),IF($M192="T",INDEX($W$5:$W$16,$J192),""))))</f>
        <v/>
      </c>
      <c r="I192" s="31">
        <f>ROWS(I$5:I192)</f>
        <v>188</v>
      </c>
      <c r="J192" t="str">
        <f t="shared" si="11"/>
        <v/>
      </c>
      <c r="K192" t="str">
        <f t="shared" si="12"/>
        <v/>
      </c>
      <c r="L192" t="str">
        <f t="shared" si="13"/>
        <v/>
      </c>
      <c r="M192" t="str">
        <f t="shared" si="14"/>
        <v/>
      </c>
      <c r="N192" t="str">
        <f>IF($M192="I",MATCH(SMALL('완료 체험단'!$K$4:$K$2000,INDEX($T$5:$T$16,$J192)+$K192-2),'완료 체험단'!$K$4:$K$2000,0),"")</f>
        <v/>
      </c>
    </row>
    <row r="193" spans="2:14">
      <c r="B193" s="23" t="str">
        <f>IF($M193="H",$J193&amp;"월",IF($M193="C","매장명",IF($M193="I",INDEX('완료 체험단'!$A$4:$A$2000,$N193),IF($M193="T","합계",""))))</f>
        <v/>
      </c>
      <c r="C193" s="29" t="str">
        <f>IF($M193="H",$L193&amp;"건",IF($M193="C","사이트",IF($M193="I",INDEX('완료 체험단'!$C$4:$C$2000,$N193),IF($M193="T",$L193&amp;"건",""))))</f>
        <v/>
      </c>
      <c r="D193" s="30" t="str">
        <f>IF($M193="C","방문일",IF($M193="I",INDEX('완료 체험단'!$D$4:$D$2000,$N193),""))</f>
        <v/>
      </c>
      <c r="E193" s="25" t="str">
        <f>IF($M193="H","제공금액 "&amp;TEXT(INDEX($U$5:$U$16,$J193),"#,##0")&amp;"원",IF($M193="C","제공금액",IF($M193="I",INDEX('완료 체험단'!$F$4:$F$2000,$N193),IF($M193="T",INDEX($U$5:$U$16,$J193),""))))</f>
        <v/>
      </c>
      <c r="F193" s="25" t="str">
        <f>IF($M193="H","결제금액 "&amp;TEXT(INDEX($V$5:$V$16,$J193),"#,##0")&amp;"원",IF($M193="C","결제금액",IF($M193="I",INDEX('완료 체험단'!$G$4:$G$2000,$N193),IF($M193="T",INDEX($V$5:$V$16,$J193),""))))</f>
        <v/>
      </c>
      <c r="G193" s="25" t="str">
        <f>IF($M193="H","실수익 "&amp;TEXT(INDEX($W$5:$W$16,$J193),"#,##0")&amp;"원",IF($M193="C","실수익",IF($M193="I",INDEX('완료 체험단'!$H$4:$H$2000,$N193),IF($M193="T",INDEX($W$5:$W$16,$J193),""))))</f>
        <v/>
      </c>
      <c r="I193" s="31">
        <f>ROWS(I$5:I193)</f>
        <v>189</v>
      </c>
      <c r="J193" t="str">
        <f t="shared" si="11"/>
        <v/>
      </c>
      <c r="K193" t="str">
        <f t="shared" si="12"/>
        <v/>
      </c>
      <c r="L193" t="str">
        <f t="shared" si="13"/>
        <v/>
      </c>
      <c r="M193" t="str">
        <f t="shared" si="14"/>
        <v/>
      </c>
      <c r="N193" t="str">
        <f>IF($M193="I",MATCH(SMALL('완료 체험단'!$K$4:$K$2000,INDEX($T$5:$T$16,$J193)+$K193-2),'완료 체험단'!$K$4:$K$2000,0),"")</f>
        <v/>
      </c>
    </row>
    <row r="194" spans="2:14">
      <c r="B194" s="23" t="str">
        <f>IF($M194="H",$J194&amp;"월",IF($M194="C","매장명",IF($M194="I",INDEX('완료 체험단'!$A$4:$A$2000,$N194),IF($M194="T","합계",""))))</f>
        <v/>
      </c>
      <c r="C194" s="29" t="str">
        <f>IF($M194="H",$L194&amp;"건",IF($M194="C","사이트",IF($M194="I",INDEX('완료 체험단'!$C$4:$C$2000,$N194),IF($M194="T",$L194&amp;"건",""))))</f>
        <v/>
      </c>
      <c r="D194" s="30" t="str">
        <f>IF($M194="C","방문일",IF($M194="I",INDEX('완료 체험단'!$D$4:$D$2000,$N194),""))</f>
        <v/>
      </c>
      <c r="E194" s="25" t="str">
        <f>IF($M194="H","제공금액 "&amp;TEXT(INDEX($U$5:$U$16,$J194),"#,##0")&amp;"원",IF($M194="C","제공금액",IF($M194="I",INDEX('완료 체험단'!$F$4:$F$2000,$N194),IF($M194="T",INDEX($U$5:$U$16,$J194),""))))</f>
        <v/>
      </c>
      <c r="F194" s="25" t="str">
        <f>IF($M194="H","결제금액 "&amp;TEXT(INDEX($V$5:$V$16,$J194),"#,##0")&amp;"원",IF($M194="C","결제금액",IF($M194="I",INDEX('완료 체험단'!$G$4:$G$2000,$N194),IF($M194="T",INDEX($V$5:$V$16,$J194),""))))</f>
        <v/>
      </c>
      <c r="G194" s="25" t="str">
        <f>IF($M194="H","실수익 "&amp;TEXT(INDEX($W$5:$W$16,$J194),"#,##0")&amp;"원",IF($M194="C","실수익",IF($M194="I",INDEX('완료 체험단'!$H$4:$H$2000,$N194),IF($M194="T",INDEX($W$5:$W$16,$J194),""))))</f>
        <v/>
      </c>
      <c r="I194" s="31">
        <f>ROWS(I$5:I194)</f>
        <v>190</v>
      </c>
      <c r="J194" t="str">
        <f t="shared" si="11"/>
        <v/>
      </c>
      <c r="K194" t="str">
        <f t="shared" si="12"/>
        <v/>
      </c>
      <c r="L194" t="str">
        <f t="shared" si="13"/>
        <v/>
      </c>
      <c r="M194" t="str">
        <f t="shared" si="14"/>
        <v/>
      </c>
      <c r="N194" t="str">
        <f>IF($M194="I",MATCH(SMALL('완료 체험단'!$K$4:$K$2000,INDEX($T$5:$T$16,$J194)+$K194-2),'완료 체험단'!$K$4:$K$2000,0),"")</f>
        <v/>
      </c>
    </row>
    <row r="195" spans="2:14">
      <c r="B195" s="23" t="str">
        <f>IF($M195="H",$J195&amp;"월",IF($M195="C","매장명",IF($M195="I",INDEX('완료 체험단'!$A$4:$A$2000,$N195),IF($M195="T","합계",""))))</f>
        <v/>
      </c>
      <c r="C195" s="29" t="str">
        <f>IF($M195="H",$L195&amp;"건",IF($M195="C","사이트",IF($M195="I",INDEX('완료 체험단'!$C$4:$C$2000,$N195),IF($M195="T",$L195&amp;"건",""))))</f>
        <v/>
      </c>
      <c r="D195" s="30" t="str">
        <f>IF($M195="C","방문일",IF($M195="I",INDEX('완료 체험단'!$D$4:$D$2000,$N195),""))</f>
        <v/>
      </c>
      <c r="E195" s="25" t="str">
        <f>IF($M195="H","제공금액 "&amp;TEXT(INDEX($U$5:$U$16,$J195),"#,##0")&amp;"원",IF($M195="C","제공금액",IF($M195="I",INDEX('완료 체험단'!$F$4:$F$2000,$N195),IF($M195="T",INDEX($U$5:$U$16,$J195),""))))</f>
        <v/>
      </c>
      <c r="F195" s="25" t="str">
        <f>IF($M195="H","결제금액 "&amp;TEXT(INDEX($V$5:$V$16,$J195),"#,##0")&amp;"원",IF($M195="C","결제금액",IF($M195="I",INDEX('완료 체험단'!$G$4:$G$2000,$N195),IF($M195="T",INDEX($V$5:$V$16,$J195),""))))</f>
        <v/>
      </c>
      <c r="G195" s="25" t="str">
        <f>IF($M195="H","실수익 "&amp;TEXT(INDEX($W$5:$W$16,$J195),"#,##0")&amp;"원",IF($M195="C","실수익",IF($M195="I",INDEX('완료 체험단'!$H$4:$H$2000,$N195),IF($M195="T",INDEX($W$5:$W$16,$J195),""))))</f>
        <v/>
      </c>
      <c r="I195" s="31">
        <f>ROWS(I$5:I195)</f>
        <v>191</v>
      </c>
      <c r="J195" t="str">
        <f t="shared" si="11"/>
        <v/>
      </c>
      <c r="K195" t="str">
        <f t="shared" si="12"/>
        <v/>
      </c>
      <c r="L195" t="str">
        <f t="shared" si="13"/>
        <v/>
      </c>
      <c r="M195" t="str">
        <f t="shared" si="14"/>
        <v/>
      </c>
      <c r="N195" t="str">
        <f>IF($M195="I",MATCH(SMALL('완료 체험단'!$K$4:$K$2000,INDEX($T$5:$T$16,$J195)+$K195-2),'완료 체험단'!$K$4:$K$2000,0),"")</f>
        <v/>
      </c>
    </row>
    <row r="196" spans="2:14">
      <c r="B196" s="23" t="str">
        <f>IF($M196="H",$J196&amp;"월",IF($M196="C","매장명",IF($M196="I",INDEX('완료 체험단'!$A$4:$A$2000,$N196),IF($M196="T","합계",""))))</f>
        <v/>
      </c>
      <c r="C196" s="29" t="str">
        <f>IF($M196="H",$L196&amp;"건",IF($M196="C","사이트",IF($M196="I",INDEX('완료 체험단'!$C$4:$C$2000,$N196),IF($M196="T",$L196&amp;"건",""))))</f>
        <v/>
      </c>
      <c r="D196" s="30" t="str">
        <f>IF($M196="C","방문일",IF($M196="I",INDEX('완료 체험단'!$D$4:$D$2000,$N196),""))</f>
        <v/>
      </c>
      <c r="E196" s="25" t="str">
        <f>IF($M196="H","제공금액 "&amp;TEXT(INDEX($U$5:$U$16,$J196),"#,##0")&amp;"원",IF($M196="C","제공금액",IF($M196="I",INDEX('완료 체험단'!$F$4:$F$2000,$N196),IF($M196="T",INDEX($U$5:$U$16,$J196),""))))</f>
        <v/>
      </c>
      <c r="F196" s="25" t="str">
        <f>IF($M196="H","결제금액 "&amp;TEXT(INDEX($V$5:$V$16,$J196),"#,##0")&amp;"원",IF($M196="C","결제금액",IF($M196="I",INDEX('완료 체험단'!$G$4:$G$2000,$N196),IF($M196="T",INDEX($V$5:$V$16,$J196),""))))</f>
        <v/>
      </c>
      <c r="G196" s="25" t="str">
        <f>IF($M196="H","실수익 "&amp;TEXT(INDEX($W$5:$W$16,$J196),"#,##0")&amp;"원",IF($M196="C","실수익",IF($M196="I",INDEX('완료 체험단'!$H$4:$H$2000,$N196),IF($M196="T",INDEX($W$5:$W$16,$J196),""))))</f>
        <v/>
      </c>
      <c r="I196" s="31">
        <f>ROWS(I$5:I196)</f>
        <v>192</v>
      </c>
      <c r="J196" t="str">
        <f t="shared" si="11"/>
        <v/>
      </c>
      <c r="K196" t="str">
        <f t="shared" si="12"/>
        <v/>
      </c>
      <c r="L196" t="str">
        <f t="shared" si="13"/>
        <v/>
      </c>
      <c r="M196" t="str">
        <f t="shared" si="14"/>
        <v/>
      </c>
      <c r="N196" t="str">
        <f>IF($M196="I",MATCH(SMALL('완료 체험단'!$K$4:$K$2000,INDEX($T$5:$T$16,$J196)+$K196-2),'완료 체험단'!$K$4:$K$2000,0),"")</f>
        <v/>
      </c>
    </row>
    <row r="197" spans="2:14">
      <c r="B197" s="23" t="str">
        <f>IF($M197="H",$J197&amp;"월",IF($M197="C","매장명",IF($M197="I",INDEX('완료 체험단'!$A$4:$A$2000,$N197),IF($M197="T","합계",""))))</f>
        <v/>
      </c>
      <c r="C197" s="29" t="str">
        <f>IF($M197="H",$L197&amp;"건",IF($M197="C","사이트",IF($M197="I",INDEX('완료 체험단'!$C$4:$C$2000,$N197),IF($M197="T",$L197&amp;"건",""))))</f>
        <v/>
      </c>
      <c r="D197" s="30" t="str">
        <f>IF($M197="C","방문일",IF($M197="I",INDEX('완료 체험단'!$D$4:$D$2000,$N197),""))</f>
        <v/>
      </c>
      <c r="E197" s="25" t="str">
        <f>IF($M197="H","제공금액 "&amp;TEXT(INDEX($U$5:$U$16,$J197),"#,##0")&amp;"원",IF($M197="C","제공금액",IF($M197="I",INDEX('완료 체험단'!$F$4:$F$2000,$N197),IF($M197="T",INDEX($U$5:$U$16,$J197),""))))</f>
        <v/>
      </c>
      <c r="F197" s="25" t="str">
        <f>IF($M197="H","결제금액 "&amp;TEXT(INDEX($V$5:$V$16,$J197),"#,##0")&amp;"원",IF($M197="C","결제금액",IF($M197="I",INDEX('완료 체험단'!$G$4:$G$2000,$N197),IF($M197="T",INDEX($V$5:$V$16,$J197),""))))</f>
        <v/>
      </c>
      <c r="G197" s="25" t="str">
        <f>IF($M197="H","실수익 "&amp;TEXT(INDEX($W$5:$W$16,$J197),"#,##0")&amp;"원",IF($M197="C","실수익",IF($M197="I",INDEX('완료 체험단'!$H$4:$H$2000,$N197),IF($M197="T",INDEX($W$5:$W$16,$J197),""))))</f>
        <v/>
      </c>
      <c r="I197" s="31">
        <f>ROWS(I$5:I197)</f>
        <v>193</v>
      </c>
      <c r="J197" t="str">
        <f t="shared" ref="J197:J260" si="15">IF($I197&gt;$S$17,"",MATCH($I197-1,$S$5:$S$16,1))</f>
        <v/>
      </c>
      <c r="K197" t="str">
        <f t="shared" ref="K197:K260" si="16">IF($J197="","",$I197-INDEX($S$5:$S$16,$J197))</f>
        <v/>
      </c>
      <c r="L197" t="str">
        <f t="shared" ref="L197:L260" si="17">IF($J197="","",INDEX($Q$5:$Q$16,$J197))</f>
        <v/>
      </c>
      <c r="M197" t="str">
        <f t="shared" ref="M197:M260" si="18">IF($J197="","",IF($K197=1,"H",IF($L197=0,"S",IF($K197=2,"C",IF($K197&lt;=$L197+2,"I",IF($K197=$L197+3,"T","S"))))))</f>
        <v/>
      </c>
      <c r="N197" t="str">
        <f>IF($M197="I",MATCH(SMALL('완료 체험단'!$K$4:$K$2000,INDEX($T$5:$T$16,$J197)+$K197-2),'완료 체험단'!$K$4:$K$2000,0),"")</f>
        <v/>
      </c>
    </row>
    <row r="198" spans="2:14">
      <c r="B198" s="23" t="str">
        <f>IF($M198="H",$J198&amp;"월",IF($M198="C","매장명",IF($M198="I",INDEX('완료 체험단'!$A$4:$A$2000,$N198),IF($M198="T","합계",""))))</f>
        <v/>
      </c>
      <c r="C198" s="29" t="str">
        <f>IF($M198="H",$L198&amp;"건",IF($M198="C","사이트",IF($M198="I",INDEX('완료 체험단'!$C$4:$C$2000,$N198),IF($M198="T",$L198&amp;"건",""))))</f>
        <v/>
      </c>
      <c r="D198" s="30" t="str">
        <f>IF($M198="C","방문일",IF($M198="I",INDEX('완료 체험단'!$D$4:$D$2000,$N198),""))</f>
        <v/>
      </c>
      <c r="E198" s="25" t="str">
        <f>IF($M198="H","제공금액 "&amp;TEXT(INDEX($U$5:$U$16,$J198),"#,##0")&amp;"원",IF($M198="C","제공금액",IF($M198="I",INDEX('완료 체험단'!$F$4:$F$2000,$N198),IF($M198="T",INDEX($U$5:$U$16,$J198),""))))</f>
        <v/>
      </c>
      <c r="F198" s="25" t="str">
        <f>IF($M198="H","결제금액 "&amp;TEXT(INDEX($V$5:$V$16,$J198),"#,##0")&amp;"원",IF($M198="C","결제금액",IF($M198="I",INDEX('완료 체험단'!$G$4:$G$2000,$N198),IF($M198="T",INDEX($V$5:$V$16,$J198),""))))</f>
        <v/>
      </c>
      <c r="G198" s="25" t="str">
        <f>IF($M198="H","실수익 "&amp;TEXT(INDEX($W$5:$W$16,$J198),"#,##0")&amp;"원",IF($M198="C","실수익",IF($M198="I",INDEX('완료 체험단'!$H$4:$H$2000,$N198),IF($M198="T",INDEX($W$5:$W$16,$J198),""))))</f>
        <v/>
      </c>
      <c r="I198" s="31">
        <f>ROWS(I$5:I198)</f>
        <v>194</v>
      </c>
      <c r="J198" t="str">
        <f t="shared" si="15"/>
        <v/>
      </c>
      <c r="K198" t="str">
        <f t="shared" si="16"/>
        <v/>
      </c>
      <c r="L198" t="str">
        <f t="shared" si="17"/>
        <v/>
      </c>
      <c r="M198" t="str">
        <f t="shared" si="18"/>
        <v/>
      </c>
      <c r="N198" t="str">
        <f>IF($M198="I",MATCH(SMALL('완료 체험단'!$K$4:$K$2000,INDEX($T$5:$T$16,$J198)+$K198-2),'완료 체험단'!$K$4:$K$2000,0),"")</f>
        <v/>
      </c>
    </row>
    <row r="199" spans="2:14">
      <c r="B199" s="23" t="str">
        <f>IF($M199="H",$J199&amp;"월",IF($M199="C","매장명",IF($M199="I",INDEX('완료 체험단'!$A$4:$A$2000,$N199),IF($M199="T","합계",""))))</f>
        <v/>
      </c>
      <c r="C199" s="29" t="str">
        <f>IF($M199="H",$L199&amp;"건",IF($M199="C","사이트",IF($M199="I",INDEX('완료 체험단'!$C$4:$C$2000,$N199),IF($M199="T",$L199&amp;"건",""))))</f>
        <v/>
      </c>
      <c r="D199" s="30" t="str">
        <f>IF($M199="C","방문일",IF($M199="I",INDEX('완료 체험단'!$D$4:$D$2000,$N199),""))</f>
        <v/>
      </c>
      <c r="E199" s="25" t="str">
        <f>IF($M199="H","제공금액 "&amp;TEXT(INDEX($U$5:$U$16,$J199),"#,##0")&amp;"원",IF($M199="C","제공금액",IF($M199="I",INDEX('완료 체험단'!$F$4:$F$2000,$N199),IF($M199="T",INDEX($U$5:$U$16,$J199),""))))</f>
        <v/>
      </c>
      <c r="F199" s="25" t="str">
        <f>IF($M199="H","결제금액 "&amp;TEXT(INDEX($V$5:$V$16,$J199),"#,##0")&amp;"원",IF($M199="C","결제금액",IF($M199="I",INDEX('완료 체험단'!$G$4:$G$2000,$N199),IF($M199="T",INDEX($V$5:$V$16,$J199),""))))</f>
        <v/>
      </c>
      <c r="G199" s="25" t="str">
        <f>IF($M199="H","실수익 "&amp;TEXT(INDEX($W$5:$W$16,$J199),"#,##0")&amp;"원",IF($M199="C","실수익",IF($M199="I",INDEX('완료 체험단'!$H$4:$H$2000,$N199),IF($M199="T",INDEX($W$5:$W$16,$J199),""))))</f>
        <v/>
      </c>
      <c r="I199" s="31">
        <f>ROWS(I$5:I199)</f>
        <v>195</v>
      </c>
      <c r="J199" t="str">
        <f t="shared" si="15"/>
        <v/>
      </c>
      <c r="K199" t="str">
        <f t="shared" si="16"/>
        <v/>
      </c>
      <c r="L199" t="str">
        <f t="shared" si="17"/>
        <v/>
      </c>
      <c r="M199" t="str">
        <f t="shared" si="18"/>
        <v/>
      </c>
      <c r="N199" t="str">
        <f>IF($M199="I",MATCH(SMALL('완료 체험단'!$K$4:$K$2000,INDEX($T$5:$T$16,$J199)+$K199-2),'완료 체험단'!$K$4:$K$2000,0),"")</f>
        <v/>
      </c>
    </row>
    <row r="200" spans="2:14">
      <c r="B200" s="23" t="str">
        <f>IF($M200="H",$J200&amp;"월",IF($M200="C","매장명",IF($M200="I",INDEX('완료 체험단'!$A$4:$A$2000,$N200),IF($M200="T","합계",""))))</f>
        <v/>
      </c>
      <c r="C200" s="29" t="str">
        <f>IF($M200="H",$L200&amp;"건",IF($M200="C","사이트",IF($M200="I",INDEX('완료 체험단'!$C$4:$C$2000,$N200),IF($M200="T",$L200&amp;"건",""))))</f>
        <v/>
      </c>
      <c r="D200" s="30" t="str">
        <f>IF($M200="C","방문일",IF($M200="I",INDEX('완료 체험단'!$D$4:$D$2000,$N200),""))</f>
        <v/>
      </c>
      <c r="E200" s="25" t="str">
        <f>IF($M200="H","제공금액 "&amp;TEXT(INDEX($U$5:$U$16,$J200),"#,##0")&amp;"원",IF($M200="C","제공금액",IF($M200="I",INDEX('완료 체험단'!$F$4:$F$2000,$N200),IF($M200="T",INDEX($U$5:$U$16,$J200),""))))</f>
        <v/>
      </c>
      <c r="F200" s="25" t="str">
        <f>IF($M200="H","결제금액 "&amp;TEXT(INDEX($V$5:$V$16,$J200),"#,##0")&amp;"원",IF($M200="C","결제금액",IF($M200="I",INDEX('완료 체험단'!$G$4:$G$2000,$N200),IF($M200="T",INDEX($V$5:$V$16,$J200),""))))</f>
        <v/>
      </c>
      <c r="G200" s="25" t="str">
        <f>IF($M200="H","실수익 "&amp;TEXT(INDEX($W$5:$W$16,$J200),"#,##0")&amp;"원",IF($M200="C","실수익",IF($M200="I",INDEX('완료 체험단'!$H$4:$H$2000,$N200),IF($M200="T",INDEX($W$5:$W$16,$J200),""))))</f>
        <v/>
      </c>
      <c r="I200" s="31">
        <f>ROWS(I$5:I200)</f>
        <v>196</v>
      </c>
      <c r="J200" t="str">
        <f t="shared" si="15"/>
        <v/>
      </c>
      <c r="K200" t="str">
        <f t="shared" si="16"/>
        <v/>
      </c>
      <c r="L200" t="str">
        <f t="shared" si="17"/>
        <v/>
      </c>
      <c r="M200" t="str">
        <f t="shared" si="18"/>
        <v/>
      </c>
      <c r="N200" t="str">
        <f>IF($M200="I",MATCH(SMALL('완료 체험단'!$K$4:$K$2000,INDEX($T$5:$T$16,$J200)+$K200-2),'완료 체험단'!$K$4:$K$2000,0),"")</f>
        <v/>
      </c>
    </row>
    <row r="201" spans="2:14">
      <c r="B201" s="23" t="str">
        <f>IF($M201="H",$J201&amp;"월",IF($M201="C","매장명",IF($M201="I",INDEX('완료 체험단'!$A$4:$A$2000,$N201),IF($M201="T","합계",""))))</f>
        <v/>
      </c>
      <c r="C201" s="29" t="str">
        <f>IF($M201="H",$L201&amp;"건",IF($M201="C","사이트",IF($M201="I",INDEX('완료 체험단'!$C$4:$C$2000,$N201),IF($M201="T",$L201&amp;"건",""))))</f>
        <v/>
      </c>
      <c r="D201" s="30" t="str">
        <f>IF($M201="C","방문일",IF($M201="I",INDEX('완료 체험단'!$D$4:$D$2000,$N201),""))</f>
        <v/>
      </c>
      <c r="E201" s="25" t="str">
        <f>IF($M201="H","제공금액 "&amp;TEXT(INDEX($U$5:$U$16,$J201),"#,##0")&amp;"원",IF($M201="C","제공금액",IF($M201="I",INDEX('완료 체험단'!$F$4:$F$2000,$N201),IF($M201="T",INDEX($U$5:$U$16,$J201),""))))</f>
        <v/>
      </c>
      <c r="F201" s="25" t="str">
        <f>IF($M201="H","결제금액 "&amp;TEXT(INDEX($V$5:$V$16,$J201),"#,##0")&amp;"원",IF($M201="C","결제금액",IF($M201="I",INDEX('완료 체험단'!$G$4:$G$2000,$N201),IF($M201="T",INDEX($V$5:$V$16,$J201),""))))</f>
        <v/>
      </c>
      <c r="G201" s="25" t="str">
        <f>IF($M201="H","실수익 "&amp;TEXT(INDEX($W$5:$W$16,$J201),"#,##0")&amp;"원",IF($M201="C","실수익",IF($M201="I",INDEX('완료 체험단'!$H$4:$H$2000,$N201),IF($M201="T",INDEX($W$5:$W$16,$J201),""))))</f>
        <v/>
      </c>
      <c r="I201" s="31">
        <f>ROWS(I$5:I201)</f>
        <v>197</v>
      </c>
      <c r="J201" t="str">
        <f t="shared" si="15"/>
        <v/>
      </c>
      <c r="K201" t="str">
        <f t="shared" si="16"/>
        <v/>
      </c>
      <c r="L201" t="str">
        <f t="shared" si="17"/>
        <v/>
      </c>
      <c r="M201" t="str">
        <f t="shared" si="18"/>
        <v/>
      </c>
      <c r="N201" t="str">
        <f>IF($M201="I",MATCH(SMALL('완료 체험단'!$K$4:$K$2000,INDEX($T$5:$T$16,$J201)+$K201-2),'완료 체험단'!$K$4:$K$2000,0),"")</f>
        <v/>
      </c>
    </row>
    <row r="202" spans="2:14">
      <c r="B202" s="23" t="str">
        <f>IF($M202="H",$J202&amp;"월",IF($M202="C","매장명",IF($M202="I",INDEX('완료 체험단'!$A$4:$A$2000,$N202),IF($M202="T","합계",""))))</f>
        <v/>
      </c>
      <c r="C202" s="29" t="str">
        <f>IF($M202="H",$L202&amp;"건",IF($M202="C","사이트",IF($M202="I",INDEX('완료 체험단'!$C$4:$C$2000,$N202),IF($M202="T",$L202&amp;"건",""))))</f>
        <v/>
      </c>
      <c r="D202" s="30" t="str">
        <f>IF($M202="C","방문일",IF($M202="I",INDEX('완료 체험단'!$D$4:$D$2000,$N202),""))</f>
        <v/>
      </c>
      <c r="E202" s="25" t="str">
        <f>IF($M202="H","제공금액 "&amp;TEXT(INDEX($U$5:$U$16,$J202),"#,##0")&amp;"원",IF($M202="C","제공금액",IF($M202="I",INDEX('완료 체험단'!$F$4:$F$2000,$N202),IF($M202="T",INDEX($U$5:$U$16,$J202),""))))</f>
        <v/>
      </c>
      <c r="F202" s="25" t="str">
        <f>IF($M202="H","결제금액 "&amp;TEXT(INDEX($V$5:$V$16,$J202),"#,##0")&amp;"원",IF($M202="C","결제금액",IF($M202="I",INDEX('완료 체험단'!$G$4:$G$2000,$N202),IF($M202="T",INDEX($V$5:$V$16,$J202),""))))</f>
        <v/>
      </c>
      <c r="G202" s="25" t="str">
        <f>IF($M202="H","실수익 "&amp;TEXT(INDEX($W$5:$W$16,$J202),"#,##0")&amp;"원",IF($M202="C","실수익",IF($M202="I",INDEX('완료 체험단'!$H$4:$H$2000,$N202),IF($M202="T",INDEX($W$5:$W$16,$J202),""))))</f>
        <v/>
      </c>
      <c r="I202" s="31">
        <f>ROWS(I$5:I202)</f>
        <v>198</v>
      </c>
      <c r="J202" t="str">
        <f t="shared" si="15"/>
        <v/>
      </c>
      <c r="K202" t="str">
        <f t="shared" si="16"/>
        <v/>
      </c>
      <c r="L202" t="str">
        <f t="shared" si="17"/>
        <v/>
      </c>
      <c r="M202" t="str">
        <f t="shared" si="18"/>
        <v/>
      </c>
      <c r="N202" t="str">
        <f>IF($M202="I",MATCH(SMALL('완료 체험단'!$K$4:$K$2000,INDEX($T$5:$T$16,$J202)+$K202-2),'완료 체험단'!$K$4:$K$2000,0),"")</f>
        <v/>
      </c>
    </row>
    <row r="203" spans="2:14">
      <c r="B203" s="23" t="str">
        <f>IF($M203="H",$J203&amp;"월",IF($M203="C","매장명",IF($M203="I",INDEX('완료 체험단'!$A$4:$A$2000,$N203),IF($M203="T","합계",""))))</f>
        <v/>
      </c>
      <c r="C203" s="29" t="str">
        <f>IF($M203="H",$L203&amp;"건",IF($M203="C","사이트",IF($M203="I",INDEX('완료 체험단'!$C$4:$C$2000,$N203),IF($M203="T",$L203&amp;"건",""))))</f>
        <v/>
      </c>
      <c r="D203" s="30" t="str">
        <f>IF($M203="C","방문일",IF($M203="I",INDEX('완료 체험단'!$D$4:$D$2000,$N203),""))</f>
        <v/>
      </c>
      <c r="E203" s="25" t="str">
        <f>IF($M203="H","제공금액 "&amp;TEXT(INDEX($U$5:$U$16,$J203),"#,##0")&amp;"원",IF($M203="C","제공금액",IF($M203="I",INDEX('완료 체험단'!$F$4:$F$2000,$N203),IF($M203="T",INDEX($U$5:$U$16,$J203),""))))</f>
        <v/>
      </c>
      <c r="F203" s="25" t="str">
        <f>IF($M203="H","결제금액 "&amp;TEXT(INDEX($V$5:$V$16,$J203),"#,##0")&amp;"원",IF($M203="C","결제금액",IF($M203="I",INDEX('완료 체험단'!$G$4:$G$2000,$N203),IF($M203="T",INDEX($V$5:$V$16,$J203),""))))</f>
        <v/>
      </c>
      <c r="G203" s="25" t="str">
        <f>IF($M203="H","실수익 "&amp;TEXT(INDEX($W$5:$W$16,$J203),"#,##0")&amp;"원",IF($M203="C","실수익",IF($M203="I",INDEX('완료 체험단'!$H$4:$H$2000,$N203),IF($M203="T",INDEX($W$5:$W$16,$J203),""))))</f>
        <v/>
      </c>
      <c r="I203" s="31">
        <f>ROWS(I$5:I203)</f>
        <v>199</v>
      </c>
      <c r="J203" t="str">
        <f t="shared" si="15"/>
        <v/>
      </c>
      <c r="K203" t="str">
        <f t="shared" si="16"/>
        <v/>
      </c>
      <c r="L203" t="str">
        <f t="shared" si="17"/>
        <v/>
      </c>
      <c r="M203" t="str">
        <f t="shared" si="18"/>
        <v/>
      </c>
      <c r="N203" t="str">
        <f>IF($M203="I",MATCH(SMALL('완료 체험단'!$K$4:$K$2000,INDEX($T$5:$T$16,$J203)+$K203-2),'완료 체험단'!$K$4:$K$2000,0),"")</f>
        <v/>
      </c>
    </row>
    <row r="204" spans="2:14">
      <c r="B204" s="23" t="str">
        <f>IF($M204="H",$J204&amp;"월",IF($M204="C","매장명",IF($M204="I",INDEX('완료 체험단'!$A$4:$A$2000,$N204),IF($M204="T","합계",""))))</f>
        <v/>
      </c>
      <c r="C204" s="29" t="str">
        <f>IF($M204="H",$L204&amp;"건",IF($M204="C","사이트",IF($M204="I",INDEX('완료 체험단'!$C$4:$C$2000,$N204),IF($M204="T",$L204&amp;"건",""))))</f>
        <v/>
      </c>
      <c r="D204" s="30" t="str">
        <f>IF($M204="C","방문일",IF($M204="I",INDEX('완료 체험단'!$D$4:$D$2000,$N204),""))</f>
        <v/>
      </c>
      <c r="E204" s="25" t="str">
        <f>IF($M204="H","제공금액 "&amp;TEXT(INDEX($U$5:$U$16,$J204),"#,##0")&amp;"원",IF($M204="C","제공금액",IF($M204="I",INDEX('완료 체험단'!$F$4:$F$2000,$N204),IF($M204="T",INDEX($U$5:$U$16,$J204),""))))</f>
        <v/>
      </c>
      <c r="F204" s="25" t="str">
        <f>IF($M204="H","결제금액 "&amp;TEXT(INDEX($V$5:$V$16,$J204),"#,##0")&amp;"원",IF($M204="C","결제금액",IF($M204="I",INDEX('완료 체험단'!$G$4:$G$2000,$N204),IF($M204="T",INDEX($V$5:$V$16,$J204),""))))</f>
        <v/>
      </c>
      <c r="G204" s="25" t="str">
        <f>IF($M204="H","실수익 "&amp;TEXT(INDEX($W$5:$W$16,$J204),"#,##0")&amp;"원",IF($M204="C","실수익",IF($M204="I",INDEX('완료 체험단'!$H$4:$H$2000,$N204),IF($M204="T",INDEX($W$5:$W$16,$J204),""))))</f>
        <v/>
      </c>
      <c r="I204" s="31">
        <f>ROWS(I$5:I204)</f>
        <v>200</v>
      </c>
      <c r="J204" t="str">
        <f t="shared" si="15"/>
        <v/>
      </c>
      <c r="K204" t="str">
        <f t="shared" si="16"/>
        <v/>
      </c>
      <c r="L204" t="str">
        <f t="shared" si="17"/>
        <v/>
      </c>
      <c r="M204" t="str">
        <f t="shared" si="18"/>
        <v/>
      </c>
      <c r="N204" t="str">
        <f>IF($M204="I",MATCH(SMALL('완료 체험단'!$K$4:$K$2000,INDEX($T$5:$T$16,$J204)+$K204-2),'완료 체험단'!$K$4:$K$2000,0),"")</f>
        <v/>
      </c>
    </row>
    <row r="205" spans="2:14">
      <c r="B205" s="23" t="str">
        <f>IF($M205="H",$J205&amp;"월",IF($M205="C","매장명",IF($M205="I",INDEX('완료 체험단'!$A$4:$A$2000,$N205),IF($M205="T","합계",""))))</f>
        <v/>
      </c>
      <c r="C205" s="29" t="str">
        <f>IF($M205="H",$L205&amp;"건",IF($M205="C","사이트",IF($M205="I",INDEX('완료 체험단'!$C$4:$C$2000,$N205),IF($M205="T",$L205&amp;"건",""))))</f>
        <v/>
      </c>
      <c r="D205" s="30" t="str">
        <f>IF($M205="C","방문일",IF($M205="I",INDEX('완료 체험단'!$D$4:$D$2000,$N205),""))</f>
        <v/>
      </c>
      <c r="E205" s="25" t="str">
        <f>IF($M205="H","제공금액 "&amp;TEXT(INDEX($U$5:$U$16,$J205),"#,##0")&amp;"원",IF($M205="C","제공금액",IF($M205="I",INDEX('완료 체험단'!$F$4:$F$2000,$N205),IF($M205="T",INDEX($U$5:$U$16,$J205),""))))</f>
        <v/>
      </c>
      <c r="F205" s="25" t="str">
        <f>IF($M205="H","결제금액 "&amp;TEXT(INDEX($V$5:$V$16,$J205),"#,##0")&amp;"원",IF($M205="C","결제금액",IF($M205="I",INDEX('완료 체험단'!$G$4:$G$2000,$N205),IF($M205="T",INDEX($V$5:$V$16,$J205),""))))</f>
        <v/>
      </c>
      <c r="G205" s="25" t="str">
        <f>IF($M205="H","실수익 "&amp;TEXT(INDEX($W$5:$W$16,$J205),"#,##0")&amp;"원",IF($M205="C","실수익",IF($M205="I",INDEX('완료 체험단'!$H$4:$H$2000,$N205),IF($M205="T",INDEX($W$5:$W$16,$J205),""))))</f>
        <v/>
      </c>
      <c r="I205" s="31">
        <f>ROWS(I$5:I205)</f>
        <v>201</v>
      </c>
      <c r="J205" t="str">
        <f t="shared" si="15"/>
        <v/>
      </c>
      <c r="K205" t="str">
        <f t="shared" si="16"/>
        <v/>
      </c>
      <c r="L205" t="str">
        <f t="shared" si="17"/>
        <v/>
      </c>
      <c r="M205" t="str">
        <f t="shared" si="18"/>
        <v/>
      </c>
      <c r="N205" t="str">
        <f>IF($M205="I",MATCH(SMALL('완료 체험단'!$K$4:$K$2000,INDEX($T$5:$T$16,$J205)+$K205-2),'완료 체험단'!$K$4:$K$2000,0),"")</f>
        <v/>
      </c>
    </row>
    <row r="206" spans="2:14">
      <c r="B206" s="23" t="str">
        <f>IF($M206="H",$J206&amp;"월",IF($M206="C","매장명",IF($M206="I",INDEX('완료 체험단'!$A$4:$A$2000,$N206),IF($M206="T","합계",""))))</f>
        <v/>
      </c>
      <c r="C206" s="29" t="str">
        <f>IF($M206="H",$L206&amp;"건",IF($M206="C","사이트",IF($M206="I",INDEX('완료 체험단'!$C$4:$C$2000,$N206),IF($M206="T",$L206&amp;"건",""))))</f>
        <v/>
      </c>
      <c r="D206" s="30" t="str">
        <f>IF($M206="C","방문일",IF($M206="I",INDEX('완료 체험단'!$D$4:$D$2000,$N206),""))</f>
        <v/>
      </c>
      <c r="E206" s="25" t="str">
        <f>IF($M206="H","제공금액 "&amp;TEXT(INDEX($U$5:$U$16,$J206),"#,##0")&amp;"원",IF($M206="C","제공금액",IF($M206="I",INDEX('완료 체험단'!$F$4:$F$2000,$N206),IF($M206="T",INDEX($U$5:$U$16,$J206),""))))</f>
        <v/>
      </c>
      <c r="F206" s="25" t="str">
        <f>IF($M206="H","결제금액 "&amp;TEXT(INDEX($V$5:$V$16,$J206),"#,##0")&amp;"원",IF($M206="C","결제금액",IF($M206="I",INDEX('완료 체험단'!$G$4:$G$2000,$N206),IF($M206="T",INDEX($V$5:$V$16,$J206),""))))</f>
        <v/>
      </c>
      <c r="G206" s="25" t="str">
        <f>IF($M206="H","실수익 "&amp;TEXT(INDEX($W$5:$W$16,$J206),"#,##0")&amp;"원",IF($M206="C","실수익",IF($M206="I",INDEX('완료 체험단'!$H$4:$H$2000,$N206),IF($M206="T",INDEX($W$5:$W$16,$J206),""))))</f>
        <v/>
      </c>
      <c r="I206" s="31">
        <f>ROWS(I$5:I206)</f>
        <v>202</v>
      </c>
      <c r="J206" t="str">
        <f t="shared" si="15"/>
        <v/>
      </c>
      <c r="K206" t="str">
        <f t="shared" si="16"/>
        <v/>
      </c>
      <c r="L206" t="str">
        <f t="shared" si="17"/>
        <v/>
      </c>
      <c r="M206" t="str">
        <f t="shared" si="18"/>
        <v/>
      </c>
      <c r="N206" t="str">
        <f>IF($M206="I",MATCH(SMALL('완료 체험단'!$K$4:$K$2000,INDEX($T$5:$T$16,$J206)+$K206-2),'완료 체험단'!$K$4:$K$2000,0),"")</f>
        <v/>
      </c>
    </row>
    <row r="207" spans="2:14">
      <c r="B207" s="23" t="str">
        <f>IF($M207="H",$J207&amp;"월",IF($M207="C","매장명",IF($M207="I",INDEX('완료 체험단'!$A$4:$A$2000,$N207),IF($M207="T","합계",""))))</f>
        <v/>
      </c>
      <c r="C207" s="29" t="str">
        <f>IF($M207="H",$L207&amp;"건",IF($M207="C","사이트",IF($M207="I",INDEX('완료 체험단'!$C$4:$C$2000,$N207),IF($M207="T",$L207&amp;"건",""))))</f>
        <v/>
      </c>
      <c r="D207" s="30" t="str">
        <f>IF($M207="C","방문일",IF($M207="I",INDEX('완료 체험단'!$D$4:$D$2000,$N207),""))</f>
        <v/>
      </c>
      <c r="E207" s="25" t="str">
        <f>IF($M207="H","제공금액 "&amp;TEXT(INDEX($U$5:$U$16,$J207),"#,##0")&amp;"원",IF($M207="C","제공금액",IF($M207="I",INDEX('완료 체험단'!$F$4:$F$2000,$N207),IF($M207="T",INDEX($U$5:$U$16,$J207),""))))</f>
        <v/>
      </c>
      <c r="F207" s="25" t="str">
        <f>IF($M207="H","결제금액 "&amp;TEXT(INDEX($V$5:$V$16,$J207),"#,##0")&amp;"원",IF($M207="C","결제금액",IF($M207="I",INDEX('완료 체험단'!$G$4:$G$2000,$N207),IF($M207="T",INDEX($V$5:$V$16,$J207),""))))</f>
        <v/>
      </c>
      <c r="G207" s="25" t="str">
        <f>IF($M207="H","실수익 "&amp;TEXT(INDEX($W$5:$W$16,$J207),"#,##0")&amp;"원",IF($M207="C","실수익",IF($M207="I",INDEX('완료 체험단'!$H$4:$H$2000,$N207),IF($M207="T",INDEX($W$5:$W$16,$J207),""))))</f>
        <v/>
      </c>
      <c r="I207" s="31">
        <f>ROWS(I$5:I207)</f>
        <v>203</v>
      </c>
      <c r="J207" t="str">
        <f t="shared" si="15"/>
        <v/>
      </c>
      <c r="K207" t="str">
        <f t="shared" si="16"/>
        <v/>
      </c>
      <c r="L207" t="str">
        <f t="shared" si="17"/>
        <v/>
      </c>
      <c r="M207" t="str">
        <f t="shared" si="18"/>
        <v/>
      </c>
      <c r="N207" t="str">
        <f>IF($M207="I",MATCH(SMALL('완료 체험단'!$K$4:$K$2000,INDEX($T$5:$T$16,$J207)+$K207-2),'완료 체험단'!$K$4:$K$2000,0),"")</f>
        <v/>
      </c>
    </row>
    <row r="208" spans="2:14">
      <c r="B208" s="23" t="str">
        <f>IF($M208="H",$J208&amp;"월",IF($M208="C","매장명",IF($M208="I",INDEX('완료 체험단'!$A$4:$A$2000,$N208),IF($M208="T","합계",""))))</f>
        <v/>
      </c>
      <c r="C208" s="29" t="str">
        <f>IF($M208="H",$L208&amp;"건",IF($M208="C","사이트",IF($M208="I",INDEX('완료 체험단'!$C$4:$C$2000,$N208),IF($M208="T",$L208&amp;"건",""))))</f>
        <v/>
      </c>
      <c r="D208" s="30" t="str">
        <f>IF($M208="C","방문일",IF($M208="I",INDEX('완료 체험단'!$D$4:$D$2000,$N208),""))</f>
        <v/>
      </c>
      <c r="E208" s="25" t="str">
        <f>IF($M208="H","제공금액 "&amp;TEXT(INDEX($U$5:$U$16,$J208),"#,##0")&amp;"원",IF($M208="C","제공금액",IF($M208="I",INDEX('완료 체험단'!$F$4:$F$2000,$N208),IF($M208="T",INDEX($U$5:$U$16,$J208),""))))</f>
        <v/>
      </c>
      <c r="F208" s="25" t="str">
        <f>IF($M208="H","결제금액 "&amp;TEXT(INDEX($V$5:$V$16,$J208),"#,##0")&amp;"원",IF($M208="C","결제금액",IF($M208="I",INDEX('완료 체험단'!$G$4:$G$2000,$N208),IF($M208="T",INDEX($V$5:$V$16,$J208),""))))</f>
        <v/>
      </c>
      <c r="G208" s="25" t="str">
        <f>IF($M208="H","실수익 "&amp;TEXT(INDEX($W$5:$W$16,$J208),"#,##0")&amp;"원",IF($M208="C","실수익",IF($M208="I",INDEX('완료 체험단'!$H$4:$H$2000,$N208),IF($M208="T",INDEX($W$5:$W$16,$J208),""))))</f>
        <v/>
      </c>
      <c r="I208" s="31">
        <f>ROWS(I$5:I208)</f>
        <v>204</v>
      </c>
      <c r="J208" t="str">
        <f t="shared" si="15"/>
        <v/>
      </c>
      <c r="K208" t="str">
        <f t="shared" si="16"/>
        <v/>
      </c>
      <c r="L208" t="str">
        <f t="shared" si="17"/>
        <v/>
      </c>
      <c r="M208" t="str">
        <f t="shared" si="18"/>
        <v/>
      </c>
      <c r="N208" t="str">
        <f>IF($M208="I",MATCH(SMALL('완료 체험단'!$K$4:$K$2000,INDEX($T$5:$T$16,$J208)+$K208-2),'완료 체험단'!$K$4:$K$2000,0),"")</f>
        <v/>
      </c>
    </row>
    <row r="209" spans="2:14">
      <c r="B209" s="23" t="str">
        <f>IF($M209="H",$J209&amp;"월",IF($M209="C","매장명",IF($M209="I",INDEX('완료 체험단'!$A$4:$A$2000,$N209),IF($M209="T","합계",""))))</f>
        <v/>
      </c>
      <c r="C209" s="29" t="str">
        <f>IF($M209="H",$L209&amp;"건",IF($M209="C","사이트",IF($M209="I",INDEX('완료 체험단'!$C$4:$C$2000,$N209),IF($M209="T",$L209&amp;"건",""))))</f>
        <v/>
      </c>
      <c r="D209" s="30" t="str">
        <f>IF($M209="C","방문일",IF($M209="I",INDEX('완료 체험단'!$D$4:$D$2000,$N209),""))</f>
        <v/>
      </c>
      <c r="E209" s="25" t="str">
        <f>IF($M209="H","제공금액 "&amp;TEXT(INDEX($U$5:$U$16,$J209),"#,##0")&amp;"원",IF($M209="C","제공금액",IF($M209="I",INDEX('완료 체험단'!$F$4:$F$2000,$N209),IF($M209="T",INDEX($U$5:$U$16,$J209),""))))</f>
        <v/>
      </c>
      <c r="F209" s="25" t="str">
        <f>IF($M209="H","결제금액 "&amp;TEXT(INDEX($V$5:$V$16,$J209),"#,##0")&amp;"원",IF($M209="C","결제금액",IF($M209="I",INDEX('완료 체험단'!$G$4:$G$2000,$N209),IF($M209="T",INDEX($V$5:$V$16,$J209),""))))</f>
        <v/>
      </c>
      <c r="G209" s="25" t="str">
        <f>IF($M209="H","실수익 "&amp;TEXT(INDEX($W$5:$W$16,$J209),"#,##0")&amp;"원",IF($M209="C","실수익",IF($M209="I",INDEX('완료 체험단'!$H$4:$H$2000,$N209),IF($M209="T",INDEX($W$5:$W$16,$J209),""))))</f>
        <v/>
      </c>
      <c r="I209" s="31">
        <f>ROWS(I$5:I209)</f>
        <v>205</v>
      </c>
      <c r="J209" t="str">
        <f t="shared" si="15"/>
        <v/>
      </c>
      <c r="K209" t="str">
        <f t="shared" si="16"/>
        <v/>
      </c>
      <c r="L209" t="str">
        <f t="shared" si="17"/>
        <v/>
      </c>
      <c r="M209" t="str">
        <f t="shared" si="18"/>
        <v/>
      </c>
      <c r="N209" t="str">
        <f>IF($M209="I",MATCH(SMALL('완료 체험단'!$K$4:$K$2000,INDEX($T$5:$T$16,$J209)+$K209-2),'완료 체험단'!$K$4:$K$2000,0),"")</f>
        <v/>
      </c>
    </row>
    <row r="210" spans="2:14">
      <c r="B210" s="23" t="str">
        <f>IF($M210="H",$J210&amp;"월",IF($M210="C","매장명",IF($M210="I",INDEX('완료 체험단'!$A$4:$A$2000,$N210),IF($M210="T","합계",""))))</f>
        <v/>
      </c>
      <c r="C210" s="29" t="str">
        <f>IF($M210="H",$L210&amp;"건",IF($M210="C","사이트",IF($M210="I",INDEX('완료 체험단'!$C$4:$C$2000,$N210),IF($M210="T",$L210&amp;"건",""))))</f>
        <v/>
      </c>
      <c r="D210" s="30" t="str">
        <f>IF($M210="C","방문일",IF($M210="I",INDEX('완료 체험단'!$D$4:$D$2000,$N210),""))</f>
        <v/>
      </c>
      <c r="E210" s="25" t="str">
        <f>IF($M210="H","제공금액 "&amp;TEXT(INDEX($U$5:$U$16,$J210),"#,##0")&amp;"원",IF($M210="C","제공금액",IF($M210="I",INDEX('완료 체험단'!$F$4:$F$2000,$N210),IF($M210="T",INDEX($U$5:$U$16,$J210),""))))</f>
        <v/>
      </c>
      <c r="F210" s="25" t="str">
        <f>IF($M210="H","결제금액 "&amp;TEXT(INDEX($V$5:$V$16,$J210),"#,##0")&amp;"원",IF($M210="C","결제금액",IF($M210="I",INDEX('완료 체험단'!$G$4:$G$2000,$N210),IF($M210="T",INDEX($V$5:$V$16,$J210),""))))</f>
        <v/>
      </c>
      <c r="G210" s="25" t="str">
        <f>IF($M210="H","실수익 "&amp;TEXT(INDEX($W$5:$W$16,$J210),"#,##0")&amp;"원",IF($M210="C","실수익",IF($M210="I",INDEX('완료 체험단'!$H$4:$H$2000,$N210),IF($M210="T",INDEX($W$5:$W$16,$J210),""))))</f>
        <v/>
      </c>
      <c r="I210" s="31">
        <f>ROWS(I$5:I210)</f>
        <v>206</v>
      </c>
      <c r="J210" t="str">
        <f t="shared" si="15"/>
        <v/>
      </c>
      <c r="K210" t="str">
        <f t="shared" si="16"/>
        <v/>
      </c>
      <c r="L210" t="str">
        <f t="shared" si="17"/>
        <v/>
      </c>
      <c r="M210" t="str">
        <f t="shared" si="18"/>
        <v/>
      </c>
      <c r="N210" t="str">
        <f>IF($M210="I",MATCH(SMALL('완료 체험단'!$K$4:$K$2000,INDEX($T$5:$T$16,$J210)+$K210-2),'완료 체험단'!$K$4:$K$2000,0),"")</f>
        <v/>
      </c>
    </row>
    <row r="211" spans="2:14">
      <c r="B211" s="23" t="str">
        <f>IF($M211="H",$J211&amp;"월",IF($M211="C","매장명",IF($M211="I",INDEX('완료 체험단'!$A$4:$A$2000,$N211),IF($M211="T","합계",""))))</f>
        <v/>
      </c>
      <c r="C211" s="29" t="str">
        <f>IF($M211="H",$L211&amp;"건",IF($M211="C","사이트",IF($M211="I",INDEX('완료 체험단'!$C$4:$C$2000,$N211),IF($M211="T",$L211&amp;"건",""))))</f>
        <v/>
      </c>
      <c r="D211" s="30" t="str">
        <f>IF($M211="C","방문일",IF($M211="I",INDEX('완료 체험단'!$D$4:$D$2000,$N211),""))</f>
        <v/>
      </c>
      <c r="E211" s="25" t="str">
        <f>IF($M211="H","제공금액 "&amp;TEXT(INDEX($U$5:$U$16,$J211),"#,##0")&amp;"원",IF($M211="C","제공금액",IF($M211="I",INDEX('완료 체험단'!$F$4:$F$2000,$N211),IF($M211="T",INDEX($U$5:$U$16,$J211),""))))</f>
        <v/>
      </c>
      <c r="F211" s="25" t="str">
        <f>IF($M211="H","결제금액 "&amp;TEXT(INDEX($V$5:$V$16,$J211),"#,##0")&amp;"원",IF($M211="C","결제금액",IF($M211="I",INDEX('완료 체험단'!$G$4:$G$2000,$N211),IF($M211="T",INDEX($V$5:$V$16,$J211),""))))</f>
        <v/>
      </c>
      <c r="G211" s="25" t="str">
        <f>IF($M211="H","실수익 "&amp;TEXT(INDEX($W$5:$W$16,$J211),"#,##0")&amp;"원",IF($M211="C","실수익",IF($M211="I",INDEX('완료 체험단'!$H$4:$H$2000,$N211),IF($M211="T",INDEX($W$5:$W$16,$J211),""))))</f>
        <v/>
      </c>
      <c r="I211" s="31">
        <f>ROWS(I$5:I211)</f>
        <v>207</v>
      </c>
      <c r="J211" t="str">
        <f t="shared" si="15"/>
        <v/>
      </c>
      <c r="K211" t="str">
        <f t="shared" si="16"/>
        <v/>
      </c>
      <c r="L211" t="str">
        <f t="shared" si="17"/>
        <v/>
      </c>
      <c r="M211" t="str">
        <f t="shared" si="18"/>
        <v/>
      </c>
      <c r="N211" t="str">
        <f>IF($M211="I",MATCH(SMALL('완료 체험단'!$K$4:$K$2000,INDEX($T$5:$T$16,$J211)+$K211-2),'완료 체험단'!$K$4:$K$2000,0),"")</f>
        <v/>
      </c>
    </row>
    <row r="212" spans="2:14">
      <c r="B212" s="23" t="str">
        <f>IF($M212="H",$J212&amp;"월",IF($M212="C","매장명",IF($M212="I",INDEX('완료 체험단'!$A$4:$A$2000,$N212),IF($M212="T","합계",""))))</f>
        <v/>
      </c>
      <c r="C212" s="29" t="str">
        <f>IF($M212="H",$L212&amp;"건",IF($M212="C","사이트",IF($M212="I",INDEX('완료 체험단'!$C$4:$C$2000,$N212),IF($M212="T",$L212&amp;"건",""))))</f>
        <v/>
      </c>
      <c r="D212" s="30" t="str">
        <f>IF($M212="C","방문일",IF($M212="I",INDEX('완료 체험단'!$D$4:$D$2000,$N212),""))</f>
        <v/>
      </c>
      <c r="E212" s="25" t="str">
        <f>IF($M212="H","제공금액 "&amp;TEXT(INDEX($U$5:$U$16,$J212),"#,##0")&amp;"원",IF($M212="C","제공금액",IF($M212="I",INDEX('완료 체험단'!$F$4:$F$2000,$N212),IF($M212="T",INDEX($U$5:$U$16,$J212),""))))</f>
        <v/>
      </c>
      <c r="F212" s="25" t="str">
        <f>IF($M212="H","결제금액 "&amp;TEXT(INDEX($V$5:$V$16,$J212),"#,##0")&amp;"원",IF($M212="C","결제금액",IF($M212="I",INDEX('완료 체험단'!$G$4:$G$2000,$N212),IF($M212="T",INDEX($V$5:$V$16,$J212),""))))</f>
        <v/>
      </c>
      <c r="G212" s="25" t="str">
        <f>IF($M212="H","실수익 "&amp;TEXT(INDEX($W$5:$W$16,$J212),"#,##0")&amp;"원",IF($M212="C","실수익",IF($M212="I",INDEX('완료 체험단'!$H$4:$H$2000,$N212),IF($M212="T",INDEX($W$5:$W$16,$J212),""))))</f>
        <v/>
      </c>
      <c r="I212" s="31">
        <f>ROWS(I$5:I212)</f>
        <v>208</v>
      </c>
      <c r="J212" t="str">
        <f t="shared" si="15"/>
        <v/>
      </c>
      <c r="K212" t="str">
        <f t="shared" si="16"/>
        <v/>
      </c>
      <c r="L212" t="str">
        <f t="shared" si="17"/>
        <v/>
      </c>
      <c r="M212" t="str">
        <f t="shared" si="18"/>
        <v/>
      </c>
      <c r="N212" t="str">
        <f>IF($M212="I",MATCH(SMALL('완료 체험단'!$K$4:$K$2000,INDEX($T$5:$T$16,$J212)+$K212-2),'완료 체험단'!$K$4:$K$2000,0),"")</f>
        <v/>
      </c>
    </row>
    <row r="213" spans="2:14">
      <c r="B213" s="23" t="str">
        <f>IF($M213="H",$J213&amp;"월",IF($M213="C","매장명",IF($M213="I",INDEX('완료 체험단'!$A$4:$A$2000,$N213),IF($M213="T","합계",""))))</f>
        <v/>
      </c>
      <c r="C213" s="29" t="str">
        <f>IF($M213="H",$L213&amp;"건",IF($M213="C","사이트",IF($M213="I",INDEX('완료 체험단'!$C$4:$C$2000,$N213),IF($M213="T",$L213&amp;"건",""))))</f>
        <v/>
      </c>
      <c r="D213" s="30" t="str">
        <f>IF($M213="C","방문일",IF($M213="I",INDEX('완료 체험단'!$D$4:$D$2000,$N213),""))</f>
        <v/>
      </c>
      <c r="E213" s="25" t="str">
        <f>IF($M213="H","제공금액 "&amp;TEXT(INDEX($U$5:$U$16,$J213),"#,##0")&amp;"원",IF($M213="C","제공금액",IF($M213="I",INDEX('완료 체험단'!$F$4:$F$2000,$N213),IF($M213="T",INDEX($U$5:$U$16,$J213),""))))</f>
        <v/>
      </c>
      <c r="F213" s="25" t="str">
        <f>IF($M213="H","결제금액 "&amp;TEXT(INDEX($V$5:$V$16,$J213),"#,##0")&amp;"원",IF($M213="C","결제금액",IF($M213="I",INDEX('완료 체험단'!$G$4:$G$2000,$N213),IF($M213="T",INDEX($V$5:$V$16,$J213),""))))</f>
        <v/>
      </c>
      <c r="G213" s="25" t="str">
        <f>IF($M213="H","실수익 "&amp;TEXT(INDEX($W$5:$W$16,$J213),"#,##0")&amp;"원",IF($M213="C","실수익",IF($M213="I",INDEX('완료 체험단'!$H$4:$H$2000,$N213),IF($M213="T",INDEX($W$5:$W$16,$J213),""))))</f>
        <v/>
      </c>
      <c r="I213" s="31">
        <f>ROWS(I$5:I213)</f>
        <v>209</v>
      </c>
      <c r="J213" t="str">
        <f t="shared" si="15"/>
        <v/>
      </c>
      <c r="K213" t="str">
        <f t="shared" si="16"/>
        <v/>
      </c>
      <c r="L213" t="str">
        <f t="shared" si="17"/>
        <v/>
      </c>
      <c r="M213" t="str">
        <f t="shared" si="18"/>
        <v/>
      </c>
      <c r="N213" t="str">
        <f>IF($M213="I",MATCH(SMALL('완료 체험단'!$K$4:$K$2000,INDEX($T$5:$T$16,$J213)+$K213-2),'완료 체험단'!$K$4:$K$2000,0),"")</f>
        <v/>
      </c>
    </row>
    <row r="214" spans="2:14">
      <c r="B214" s="23" t="str">
        <f>IF($M214="H",$J214&amp;"월",IF($M214="C","매장명",IF($M214="I",INDEX('완료 체험단'!$A$4:$A$2000,$N214),IF($M214="T","합계",""))))</f>
        <v/>
      </c>
      <c r="C214" s="29" t="str">
        <f>IF($M214="H",$L214&amp;"건",IF($M214="C","사이트",IF($M214="I",INDEX('완료 체험단'!$C$4:$C$2000,$N214),IF($M214="T",$L214&amp;"건",""))))</f>
        <v/>
      </c>
      <c r="D214" s="30" t="str">
        <f>IF($M214="C","방문일",IF($M214="I",INDEX('완료 체험단'!$D$4:$D$2000,$N214),""))</f>
        <v/>
      </c>
      <c r="E214" s="25" t="str">
        <f>IF($M214="H","제공금액 "&amp;TEXT(INDEX($U$5:$U$16,$J214),"#,##0")&amp;"원",IF($M214="C","제공금액",IF($M214="I",INDEX('완료 체험단'!$F$4:$F$2000,$N214),IF($M214="T",INDEX($U$5:$U$16,$J214),""))))</f>
        <v/>
      </c>
      <c r="F214" s="25" t="str">
        <f>IF($M214="H","결제금액 "&amp;TEXT(INDEX($V$5:$V$16,$J214),"#,##0")&amp;"원",IF($M214="C","결제금액",IF($M214="I",INDEX('완료 체험단'!$G$4:$G$2000,$N214),IF($M214="T",INDEX($V$5:$V$16,$J214),""))))</f>
        <v/>
      </c>
      <c r="G214" s="25" t="str">
        <f>IF($M214="H","실수익 "&amp;TEXT(INDEX($W$5:$W$16,$J214),"#,##0")&amp;"원",IF($M214="C","실수익",IF($M214="I",INDEX('완료 체험단'!$H$4:$H$2000,$N214),IF($M214="T",INDEX($W$5:$W$16,$J214),""))))</f>
        <v/>
      </c>
      <c r="I214" s="31">
        <f>ROWS(I$5:I214)</f>
        <v>210</v>
      </c>
      <c r="J214" t="str">
        <f t="shared" si="15"/>
        <v/>
      </c>
      <c r="K214" t="str">
        <f t="shared" si="16"/>
        <v/>
      </c>
      <c r="L214" t="str">
        <f t="shared" si="17"/>
        <v/>
      </c>
      <c r="M214" t="str">
        <f t="shared" si="18"/>
        <v/>
      </c>
      <c r="N214" t="str">
        <f>IF($M214="I",MATCH(SMALL('완료 체험단'!$K$4:$K$2000,INDEX($T$5:$T$16,$J214)+$K214-2),'완료 체험단'!$K$4:$K$2000,0),"")</f>
        <v/>
      </c>
    </row>
    <row r="215" spans="2:14">
      <c r="B215" s="23" t="str">
        <f>IF($M215="H",$J215&amp;"월",IF($M215="C","매장명",IF($M215="I",INDEX('완료 체험단'!$A$4:$A$2000,$N215),IF($M215="T","합계",""))))</f>
        <v/>
      </c>
      <c r="C215" s="29" t="str">
        <f>IF($M215="H",$L215&amp;"건",IF($M215="C","사이트",IF($M215="I",INDEX('완료 체험단'!$C$4:$C$2000,$N215),IF($M215="T",$L215&amp;"건",""))))</f>
        <v/>
      </c>
      <c r="D215" s="30" t="str">
        <f>IF($M215="C","방문일",IF($M215="I",INDEX('완료 체험단'!$D$4:$D$2000,$N215),""))</f>
        <v/>
      </c>
      <c r="E215" s="25" t="str">
        <f>IF($M215="H","제공금액 "&amp;TEXT(INDEX($U$5:$U$16,$J215),"#,##0")&amp;"원",IF($M215="C","제공금액",IF($M215="I",INDEX('완료 체험단'!$F$4:$F$2000,$N215),IF($M215="T",INDEX($U$5:$U$16,$J215),""))))</f>
        <v/>
      </c>
      <c r="F215" s="25" t="str">
        <f>IF($M215="H","결제금액 "&amp;TEXT(INDEX($V$5:$V$16,$J215),"#,##0")&amp;"원",IF($M215="C","결제금액",IF($M215="I",INDEX('완료 체험단'!$G$4:$G$2000,$N215),IF($M215="T",INDEX($V$5:$V$16,$J215),""))))</f>
        <v/>
      </c>
      <c r="G215" s="25" t="str">
        <f>IF($M215="H","실수익 "&amp;TEXT(INDEX($W$5:$W$16,$J215),"#,##0")&amp;"원",IF($M215="C","실수익",IF($M215="I",INDEX('완료 체험단'!$H$4:$H$2000,$N215),IF($M215="T",INDEX($W$5:$W$16,$J215),""))))</f>
        <v/>
      </c>
      <c r="I215" s="31">
        <f>ROWS(I$5:I215)</f>
        <v>211</v>
      </c>
      <c r="J215" t="str">
        <f t="shared" si="15"/>
        <v/>
      </c>
      <c r="K215" t="str">
        <f t="shared" si="16"/>
        <v/>
      </c>
      <c r="L215" t="str">
        <f t="shared" si="17"/>
        <v/>
      </c>
      <c r="M215" t="str">
        <f t="shared" si="18"/>
        <v/>
      </c>
      <c r="N215" t="str">
        <f>IF($M215="I",MATCH(SMALL('완료 체험단'!$K$4:$K$2000,INDEX($T$5:$T$16,$J215)+$K215-2),'완료 체험단'!$K$4:$K$2000,0),"")</f>
        <v/>
      </c>
    </row>
    <row r="216" spans="2:14">
      <c r="B216" s="23" t="str">
        <f>IF($M216="H",$J216&amp;"월",IF($M216="C","매장명",IF($M216="I",INDEX('완료 체험단'!$A$4:$A$2000,$N216),IF($M216="T","합계",""))))</f>
        <v/>
      </c>
      <c r="C216" s="29" t="str">
        <f>IF($M216="H",$L216&amp;"건",IF($M216="C","사이트",IF($M216="I",INDEX('완료 체험단'!$C$4:$C$2000,$N216),IF($M216="T",$L216&amp;"건",""))))</f>
        <v/>
      </c>
      <c r="D216" s="30" t="str">
        <f>IF($M216="C","방문일",IF($M216="I",INDEX('완료 체험단'!$D$4:$D$2000,$N216),""))</f>
        <v/>
      </c>
      <c r="E216" s="25" t="str">
        <f>IF($M216="H","제공금액 "&amp;TEXT(INDEX($U$5:$U$16,$J216),"#,##0")&amp;"원",IF($M216="C","제공금액",IF($M216="I",INDEX('완료 체험단'!$F$4:$F$2000,$N216),IF($M216="T",INDEX($U$5:$U$16,$J216),""))))</f>
        <v/>
      </c>
      <c r="F216" s="25" t="str">
        <f>IF($M216="H","결제금액 "&amp;TEXT(INDEX($V$5:$V$16,$J216),"#,##0")&amp;"원",IF($M216="C","결제금액",IF($M216="I",INDEX('완료 체험단'!$G$4:$G$2000,$N216),IF($M216="T",INDEX($V$5:$V$16,$J216),""))))</f>
        <v/>
      </c>
      <c r="G216" s="25" t="str">
        <f>IF($M216="H","실수익 "&amp;TEXT(INDEX($W$5:$W$16,$J216),"#,##0")&amp;"원",IF($M216="C","실수익",IF($M216="I",INDEX('완료 체험단'!$H$4:$H$2000,$N216),IF($M216="T",INDEX($W$5:$W$16,$J216),""))))</f>
        <v/>
      </c>
      <c r="I216" s="31">
        <f>ROWS(I$5:I216)</f>
        <v>212</v>
      </c>
      <c r="J216" t="str">
        <f t="shared" si="15"/>
        <v/>
      </c>
      <c r="K216" t="str">
        <f t="shared" si="16"/>
        <v/>
      </c>
      <c r="L216" t="str">
        <f t="shared" si="17"/>
        <v/>
      </c>
      <c r="M216" t="str">
        <f t="shared" si="18"/>
        <v/>
      </c>
      <c r="N216" t="str">
        <f>IF($M216="I",MATCH(SMALL('완료 체험단'!$K$4:$K$2000,INDEX($T$5:$T$16,$J216)+$K216-2),'완료 체험단'!$K$4:$K$2000,0),"")</f>
        <v/>
      </c>
    </row>
    <row r="217" spans="2:14">
      <c r="B217" s="23" t="str">
        <f>IF($M217="H",$J217&amp;"월",IF($M217="C","매장명",IF($M217="I",INDEX('완료 체험단'!$A$4:$A$2000,$N217),IF($M217="T","합계",""))))</f>
        <v/>
      </c>
      <c r="C217" s="29" t="str">
        <f>IF($M217="H",$L217&amp;"건",IF($M217="C","사이트",IF($M217="I",INDEX('완료 체험단'!$C$4:$C$2000,$N217),IF($M217="T",$L217&amp;"건",""))))</f>
        <v/>
      </c>
      <c r="D217" s="30" t="str">
        <f>IF($M217="C","방문일",IF($M217="I",INDEX('완료 체험단'!$D$4:$D$2000,$N217),""))</f>
        <v/>
      </c>
      <c r="E217" s="25" t="str">
        <f>IF($M217="H","제공금액 "&amp;TEXT(INDEX($U$5:$U$16,$J217),"#,##0")&amp;"원",IF($M217="C","제공금액",IF($M217="I",INDEX('완료 체험단'!$F$4:$F$2000,$N217),IF($M217="T",INDEX($U$5:$U$16,$J217),""))))</f>
        <v/>
      </c>
      <c r="F217" s="25" t="str">
        <f>IF($M217="H","결제금액 "&amp;TEXT(INDEX($V$5:$V$16,$J217),"#,##0")&amp;"원",IF($M217="C","결제금액",IF($M217="I",INDEX('완료 체험단'!$G$4:$G$2000,$N217),IF($M217="T",INDEX($V$5:$V$16,$J217),""))))</f>
        <v/>
      </c>
      <c r="G217" s="25" t="str">
        <f>IF($M217="H","실수익 "&amp;TEXT(INDEX($W$5:$W$16,$J217),"#,##0")&amp;"원",IF($M217="C","실수익",IF($M217="I",INDEX('완료 체험단'!$H$4:$H$2000,$N217),IF($M217="T",INDEX($W$5:$W$16,$J217),""))))</f>
        <v/>
      </c>
      <c r="I217" s="31">
        <f>ROWS(I$5:I217)</f>
        <v>213</v>
      </c>
      <c r="J217" t="str">
        <f t="shared" si="15"/>
        <v/>
      </c>
      <c r="K217" t="str">
        <f t="shared" si="16"/>
        <v/>
      </c>
      <c r="L217" t="str">
        <f t="shared" si="17"/>
        <v/>
      </c>
      <c r="M217" t="str">
        <f t="shared" si="18"/>
        <v/>
      </c>
      <c r="N217" t="str">
        <f>IF($M217="I",MATCH(SMALL('완료 체험단'!$K$4:$K$2000,INDEX($T$5:$T$16,$J217)+$K217-2),'완료 체험단'!$K$4:$K$2000,0),"")</f>
        <v/>
      </c>
    </row>
    <row r="218" spans="2:14">
      <c r="B218" s="23" t="str">
        <f>IF($M218="H",$J218&amp;"월",IF($M218="C","매장명",IF($M218="I",INDEX('완료 체험단'!$A$4:$A$2000,$N218),IF($M218="T","합계",""))))</f>
        <v/>
      </c>
      <c r="C218" s="29" t="str">
        <f>IF($M218="H",$L218&amp;"건",IF($M218="C","사이트",IF($M218="I",INDEX('완료 체험단'!$C$4:$C$2000,$N218),IF($M218="T",$L218&amp;"건",""))))</f>
        <v/>
      </c>
      <c r="D218" s="30" t="str">
        <f>IF($M218="C","방문일",IF($M218="I",INDEX('완료 체험단'!$D$4:$D$2000,$N218),""))</f>
        <v/>
      </c>
      <c r="E218" s="25" t="str">
        <f>IF($M218="H","제공금액 "&amp;TEXT(INDEX($U$5:$U$16,$J218),"#,##0")&amp;"원",IF($M218="C","제공금액",IF($M218="I",INDEX('완료 체험단'!$F$4:$F$2000,$N218),IF($M218="T",INDEX($U$5:$U$16,$J218),""))))</f>
        <v/>
      </c>
      <c r="F218" s="25" t="str">
        <f>IF($M218="H","결제금액 "&amp;TEXT(INDEX($V$5:$V$16,$J218),"#,##0")&amp;"원",IF($M218="C","결제금액",IF($M218="I",INDEX('완료 체험단'!$G$4:$G$2000,$N218),IF($M218="T",INDEX($V$5:$V$16,$J218),""))))</f>
        <v/>
      </c>
      <c r="G218" s="25" t="str">
        <f>IF($M218="H","실수익 "&amp;TEXT(INDEX($W$5:$W$16,$J218),"#,##0")&amp;"원",IF($M218="C","실수익",IF($M218="I",INDEX('완료 체험단'!$H$4:$H$2000,$N218),IF($M218="T",INDEX($W$5:$W$16,$J218),""))))</f>
        <v/>
      </c>
      <c r="I218" s="31">
        <f>ROWS(I$5:I218)</f>
        <v>214</v>
      </c>
      <c r="J218" t="str">
        <f t="shared" si="15"/>
        <v/>
      </c>
      <c r="K218" t="str">
        <f t="shared" si="16"/>
        <v/>
      </c>
      <c r="L218" t="str">
        <f t="shared" si="17"/>
        <v/>
      </c>
      <c r="M218" t="str">
        <f t="shared" si="18"/>
        <v/>
      </c>
      <c r="N218" t="str">
        <f>IF($M218="I",MATCH(SMALL('완료 체험단'!$K$4:$K$2000,INDEX($T$5:$T$16,$J218)+$K218-2),'완료 체험단'!$K$4:$K$2000,0),"")</f>
        <v/>
      </c>
    </row>
    <row r="219" spans="2:14">
      <c r="B219" s="23" t="str">
        <f>IF($M219="H",$J219&amp;"월",IF($M219="C","매장명",IF($M219="I",INDEX('완료 체험단'!$A$4:$A$2000,$N219),IF($M219="T","합계",""))))</f>
        <v/>
      </c>
      <c r="C219" s="29" t="str">
        <f>IF($M219="H",$L219&amp;"건",IF($M219="C","사이트",IF($M219="I",INDEX('완료 체험단'!$C$4:$C$2000,$N219),IF($M219="T",$L219&amp;"건",""))))</f>
        <v/>
      </c>
      <c r="D219" s="30" t="str">
        <f>IF($M219="C","방문일",IF($M219="I",INDEX('완료 체험단'!$D$4:$D$2000,$N219),""))</f>
        <v/>
      </c>
      <c r="E219" s="25" t="str">
        <f>IF($M219="H","제공금액 "&amp;TEXT(INDEX($U$5:$U$16,$J219),"#,##0")&amp;"원",IF($M219="C","제공금액",IF($M219="I",INDEX('완료 체험단'!$F$4:$F$2000,$N219),IF($M219="T",INDEX($U$5:$U$16,$J219),""))))</f>
        <v/>
      </c>
      <c r="F219" s="25" t="str">
        <f>IF($M219="H","결제금액 "&amp;TEXT(INDEX($V$5:$V$16,$J219),"#,##0")&amp;"원",IF($M219="C","결제금액",IF($M219="I",INDEX('완료 체험단'!$G$4:$G$2000,$N219),IF($M219="T",INDEX($V$5:$V$16,$J219),""))))</f>
        <v/>
      </c>
      <c r="G219" s="25" t="str">
        <f>IF($M219="H","실수익 "&amp;TEXT(INDEX($W$5:$W$16,$J219),"#,##0")&amp;"원",IF($M219="C","실수익",IF($M219="I",INDEX('완료 체험단'!$H$4:$H$2000,$N219),IF($M219="T",INDEX($W$5:$W$16,$J219),""))))</f>
        <v/>
      </c>
      <c r="I219" s="31">
        <f>ROWS(I$5:I219)</f>
        <v>215</v>
      </c>
      <c r="J219" t="str">
        <f t="shared" si="15"/>
        <v/>
      </c>
      <c r="K219" t="str">
        <f t="shared" si="16"/>
        <v/>
      </c>
      <c r="L219" t="str">
        <f t="shared" si="17"/>
        <v/>
      </c>
      <c r="M219" t="str">
        <f t="shared" si="18"/>
        <v/>
      </c>
      <c r="N219" t="str">
        <f>IF($M219="I",MATCH(SMALL('완료 체험단'!$K$4:$K$2000,INDEX($T$5:$T$16,$J219)+$K219-2),'완료 체험단'!$K$4:$K$2000,0),"")</f>
        <v/>
      </c>
    </row>
    <row r="220" spans="2:14">
      <c r="B220" s="23" t="str">
        <f>IF($M220="H",$J220&amp;"월",IF($M220="C","매장명",IF($M220="I",INDEX('완료 체험단'!$A$4:$A$2000,$N220),IF($M220="T","합계",""))))</f>
        <v/>
      </c>
      <c r="C220" s="29" t="str">
        <f>IF($M220="H",$L220&amp;"건",IF($M220="C","사이트",IF($M220="I",INDEX('완료 체험단'!$C$4:$C$2000,$N220),IF($M220="T",$L220&amp;"건",""))))</f>
        <v/>
      </c>
      <c r="D220" s="30" t="str">
        <f>IF($M220="C","방문일",IF($M220="I",INDEX('완료 체험단'!$D$4:$D$2000,$N220),""))</f>
        <v/>
      </c>
      <c r="E220" s="25" t="str">
        <f>IF($M220="H","제공금액 "&amp;TEXT(INDEX($U$5:$U$16,$J220),"#,##0")&amp;"원",IF($M220="C","제공금액",IF($M220="I",INDEX('완료 체험단'!$F$4:$F$2000,$N220),IF($M220="T",INDEX($U$5:$U$16,$J220),""))))</f>
        <v/>
      </c>
      <c r="F220" s="25" t="str">
        <f>IF($M220="H","결제금액 "&amp;TEXT(INDEX($V$5:$V$16,$J220),"#,##0")&amp;"원",IF($M220="C","결제금액",IF($M220="I",INDEX('완료 체험단'!$G$4:$G$2000,$N220),IF($M220="T",INDEX($V$5:$V$16,$J220),""))))</f>
        <v/>
      </c>
      <c r="G220" s="25" t="str">
        <f>IF($M220="H","실수익 "&amp;TEXT(INDEX($W$5:$W$16,$J220),"#,##0")&amp;"원",IF($M220="C","실수익",IF($M220="I",INDEX('완료 체험단'!$H$4:$H$2000,$N220),IF($M220="T",INDEX($W$5:$W$16,$J220),""))))</f>
        <v/>
      </c>
      <c r="I220" s="31">
        <f>ROWS(I$5:I220)</f>
        <v>216</v>
      </c>
      <c r="J220" t="str">
        <f t="shared" si="15"/>
        <v/>
      </c>
      <c r="K220" t="str">
        <f t="shared" si="16"/>
        <v/>
      </c>
      <c r="L220" t="str">
        <f t="shared" si="17"/>
        <v/>
      </c>
      <c r="M220" t="str">
        <f t="shared" si="18"/>
        <v/>
      </c>
      <c r="N220" t="str">
        <f>IF($M220="I",MATCH(SMALL('완료 체험단'!$K$4:$K$2000,INDEX($T$5:$T$16,$J220)+$K220-2),'완료 체험단'!$K$4:$K$2000,0),"")</f>
        <v/>
      </c>
    </row>
    <row r="221" spans="2:14">
      <c r="B221" s="23" t="str">
        <f>IF($M221="H",$J221&amp;"월",IF($M221="C","매장명",IF($M221="I",INDEX('완료 체험단'!$A$4:$A$2000,$N221),IF($M221="T","합계",""))))</f>
        <v/>
      </c>
      <c r="C221" s="29" t="str">
        <f>IF($M221="H",$L221&amp;"건",IF($M221="C","사이트",IF($M221="I",INDEX('완료 체험단'!$C$4:$C$2000,$N221),IF($M221="T",$L221&amp;"건",""))))</f>
        <v/>
      </c>
      <c r="D221" s="30" t="str">
        <f>IF($M221="C","방문일",IF($M221="I",INDEX('완료 체험단'!$D$4:$D$2000,$N221),""))</f>
        <v/>
      </c>
      <c r="E221" s="25" t="str">
        <f>IF($M221="H","제공금액 "&amp;TEXT(INDEX($U$5:$U$16,$J221),"#,##0")&amp;"원",IF($M221="C","제공금액",IF($M221="I",INDEX('완료 체험단'!$F$4:$F$2000,$N221),IF($M221="T",INDEX($U$5:$U$16,$J221),""))))</f>
        <v/>
      </c>
      <c r="F221" s="25" t="str">
        <f>IF($M221="H","결제금액 "&amp;TEXT(INDEX($V$5:$V$16,$J221),"#,##0")&amp;"원",IF($M221="C","결제금액",IF($M221="I",INDEX('완료 체험단'!$G$4:$G$2000,$N221),IF($M221="T",INDEX($V$5:$V$16,$J221),""))))</f>
        <v/>
      </c>
      <c r="G221" s="25" t="str">
        <f>IF($M221="H","실수익 "&amp;TEXT(INDEX($W$5:$W$16,$J221),"#,##0")&amp;"원",IF($M221="C","실수익",IF($M221="I",INDEX('완료 체험단'!$H$4:$H$2000,$N221),IF($M221="T",INDEX($W$5:$W$16,$J221),""))))</f>
        <v/>
      </c>
      <c r="I221" s="31">
        <f>ROWS(I$5:I221)</f>
        <v>217</v>
      </c>
      <c r="J221" t="str">
        <f t="shared" si="15"/>
        <v/>
      </c>
      <c r="K221" t="str">
        <f t="shared" si="16"/>
        <v/>
      </c>
      <c r="L221" t="str">
        <f t="shared" si="17"/>
        <v/>
      </c>
      <c r="M221" t="str">
        <f t="shared" si="18"/>
        <v/>
      </c>
      <c r="N221" t="str">
        <f>IF($M221="I",MATCH(SMALL('완료 체험단'!$K$4:$K$2000,INDEX($T$5:$T$16,$J221)+$K221-2),'완료 체험단'!$K$4:$K$2000,0),"")</f>
        <v/>
      </c>
    </row>
    <row r="222" spans="2:14">
      <c r="B222" s="23" t="str">
        <f>IF($M222="H",$J222&amp;"월",IF($M222="C","매장명",IF($M222="I",INDEX('완료 체험단'!$A$4:$A$2000,$N222),IF($M222="T","합계",""))))</f>
        <v/>
      </c>
      <c r="C222" s="29" t="str">
        <f>IF($M222="H",$L222&amp;"건",IF($M222="C","사이트",IF($M222="I",INDEX('완료 체험단'!$C$4:$C$2000,$N222),IF($M222="T",$L222&amp;"건",""))))</f>
        <v/>
      </c>
      <c r="D222" s="30" t="str">
        <f>IF($M222="C","방문일",IF($M222="I",INDEX('완료 체험단'!$D$4:$D$2000,$N222),""))</f>
        <v/>
      </c>
      <c r="E222" s="25" t="str">
        <f>IF($M222="H","제공금액 "&amp;TEXT(INDEX($U$5:$U$16,$J222),"#,##0")&amp;"원",IF($M222="C","제공금액",IF($M222="I",INDEX('완료 체험단'!$F$4:$F$2000,$N222),IF($M222="T",INDEX($U$5:$U$16,$J222),""))))</f>
        <v/>
      </c>
      <c r="F222" s="25" t="str">
        <f>IF($M222="H","결제금액 "&amp;TEXT(INDEX($V$5:$V$16,$J222),"#,##0")&amp;"원",IF($M222="C","결제금액",IF($M222="I",INDEX('완료 체험단'!$G$4:$G$2000,$N222),IF($M222="T",INDEX($V$5:$V$16,$J222),""))))</f>
        <v/>
      </c>
      <c r="G222" s="25" t="str">
        <f>IF($M222="H","실수익 "&amp;TEXT(INDEX($W$5:$W$16,$J222),"#,##0")&amp;"원",IF($M222="C","실수익",IF($M222="I",INDEX('완료 체험단'!$H$4:$H$2000,$N222),IF($M222="T",INDEX($W$5:$W$16,$J222),""))))</f>
        <v/>
      </c>
      <c r="I222" s="31">
        <f>ROWS(I$5:I222)</f>
        <v>218</v>
      </c>
      <c r="J222" t="str">
        <f t="shared" si="15"/>
        <v/>
      </c>
      <c r="K222" t="str">
        <f t="shared" si="16"/>
        <v/>
      </c>
      <c r="L222" t="str">
        <f t="shared" si="17"/>
        <v/>
      </c>
      <c r="M222" t="str">
        <f t="shared" si="18"/>
        <v/>
      </c>
      <c r="N222" t="str">
        <f>IF($M222="I",MATCH(SMALL('완료 체험단'!$K$4:$K$2000,INDEX($T$5:$T$16,$J222)+$K222-2),'완료 체험단'!$K$4:$K$2000,0),"")</f>
        <v/>
      </c>
    </row>
    <row r="223" spans="2:14">
      <c r="B223" s="23" t="str">
        <f>IF($M223="H",$J223&amp;"월",IF($M223="C","매장명",IF($M223="I",INDEX('완료 체험단'!$A$4:$A$2000,$N223),IF($M223="T","합계",""))))</f>
        <v/>
      </c>
      <c r="C223" s="29" t="str">
        <f>IF($M223="H",$L223&amp;"건",IF($M223="C","사이트",IF($M223="I",INDEX('완료 체험단'!$C$4:$C$2000,$N223),IF($M223="T",$L223&amp;"건",""))))</f>
        <v/>
      </c>
      <c r="D223" s="30" t="str">
        <f>IF($M223="C","방문일",IF($M223="I",INDEX('완료 체험단'!$D$4:$D$2000,$N223),""))</f>
        <v/>
      </c>
      <c r="E223" s="25" t="str">
        <f>IF($M223="H","제공금액 "&amp;TEXT(INDEX($U$5:$U$16,$J223),"#,##0")&amp;"원",IF($M223="C","제공금액",IF($M223="I",INDEX('완료 체험단'!$F$4:$F$2000,$N223),IF($M223="T",INDEX($U$5:$U$16,$J223),""))))</f>
        <v/>
      </c>
      <c r="F223" s="25" t="str">
        <f>IF($M223="H","결제금액 "&amp;TEXT(INDEX($V$5:$V$16,$J223),"#,##0")&amp;"원",IF($M223="C","결제금액",IF($M223="I",INDEX('완료 체험단'!$G$4:$G$2000,$N223),IF($M223="T",INDEX($V$5:$V$16,$J223),""))))</f>
        <v/>
      </c>
      <c r="G223" s="25" t="str">
        <f>IF($M223="H","실수익 "&amp;TEXT(INDEX($W$5:$W$16,$J223),"#,##0")&amp;"원",IF($M223="C","실수익",IF($M223="I",INDEX('완료 체험단'!$H$4:$H$2000,$N223),IF($M223="T",INDEX($W$5:$W$16,$J223),""))))</f>
        <v/>
      </c>
      <c r="I223" s="31">
        <f>ROWS(I$5:I223)</f>
        <v>219</v>
      </c>
      <c r="J223" t="str">
        <f t="shared" si="15"/>
        <v/>
      </c>
      <c r="K223" t="str">
        <f t="shared" si="16"/>
        <v/>
      </c>
      <c r="L223" t="str">
        <f t="shared" si="17"/>
        <v/>
      </c>
      <c r="M223" t="str">
        <f t="shared" si="18"/>
        <v/>
      </c>
      <c r="N223" t="str">
        <f>IF($M223="I",MATCH(SMALL('완료 체험단'!$K$4:$K$2000,INDEX($T$5:$T$16,$J223)+$K223-2),'완료 체험단'!$K$4:$K$2000,0),"")</f>
        <v/>
      </c>
    </row>
    <row r="224" spans="2:14">
      <c r="B224" s="23" t="str">
        <f>IF($M224="H",$J224&amp;"월",IF($M224="C","매장명",IF($M224="I",INDEX('완료 체험단'!$A$4:$A$2000,$N224),IF($M224="T","합계",""))))</f>
        <v/>
      </c>
      <c r="C224" s="29" t="str">
        <f>IF($M224="H",$L224&amp;"건",IF($M224="C","사이트",IF($M224="I",INDEX('완료 체험단'!$C$4:$C$2000,$N224),IF($M224="T",$L224&amp;"건",""))))</f>
        <v/>
      </c>
      <c r="D224" s="30" t="str">
        <f>IF($M224="C","방문일",IF($M224="I",INDEX('완료 체험단'!$D$4:$D$2000,$N224),""))</f>
        <v/>
      </c>
      <c r="E224" s="25" t="str">
        <f>IF($M224="H","제공금액 "&amp;TEXT(INDEX($U$5:$U$16,$J224),"#,##0")&amp;"원",IF($M224="C","제공금액",IF($M224="I",INDEX('완료 체험단'!$F$4:$F$2000,$N224),IF($M224="T",INDEX($U$5:$U$16,$J224),""))))</f>
        <v/>
      </c>
      <c r="F224" s="25" t="str">
        <f>IF($M224="H","결제금액 "&amp;TEXT(INDEX($V$5:$V$16,$J224),"#,##0")&amp;"원",IF($M224="C","결제금액",IF($M224="I",INDEX('완료 체험단'!$G$4:$G$2000,$N224),IF($M224="T",INDEX($V$5:$V$16,$J224),""))))</f>
        <v/>
      </c>
      <c r="G224" s="25" t="str">
        <f>IF($M224="H","실수익 "&amp;TEXT(INDEX($W$5:$W$16,$J224),"#,##0")&amp;"원",IF($M224="C","실수익",IF($M224="I",INDEX('완료 체험단'!$H$4:$H$2000,$N224),IF($M224="T",INDEX($W$5:$W$16,$J224),""))))</f>
        <v/>
      </c>
      <c r="I224" s="31">
        <f>ROWS(I$5:I224)</f>
        <v>220</v>
      </c>
      <c r="J224" t="str">
        <f t="shared" si="15"/>
        <v/>
      </c>
      <c r="K224" t="str">
        <f t="shared" si="16"/>
        <v/>
      </c>
      <c r="L224" t="str">
        <f t="shared" si="17"/>
        <v/>
      </c>
      <c r="M224" t="str">
        <f t="shared" si="18"/>
        <v/>
      </c>
      <c r="N224" t="str">
        <f>IF($M224="I",MATCH(SMALL('완료 체험단'!$K$4:$K$2000,INDEX($T$5:$T$16,$J224)+$K224-2),'완료 체험단'!$K$4:$K$2000,0),"")</f>
        <v/>
      </c>
    </row>
    <row r="225" spans="2:14">
      <c r="B225" s="23" t="str">
        <f>IF($M225="H",$J225&amp;"월",IF($M225="C","매장명",IF($M225="I",INDEX('완료 체험단'!$A$4:$A$2000,$N225),IF($M225="T","합계",""))))</f>
        <v/>
      </c>
      <c r="C225" s="29" t="str">
        <f>IF($M225="H",$L225&amp;"건",IF($M225="C","사이트",IF($M225="I",INDEX('완료 체험단'!$C$4:$C$2000,$N225),IF($M225="T",$L225&amp;"건",""))))</f>
        <v/>
      </c>
      <c r="D225" s="30" t="str">
        <f>IF($M225="C","방문일",IF($M225="I",INDEX('완료 체험단'!$D$4:$D$2000,$N225),""))</f>
        <v/>
      </c>
      <c r="E225" s="25" t="str">
        <f>IF($M225="H","제공금액 "&amp;TEXT(INDEX($U$5:$U$16,$J225),"#,##0")&amp;"원",IF($M225="C","제공금액",IF($M225="I",INDEX('완료 체험단'!$F$4:$F$2000,$N225),IF($M225="T",INDEX($U$5:$U$16,$J225),""))))</f>
        <v/>
      </c>
      <c r="F225" s="25" t="str">
        <f>IF($M225="H","결제금액 "&amp;TEXT(INDEX($V$5:$V$16,$J225),"#,##0")&amp;"원",IF($M225="C","결제금액",IF($M225="I",INDEX('완료 체험단'!$G$4:$G$2000,$N225),IF($M225="T",INDEX($V$5:$V$16,$J225),""))))</f>
        <v/>
      </c>
      <c r="G225" s="25" t="str">
        <f>IF($M225="H","실수익 "&amp;TEXT(INDEX($W$5:$W$16,$J225),"#,##0")&amp;"원",IF($M225="C","실수익",IF($M225="I",INDEX('완료 체험단'!$H$4:$H$2000,$N225),IF($M225="T",INDEX($W$5:$W$16,$J225),""))))</f>
        <v/>
      </c>
      <c r="I225" s="31">
        <f>ROWS(I$5:I225)</f>
        <v>221</v>
      </c>
      <c r="J225" t="str">
        <f t="shared" si="15"/>
        <v/>
      </c>
      <c r="K225" t="str">
        <f t="shared" si="16"/>
        <v/>
      </c>
      <c r="L225" t="str">
        <f t="shared" si="17"/>
        <v/>
      </c>
      <c r="M225" t="str">
        <f t="shared" si="18"/>
        <v/>
      </c>
      <c r="N225" t="str">
        <f>IF($M225="I",MATCH(SMALL('완료 체험단'!$K$4:$K$2000,INDEX($T$5:$T$16,$J225)+$K225-2),'완료 체험단'!$K$4:$K$2000,0),"")</f>
        <v/>
      </c>
    </row>
    <row r="226" spans="2:14">
      <c r="B226" s="23" t="str">
        <f>IF($M226="H",$J226&amp;"월",IF($M226="C","매장명",IF($M226="I",INDEX('완료 체험단'!$A$4:$A$2000,$N226),IF($M226="T","합계",""))))</f>
        <v/>
      </c>
      <c r="C226" s="29" t="str">
        <f>IF($M226="H",$L226&amp;"건",IF($M226="C","사이트",IF($M226="I",INDEX('완료 체험단'!$C$4:$C$2000,$N226),IF($M226="T",$L226&amp;"건",""))))</f>
        <v/>
      </c>
      <c r="D226" s="30" t="str">
        <f>IF($M226="C","방문일",IF($M226="I",INDEX('완료 체험단'!$D$4:$D$2000,$N226),""))</f>
        <v/>
      </c>
      <c r="E226" s="25" t="str">
        <f>IF($M226="H","제공금액 "&amp;TEXT(INDEX($U$5:$U$16,$J226),"#,##0")&amp;"원",IF($M226="C","제공금액",IF($M226="I",INDEX('완료 체험단'!$F$4:$F$2000,$N226),IF($M226="T",INDEX($U$5:$U$16,$J226),""))))</f>
        <v/>
      </c>
      <c r="F226" s="25" t="str">
        <f>IF($M226="H","결제금액 "&amp;TEXT(INDEX($V$5:$V$16,$J226),"#,##0")&amp;"원",IF($M226="C","결제금액",IF($M226="I",INDEX('완료 체험단'!$G$4:$G$2000,$N226),IF($M226="T",INDEX($V$5:$V$16,$J226),""))))</f>
        <v/>
      </c>
      <c r="G226" s="25" t="str">
        <f>IF($M226="H","실수익 "&amp;TEXT(INDEX($W$5:$W$16,$J226),"#,##0")&amp;"원",IF($M226="C","실수익",IF($M226="I",INDEX('완료 체험단'!$H$4:$H$2000,$N226),IF($M226="T",INDEX($W$5:$W$16,$J226),""))))</f>
        <v/>
      </c>
      <c r="I226" s="31">
        <f>ROWS(I$5:I226)</f>
        <v>222</v>
      </c>
      <c r="J226" t="str">
        <f t="shared" si="15"/>
        <v/>
      </c>
      <c r="K226" t="str">
        <f t="shared" si="16"/>
        <v/>
      </c>
      <c r="L226" t="str">
        <f t="shared" si="17"/>
        <v/>
      </c>
      <c r="M226" t="str">
        <f t="shared" si="18"/>
        <v/>
      </c>
      <c r="N226" t="str">
        <f>IF($M226="I",MATCH(SMALL('완료 체험단'!$K$4:$K$2000,INDEX($T$5:$T$16,$J226)+$K226-2),'완료 체험단'!$K$4:$K$2000,0),"")</f>
        <v/>
      </c>
    </row>
    <row r="227" spans="2:14">
      <c r="B227" s="23" t="str">
        <f>IF($M227="H",$J227&amp;"월",IF($M227="C","매장명",IF($M227="I",INDEX('완료 체험단'!$A$4:$A$2000,$N227),IF($M227="T","합계",""))))</f>
        <v/>
      </c>
      <c r="C227" s="29" t="str">
        <f>IF($M227="H",$L227&amp;"건",IF($M227="C","사이트",IF($M227="I",INDEX('완료 체험단'!$C$4:$C$2000,$N227),IF($M227="T",$L227&amp;"건",""))))</f>
        <v/>
      </c>
      <c r="D227" s="30" t="str">
        <f>IF($M227="C","방문일",IF($M227="I",INDEX('완료 체험단'!$D$4:$D$2000,$N227),""))</f>
        <v/>
      </c>
      <c r="E227" s="25" t="str">
        <f>IF($M227="H","제공금액 "&amp;TEXT(INDEX($U$5:$U$16,$J227),"#,##0")&amp;"원",IF($M227="C","제공금액",IF($M227="I",INDEX('완료 체험단'!$F$4:$F$2000,$N227),IF($M227="T",INDEX($U$5:$U$16,$J227),""))))</f>
        <v/>
      </c>
      <c r="F227" s="25" t="str">
        <f>IF($M227="H","결제금액 "&amp;TEXT(INDEX($V$5:$V$16,$J227),"#,##0")&amp;"원",IF($M227="C","결제금액",IF($M227="I",INDEX('완료 체험단'!$G$4:$G$2000,$N227),IF($M227="T",INDEX($V$5:$V$16,$J227),""))))</f>
        <v/>
      </c>
      <c r="G227" s="25" t="str">
        <f>IF($M227="H","실수익 "&amp;TEXT(INDEX($W$5:$W$16,$J227),"#,##0")&amp;"원",IF($M227="C","실수익",IF($M227="I",INDEX('완료 체험단'!$H$4:$H$2000,$N227),IF($M227="T",INDEX($W$5:$W$16,$J227),""))))</f>
        <v/>
      </c>
      <c r="I227" s="31">
        <f>ROWS(I$5:I227)</f>
        <v>223</v>
      </c>
      <c r="J227" t="str">
        <f t="shared" si="15"/>
        <v/>
      </c>
      <c r="K227" t="str">
        <f t="shared" si="16"/>
        <v/>
      </c>
      <c r="L227" t="str">
        <f t="shared" si="17"/>
        <v/>
      </c>
      <c r="M227" t="str">
        <f t="shared" si="18"/>
        <v/>
      </c>
      <c r="N227" t="str">
        <f>IF($M227="I",MATCH(SMALL('완료 체험단'!$K$4:$K$2000,INDEX($T$5:$T$16,$J227)+$K227-2),'완료 체험단'!$K$4:$K$2000,0),"")</f>
        <v/>
      </c>
    </row>
    <row r="228" spans="2:14">
      <c r="B228" s="23" t="str">
        <f>IF($M228="H",$J228&amp;"월",IF($M228="C","매장명",IF($M228="I",INDEX('완료 체험단'!$A$4:$A$2000,$N228),IF($M228="T","합계",""))))</f>
        <v/>
      </c>
      <c r="C228" s="29" t="str">
        <f>IF($M228="H",$L228&amp;"건",IF($M228="C","사이트",IF($M228="I",INDEX('완료 체험단'!$C$4:$C$2000,$N228),IF($M228="T",$L228&amp;"건",""))))</f>
        <v/>
      </c>
      <c r="D228" s="30" t="str">
        <f>IF($M228="C","방문일",IF($M228="I",INDEX('완료 체험단'!$D$4:$D$2000,$N228),""))</f>
        <v/>
      </c>
      <c r="E228" s="25" t="str">
        <f>IF($M228="H","제공금액 "&amp;TEXT(INDEX($U$5:$U$16,$J228),"#,##0")&amp;"원",IF($M228="C","제공금액",IF($M228="I",INDEX('완료 체험단'!$F$4:$F$2000,$N228),IF($M228="T",INDEX($U$5:$U$16,$J228),""))))</f>
        <v/>
      </c>
      <c r="F228" s="25" t="str">
        <f>IF($M228="H","결제금액 "&amp;TEXT(INDEX($V$5:$V$16,$J228),"#,##0")&amp;"원",IF($M228="C","결제금액",IF($M228="I",INDEX('완료 체험단'!$G$4:$G$2000,$N228),IF($M228="T",INDEX($V$5:$V$16,$J228),""))))</f>
        <v/>
      </c>
      <c r="G228" s="25" t="str">
        <f>IF($M228="H","실수익 "&amp;TEXT(INDEX($W$5:$W$16,$J228),"#,##0")&amp;"원",IF($M228="C","실수익",IF($M228="I",INDEX('완료 체험단'!$H$4:$H$2000,$N228),IF($M228="T",INDEX($W$5:$W$16,$J228),""))))</f>
        <v/>
      </c>
      <c r="I228" s="31">
        <f>ROWS(I$5:I228)</f>
        <v>224</v>
      </c>
      <c r="J228" t="str">
        <f t="shared" si="15"/>
        <v/>
      </c>
      <c r="K228" t="str">
        <f t="shared" si="16"/>
        <v/>
      </c>
      <c r="L228" t="str">
        <f t="shared" si="17"/>
        <v/>
      </c>
      <c r="M228" t="str">
        <f t="shared" si="18"/>
        <v/>
      </c>
      <c r="N228" t="str">
        <f>IF($M228="I",MATCH(SMALL('완료 체험단'!$K$4:$K$2000,INDEX($T$5:$T$16,$J228)+$K228-2),'완료 체험단'!$K$4:$K$2000,0),"")</f>
        <v/>
      </c>
    </row>
    <row r="229" spans="2:14">
      <c r="B229" s="23" t="str">
        <f>IF($M229="H",$J229&amp;"월",IF($M229="C","매장명",IF($M229="I",INDEX('완료 체험단'!$A$4:$A$2000,$N229),IF($M229="T","합계",""))))</f>
        <v/>
      </c>
      <c r="C229" s="29" t="str">
        <f>IF($M229="H",$L229&amp;"건",IF($M229="C","사이트",IF($M229="I",INDEX('완료 체험단'!$C$4:$C$2000,$N229),IF($M229="T",$L229&amp;"건",""))))</f>
        <v/>
      </c>
      <c r="D229" s="30" t="str">
        <f>IF($M229="C","방문일",IF($M229="I",INDEX('완료 체험단'!$D$4:$D$2000,$N229),""))</f>
        <v/>
      </c>
      <c r="E229" s="25" t="str">
        <f>IF($M229="H","제공금액 "&amp;TEXT(INDEX($U$5:$U$16,$J229),"#,##0")&amp;"원",IF($M229="C","제공금액",IF($M229="I",INDEX('완료 체험단'!$F$4:$F$2000,$N229),IF($M229="T",INDEX($U$5:$U$16,$J229),""))))</f>
        <v/>
      </c>
      <c r="F229" s="25" t="str">
        <f>IF($M229="H","결제금액 "&amp;TEXT(INDEX($V$5:$V$16,$J229),"#,##0")&amp;"원",IF($M229="C","결제금액",IF($M229="I",INDEX('완료 체험단'!$G$4:$G$2000,$N229),IF($M229="T",INDEX($V$5:$V$16,$J229),""))))</f>
        <v/>
      </c>
      <c r="G229" s="25" t="str">
        <f>IF($M229="H","실수익 "&amp;TEXT(INDEX($W$5:$W$16,$J229),"#,##0")&amp;"원",IF($M229="C","실수익",IF($M229="I",INDEX('완료 체험단'!$H$4:$H$2000,$N229),IF($M229="T",INDEX($W$5:$W$16,$J229),""))))</f>
        <v/>
      </c>
      <c r="I229" s="31">
        <f>ROWS(I$5:I229)</f>
        <v>225</v>
      </c>
      <c r="J229" t="str">
        <f t="shared" si="15"/>
        <v/>
      </c>
      <c r="K229" t="str">
        <f t="shared" si="16"/>
        <v/>
      </c>
      <c r="L229" t="str">
        <f t="shared" si="17"/>
        <v/>
      </c>
      <c r="M229" t="str">
        <f t="shared" si="18"/>
        <v/>
      </c>
      <c r="N229" t="str">
        <f>IF($M229="I",MATCH(SMALL('완료 체험단'!$K$4:$K$2000,INDEX($T$5:$T$16,$J229)+$K229-2),'완료 체험단'!$K$4:$K$2000,0),"")</f>
        <v/>
      </c>
    </row>
    <row r="230" spans="2:14">
      <c r="B230" s="23" t="str">
        <f>IF($M230="H",$J230&amp;"월",IF($M230="C","매장명",IF($M230="I",INDEX('완료 체험단'!$A$4:$A$2000,$N230),IF($M230="T","합계",""))))</f>
        <v/>
      </c>
      <c r="C230" s="29" t="str">
        <f>IF($M230="H",$L230&amp;"건",IF($M230="C","사이트",IF($M230="I",INDEX('완료 체험단'!$C$4:$C$2000,$N230),IF($M230="T",$L230&amp;"건",""))))</f>
        <v/>
      </c>
      <c r="D230" s="30" t="str">
        <f>IF($M230="C","방문일",IF($M230="I",INDEX('완료 체험단'!$D$4:$D$2000,$N230),""))</f>
        <v/>
      </c>
      <c r="E230" s="25" t="str">
        <f>IF($M230="H","제공금액 "&amp;TEXT(INDEX($U$5:$U$16,$J230),"#,##0")&amp;"원",IF($M230="C","제공금액",IF($M230="I",INDEX('완료 체험단'!$F$4:$F$2000,$N230),IF($M230="T",INDEX($U$5:$U$16,$J230),""))))</f>
        <v/>
      </c>
      <c r="F230" s="25" t="str">
        <f>IF($M230="H","결제금액 "&amp;TEXT(INDEX($V$5:$V$16,$J230),"#,##0")&amp;"원",IF($M230="C","결제금액",IF($M230="I",INDEX('완료 체험단'!$G$4:$G$2000,$N230),IF($M230="T",INDEX($V$5:$V$16,$J230),""))))</f>
        <v/>
      </c>
      <c r="G230" s="25" t="str">
        <f>IF($M230="H","실수익 "&amp;TEXT(INDEX($W$5:$W$16,$J230),"#,##0")&amp;"원",IF($M230="C","실수익",IF($M230="I",INDEX('완료 체험단'!$H$4:$H$2000,$N230),IF($M230="T",INDEX($W$5:$W$16,$J230),""))))</f>
        <v/>
      </c>
      <c r="I230" s="31">
        <f>ROWS(I$5:I230)</f>
        <v>226</v>
      </c>
      <c r="J230" t="str">
        <f t="shared" si="15"/>
        <v/>
      </c>
      <c r="K230" t="str">
        <f t="shared" si="16"/>
        <v/>
      </c>
      <c r="L230" t="str">
        <f t="shared" si="17"/>
        <v/>
      </c>
      <c r="M230" t="str">
        <f t="shared" si="18"/>
        <v/>
      </c>
      <c r="N230" t="str">
        <f>IF($M230="I",MATCH(SMALL('완료 체험단'!$K$4:$K$2000,INDEX($T$5:$T$16,$J230)+$K230-2),'완료 체험단'!$K$4:$K$2000,0),"")</f>
        <v/>
      </c>
    </row>
    <row r="231" spans="2:14">
      <c r="B231" s="23" t="str">
        <f>IF($M231="H",$J231&amp;"월",IF($M231="C","매장명",IF($M231="I",INDEX('완료 체험단'!$A$4:$A$2000,$N231),IF($M231="T","합계",""))))</f>
        <v/>
      </c>
      <c r="C231" s="29" t="str">
        <f>IF($M231="H",$L231&amp;"건",IF($M231="C","사이트",IF($M231="I",INDEX('완료 체험단'!$C$4:$C$2000,$N231),IF($M231="T",$L231&amp;"건",""))))</f>
        <v/>
      </c>
      <c r="D231" s="30" t="str">
        <f>IF($M231="C","방문일",IF($M231="I",INDEX('완료 체험단'!$D$4:$D$2000,$N231),""))</f>
        <v/>
      </c>
      <c r="E231" s="25" t="str">
        <f>IF($M231="H","제공금액 "&amp;TEXT(INDEX($U$5:$U$16,$J231),"#,##0")&amp;"원",IF($M231="C","제공금액",IF($M231="I",INDEX('완료 체험단'!$F$4:$F$2000,$N231),IF($M231="T",INDEX($U$5:$U$16,$J231),""))))</f>
        <v/>
      </c>
      <c r="F231" s="25" t="str">
        <f>IF($M231="H","결제금액 "&amp;TEXT(INDEX($V$5:$V$16,$J231),"#,##0")&amp;"원",IF($M231="C","결제금액",IF($M231="I",INDEX('완료 체험단'!$G$4:$G$2000,$N231),IF($M231="T",INDEX($V$5:$V$16,$J231),""))))</f>
        <v/>
      </c>
      <c r="G231" s="25" t="str">
        <f>IF($M231="H","실수익 "&amp;TEXT(INDEX($W$5:$W$16,$J231),"#,##0")&amp;"원",IF($M231="C","실수익",IF($M231="I",INDEX('완료 체험단'!$H$4:$H$2000,$N231),IF($M231="T",INDEX($W$5:$W$16,$J231),""))))</f>
        <v/>
      </c>
      <c r="I231" s="31">
        <f>ROWS(I$5:I231)</f>
        <v>227</v>
      </c>
      <c r="J231" t="str">
        <f t="shared" si="15"/>
        <v/>
      </c>
      <c r="K231" t="str">
        <f t="shared" si="16"/>
        <v/>
      </c>
      <c r="L231" t="str">
        <f t="shared" si="17"/>
        <v/>
      </c>
      <c r="M231" t="str">
        <f t="shared" si="18"/>
        <v/>
      </c>
      <c r="N231" t="str">
        <f>IF($M231="I",MATCH(SMALL('완료 체험단'!$K$4:$K$2000,INDEX($T$5:$T$16,$J231)+$K231-2),'완료 체험단'!$K$4:$K$2000,0),"")</f>
        <v/>
      </c>
    </row>
    <row r="232" spans="2:14">
      <c r="B232" s="23" t="str">
        <f>IF($M232="H",$J232&amp;"월",IF($M232="C","매장명",IF($M232="I",INDEX('완료 체험단'!$A$4:$A$2000,$N232),IF($M232="T","합계",""))))</f>
        <v/>
      </c>
      <c r="C232" s="29" t="str">
        <f>IF($M232="H",$L232&amp;"건",IF($M232="C","사이트",IF($M232="I",INDEX('완료 체험단'!$C$4:$C$2000,$N232),IF($M232="T",$L232&amp;"건",""))))</f>
        <v/>
      </c>
      <c r="D232" s="30" t="str">
        <f>IF($M232="C","방문일",IF($M232="I",INDEX('완료 체험단'!$D$4:$D$2000,$N232),""))</f>
        <v/>
      </c>
      <c r="E232" s="25" t="str">
        <f>IF($M232="H","제공금액 "&amp;TEXT(INDEX($U$5:$U$16,$J232),"#,##0")&amp;"원",IF($M232="C","제공금액",IF($M232="I",INDEX('완료 체험단'!$F$4:$F$2000,$N232),IF($M232="T",INDEX($U$5:$U$16,$J232),""))))</f>
        <v/>
      </c>
      <c r="F232" s="25" t="str">
        <f>IF($M232="H","결제금액 "&amp;TEXT(INDEX($V$5:$V$16,$J232),"#,##0")&amp;"원",IF($M232="C","결제금액",IF($M232="I",INDEX('완료 체험단'!$G$4:$G$2000,$N232),IF($M232="T",INDEX($V$5:$V$16,$J232),""))))</f>
        <v/>
      </c>
      <c r="G232" s="25" t="str">
        <f>IF($M232="H","실수익 "&amp;TEXT(INDEX($W$5:$W$16,$J232),"#,##0")&amp;"원",IF($M232="C","실수익",IF($M232="I",INDEX('완료 체험단'!$H$4:$H$2000,$N232),IF($M232="T",INDEX($W$5:$W$16,$J232),""))))</f>
        <v/>
      </c>
      <c r="I232" s="31">
        <f>ROWS(I$5:I232)</f>
        <v>228</v>
      </c>
      <c r="J232" t="str">
        <f t="shared" si="15"/>
        <v/>
      </c>
      <c r="K232" t="str">
        <f t="shared" si="16"/>
        <v/>
      </c>
      <c r="L232" t="str">
        <f t="shared" si="17"/>
        <v/>
      </c>
      <c r="M232" t="str">
        <f t="shared" si="18"/>
        <v/>
      </c>
      <c r="N232" t="str">
        <f>IF($M232="I",MATCH(SMALL('완료 체험단'!$K$4:$K$2000,INDEX($T$5:$T$16,$J232)+$K232-2),'완료 체험단'!$K$4:$K$2000,0),"")</f>
        <v/>
      </c>
    </row>
    <row r="233" spans="2:14">
      <c r="B233" s="23" t="str">
        <f>IF($M233="H",$J233&amp;"월",IF($M233="C","매장명",IF($M233="I",INDEX('완료 체험단'!$A$4:$A$2000,$N233),IF($M233="T","합계",""))))</f>
        <v/>
      </c>
      <c r="C233" s="29" t="str">
        <f>IF($M233="H",$L233&amp;"건",IF($M233="C","사이트",IF($M233="I",INDEX('완료 체험단'!$C$4:$C$2000,$N233),IF($M233="T",$L233&amp;"건",""))))</f>
        <v/>
      </c>
      <c r="D233" s="30" t="str">
        <f>IF($M233="C","방문일",IF($M233="I",INDEX('완료 체험단'!$D$4:$D$2000,$N233),""))</f>
        <v/>
      </c>
      <c r="E233" s="25" t="str">
        <f>IF($M233="H","제공금액 "&amp;TEXT(INDEX($U$5:$U$16,$J233),"#,##0")&amp;"원",IF($M233="C","제공금액",IF($M233="I",INDEX('완료 체험단'!$F$4:$F$2000,$N233),IF($M233="T",INDEX($U$5:$U$16,$J233),""))))</f>
        <v/>
      </c>
      <c r="F233" s="25" t="str">
        <f>IF($M233="H","결제금액 "&amp;TEXT(INDEX($V$5:$V$16,$J233),"#,##0")&amp;"원",IF($M233="C","결제금액",IF($M233="I",INDEX('완료 체험단'!$G$4:$G$2000,$N233),IF($M233="T",INDEX($V$5:$V$16,$J233),""))))</f>
        <v/>
      </c>
      <c r="G233" s="25" t="str">
        <f>IF($M233="H","실수익 "&amp;TEXT(INDEX($W$5:$W$16,$J233),"#,##0")&amp;"원",IF($M233="C","실수익",IF($M233="I",INDEX('완료 체험단'!$H$4:$H$2000,$N233),IF($M233="T",INDEX($W$5:$W$16,$J233),""))))</f>
        <v/>
      </c>
      <c r="I233" s="31">
        <f>ROWS(I$5:I233)</f>
        <v>229</v>
      </c>
      <c r="J233" t="str">
        <f t="shared" si="15"/>
        <v/>
      </c>
      <c r="K233" t="str">
        <f t="shared" si="16"/>
        <v/>
      </c>
      <c r="L233" t="str">
        <f t="shared" si="17"/>
        <v/>
      </c>
      <c r="M233" t="str">
        <f t="shared" si="18"/>
        <v/>
      </c>
      <c r="N233" t="str">
        <f>IF($M233="I",MATCH(SMALL('완료 체험단'!$K$4:$K$2000,INDEX($T$5:$T$16,$J233)+$K233-2),'완료 체험단'!$K$4:$K$2000,0),"")</f>
        <v/>
      </c>
    </row>
    <row r="234" spans="2:14">
      <c r="B234" s="23" t="str">
        <f>IF($M234="H",$J234&amp;"월",IF($M234="C","매장명",IF($M234="I",INDEX('완료 체험단'!$A$4:$A$2000,$N234),IF($M234="T","합계",""))))</f>
        <v/>
      </c>
      <c r="C234" s="29" t="str">
        <f>IF($M234="H",$L234&amp;"건",IF($M234="C","사이트",IF($M234="I",INDEX('완료 체험단'!$C$4:$C$2000,$N234),IF($M234="T",$L234&amp;"건",""))))</f>
        <v/>
      </c>
      <c r="D234" s="30" t="str">
        <f>IF($M234="C","방문일",IF($M234="I",INDEX('완료 체험단'!$D$4:$D$2000,$N234),""))</f>
        <v/>
      </c>
      <c r="E234" s="25" t="str">
        <f>IF($M234="H","제공금액 "&amp;TEXT(INDEX($U$5:$U$16,$J234),"#,##0")&amp;"원",IF($M234="C","제공금액",IF($M234="I",INDEX('완료 체험단'!$F$4:$F$2000,$N234),IF($M234="T",INDEX($U$5:$U$16,$J234),""))))</f>
        <v/>
      </c>
      <c r="F234" s="25" t="str">
        <f>IF($M234="H","결제금액 "&amp;TEXT(INDEX($V$5:$V$16,$J234),"#,##0")&amp;"원",IF($M234="C","결제금액",IF($M234="I",INDEX('완료 체험단'!$G$4:$G$2000,$N234),IF($M234="T",INDEX($V$5:$V$16,$J234),""))))</f>
        <v/>
      </c>
      <c r="G234" s="25" t="str">
        <f>IF($M234="H","실수익 "&amp;TEXT(INDEX($W$5:$W$16,$J234),"#,##0")&amp;"원",IF($M234="C","실수익",IF($M234="I",INDEX('완료 체험단'!$H$4:$H$2000,$N234),IF($M234="T",INDEX($W$5:$W$16,$J234),""))))</f>
        <v/>
      </c>
      <c r="I234" s="31">
        <f>ROWS(I$5:I234)</f>
        <v>230</v>
      </c>
      <c r="J234" t="str">
        <f t="shared" si="15"/>
        <v/>
      </c>
      <c r="K234" t="str">
        <f t="shared" si="16"/>
        <v/>
      </c>
      <c r="L234" t="str">
        <f t="shared" si="17"/>
        <v/>
      </c>
      <c r="M234" t="str">
        <f t="shared" si="18"/>
        <v/>
      </c>
      <c r="N234" t="str">
        <f>IF($M234="I",MATCH(SMALL('완료 체험단'!$K$4:$K$2000,INDEX($T$5:$T$16,$J234)+$K234-2),'완료 체험단'!$K$4:$K$2000,0),"")</f>
        <v/>
      </c>
    </row>
    <row r="235" spans="2:14">
      <c r="B235" s="23" t="str">
        <f>IF($M235="H",$J235&amp;"월",IF($M235="C","매장명",IF($M235="I",INDEX('완료 체험단'!$A$4:$A$2000,$N235),IF($M235="T","합계",""))))</f>
        <v/>
      </c>
      <c r="C235" s="29" t="str">
        <f>IF($M235="H",$L235&amp;"건",IF($M235="C","사이트",IF($M235="I",INDEX('완료 체험단'!$C$4:$C$2000,$N235),IF($M235="T",$L235&amp;"건",""))))</f>
        <v/>
      </c>
      <c r="D235" s="30" t="str">
        <f>IF($M235="C","방문일",IF($M235="I",INDEX('완료 체험단'!$D$4:$D$2000,$N235),""))</f>
        <v/>
      </c>
      <c r="E235" s="25" t="str">
        <f>IF($M235="H","제공금액 "&amp;TEXT(INDEX($U$5:$U$16,$J235),"#,##0")&amp;"원",IF($M235="C","제공금액",IF($M235="I",INDEX('완료 체험단'!$F$4:$F$2000,$N235),IF($M235="T",INDEX($U$5:$U$16,$J235),""))))</f>
        <v/>
      </c>
      <c r="F235" s="25" t="str">
        <f>IF($M235="H","결제금액 "&amp;TEXT(INDEX($V$5:$V$16,$J235),"#,##0")&amp;"원",IF($M235="C","결제금액",IF($M235="I",INDEX('완료 체험단'!$G$4:$G$2000,$N235),IF($M235="T",INDEX($V$5:$V$16,$J235),""))))</f>
        <v/>
      </c>
      <c r="G235" s="25" t="str">
        <f>IF($M235="H","실수익 "&amp;TEXT(INDEX($W$5:$W$16,$J235),"#,##0")&amp;"원",IF($M235="C","실수익",IF($M235="I",INDEX('완료 체험단'!$H$4:$H$2000,$N235),IF($M235="T",INDEX($W$5:$W$16,$J235),""))))</f>
        <v/>
      </c>
      <c r="I235" s="31">
        <f>ROWS(I$5:I235)</f>
        <v>231</v>
      </c>
      <c r="J235" t="str">
        <f t="shared" si="15"/>
        <v/>
      </c>
      <c r="K235" t="str">
        <f t="shared" si="16"/>
        <v/>
      </c>
      <c r="L235" t="str">
        <f t="shared" si="17"/>
        <v/>
      </c>
      <c r="M235" t="str">
        <f t="shared" si="18"/>
        <v/>
      </c>
      <c r="N235" t="str">
        <f>IF($M235="I",MATCH(SMALL('완료 체험단'!$K$4:$K$2000,INDEX($T$5:$T$16,$J235)+$K235-2),'완료 체험단'!$K$4:$K$2000,0),"")</f>
        <v/>
      </c>
    </row>
    <row r="236" spans="2:14">
      <c r="B236" s="23" t="str">
        <f>IF($M236="H",$J236&amp;"월",IF($M236="C","매장명",IF($M236="I",INDEX('완료 체험단'!$A$4:$A$2000,$N236),IF($M236="T","합계",""))))</f>
        <v/>
      </c>
      <c r="C236" s="29" t="str">
        <f>IF($M236="H",$L236&amp;"건",IF($M236="C","사이트",IF($M236="I",INDEX('완료 체험단'!$C$4:$C$2000,$N236),IF($M236="T",$L236&amp;"건",""))))</f>
        <v/>
      </c>
      <c r="D236" s="30" t="str">
        <f>IF($M236="C","방문일",IF($M236="I",INDEX('완료 체험단'!$D$4:$D$2000,$N236),""))</f>
        <v/>
      </c>
      <c r="E236" s="25" t="str">
        <f>IF($M236="H","제공금액 "&amp;TEXT(INDEX($U$5:$U$16,$J236),"#,##0")&amp;"원",IF($M236="C","제공금액",IF($M236="I",INDEX('완료 체험단'!$F$4:$F$2000,$N236),IF($M236="T",INDEX($U$5:$U$16,$J236),""))))</f>
        <v/>
      </c>
      <c r="F236" s="25" t="str">
        <f>IF($M236="H","결제금액 "&amp;TEXT(INDEX($V$5:$V$16,$J236),"#,##0")&amp;"원",IF($M236="C","결제금액",IF($M236="I",INDEX('완료 체험단'!$G$4:$G$2000,$N236),IF($M236="T",INDEX($V$5:$V$16,$J236),""))))</f>
        <v/>
      </c>
      <c r="G236" s="25" t="str">
        <f>IF($M236="H","실수익 "&amp;TEXT(INDEX($W$5:$W$16,$J236),"#,##0")&amp;"원",IF($M236="C","실수익",IF($M236="I",INDEX('완료 체험단'!$H$4:$H$2000,$N236),IF($M236="T",INDEX($W$5:$W$16,$J236),""))))</f>
        <v/>
      </c>
      <c r="I236" s="31">
        <f>ROWS(I$5:I236)</f>
        <v>232</v>
      </c>
      <c r="J236" t="str">
        <f t="shared" si="15"/>
        <v/>
      </c>
      <c r="K236" t="str">
        <f t="shared" si="16"/>
        <v/>
      </c>
      <c r="L236" t="str">
        <f t="shared" si="17"/>
        <v/>
      </c>
      <c r="M236" t="str">
        <f t="shared" si="18"/>
        <v/>
      </c>
      <c r="N236" t="str">
        <f>IF($M236="I",MATCH(SMALL('완료 체험단'!$K$4:$K$2000,INDEX($T$5:$T$16,$J236)+$K236-2),'완료 체험단'!$K$4:$K$2000,0),"")</f>
        <v/>
      </c>
    </row>
    <row r="237" spans="2:14">
      <c r="B237" s="23" t="str">
        <f>IF($M237="H",$J237&amp;"월",IF($M237="C","매장명",IF($M237="I",INDEX('완료 체험단'!$A$4:$A$2000,$N237),IF($M237="T","합계",""))))</f>
        <v/>
      </c>
      <c r="C237" s="29" t="str">
        <f>IF($M237="H",$L237&amp;"건",IF($M237="C","사이트",IF($M237="I",INDEX('완료 체험단'!$C$4:$C$2000,$N237),IF($M237="T",$L237&amp;"건",""))))</f>
        <v/>
      </c>
      <c r="D237" s="30" t="str">
        <f>IF($M237="C","방문일",IF($M237="I",INDEX('완료 체험단'!$D$4:$D$2000,$N237),""))</f>
        <v/>
      </c>
      <c r="E237" s="25" t="str">
        <f>IF($M237="H","제공금액 "&amp;TEXT(INDEX($U$5:$U$16,$J237),"#,##0")&amp;"원",IF($M237="C","제공금액",IF($M237="I",INDEX('완료 체험단'!$F$4:$F$2000,$N237),IF($M237="T",INDEX($U$5:$U$16,$J237),""))))</f>
        <v/>
      </c>
      <c r="F237" s="25" t="str">
        <f>IF($M237="H","결제금액 "&amp;TEXT(INDEX($V$5:$V$16,$J237),"#,##0")&amp;"원",IF($M237="C","결제금액",IF($M237="I",INDEX('완료 체험단'!$G$4:$G$2000,$N237),IF($M237="T",INDEX($V$5:$V$16,$J237),""))))</f>
        <v/>
      </c>
      <c r="G237" s="25" t="str">
        <f>IF($M237="H","실수익 "&amp;TEXT(INDEX($W$5:$W$16,$J237),"#,##0")&amp;"원",IF($M237="C","실수익",IF($M237="I",INDEX('완료 체험단'!$H$4:$H$2000,$N237),IF($M237="T",INDEX($W$5:$W$16,$J237),""))))</f>
        <v/>
      </c>
      <c r="I237" s="31">
        <f>ROWS(I$5:I237)</f>
        <v>233</v>
      </c>
      <c r="J237" t="str">
        <f t="shared" si="15"/>
        <v/>
      </c>
      <c r="K237" t="str">
        <f t="shared" si="16"/>
        <v/>
      </c>
      <c r="L237" t="str">
        <f t="shared" si="17"/>
        <v/>
      </c>
      <c r="M237" t="str">
        <f t="shared" si="18"/>
        <v/>
      </c>
      <c r="N237" t="str">
        <f>IF($M237="I",MATCH(SMALL('완료 체험단'!$K$4:$K$2000,INDEX($T$5:$T$16,$J237)+$K237-2),'완료 체험단'!$K$4:$K$2000,0),"")</f>
        <v/>
      </c>
    </row>
    <row r="238" spans="2:14">
      <c r="B238" s="23" t="str">
        <f>IF($M238="H",$J238&amp;"월",IF($M238="C","매장명",IF($M238="I",INDEX('완료 체험단'!$A$4:$A$2000,$N238),IF($M238="T","합계",""))))</f>
        <v/>
      </c>
      <c r="C238" s="29" t="str">
        <f>IF($M238="H",$L238&amp;"건",IF($M238="C","사이트",IF($M238="I",INDEX('완료 체험단'!$C$4:$C$2000,$N238),IF($M238="T",$L238&amp;"건",""))))</f>
        <v/>
      </c>
      <c r="D238" s="30" t="str">
        <f>IF($M238="C","방문일",IF($M238="I",INDEX('완료 체험단'!$D$4:$D$2000,$N238),""))</f>
        <v/>
      </c>
      <c r="E238" s="25" t="str">
        <f>IF($M238="H","제공금액 "&amp;TEXT(INDEX($U$5:$U$16,$J238),"#,##0")&amp;"원",IF($M238="C","제공금액",IF($M238="I",INDEX('완료 체험단'!$F$4:$F$2000,$N238),IF($M238="T",INDEX($U$5:$U$16,$J238),""))))</f>
        <v/>
      </c>
      <c r="F238" s="25" t="str">
        <f>IF($M238="H","결제금액 "&amp;TEXT(INDEX($V$5:$V$16,$J238),"#,##0")&amp;"원",IF($M238="C","결제금액",IF($M238="I",INDEX('완료 체험단'!$G$4:$G$2000,$N238),IF($M238="T",INDEX($V$5:$V$16,$J238),""))))</f>
        <v/>
      </c>
      <c r="G238" s="25" t="str">
        <f>IF($M238="H","실수익 "&amp;TEXT(INDEX($W$5:$W$16,$J238),"#,##0")&amp;"원",IF($M238="C","실수익",IF($M238="I",INDEX('완료 체험단'!$H$4:$H$2000,$N238),IF($M238="T",INDEX($W$5:$W$16,$J238),""))))</f>
        <v/>
      </c>
      <c r="I238" s="31">
        <f>ROWS(I$5:I238)</f>
        <v>234</v>
      </c>
      <c r="J238" t="str">
        <f t="shared" si="15"/>
        <v/>
      </c>
      <c r="K238" t="str">
        <f t="shared" si="16"/>
        <v/>
      </c>
      <c r="L238" t="str">
        <f t="shared" si="17"/>
        <v/>
      </c>
      <c r="M238" t="str">
        <f t="shared" si="18"/>
        <v/>
      </c>
      <c r="N238" t="str">
        <f>IF($M238="I",MATCH(SMALL('완료 체험단'!$K$4:$K$2000,INDEX($T$5:$T$16,$J238)+$K238-2),'완료 체험단'!$K$4:$K$2000,0),"")</f>
        <v/>
      </c>
    </row>
    <row r="239" spans="2:14">
      <c r="B239" s="23" t="str">
        <f>IF($M239="H",$J239&amp;"월",IF($M239="C","매장명",IF($M239="I",INDEX('완료 체험단'!$A$4:$A$2000,$N239),IF($M239="T","합계",""))))</f>
        <v/>
      </c>
      <c r="C239" s="29" t="str">
        <f>IF($M239="H",$L239&amp;"건",IF($M239="C","사이트",IF($M239="I",INDEX('완료 체험단'!$C$4:$C$2000,$N239),IF($M239="T",$L239&amp;"건",""))))</f>
        <v/>
      </c>
      <c r="D239" s="30" t="str">
        <f>IF($M239="C","방문일",IF($M239="I",INDEX('완료 체험단'!$D$4:$D$2000,$N239),""))</f>
        <v/>
      </c>
      <c r="E239" s="25" t="str">
        <f>IF($M239="H","제공금액 "&amp;TEXT(INDEX($U$5:$U$16,$J239),"#,##0")&amp;"원",IF($M239="C","제공금액",IF($M239="I",INDEX('완료 체험단'!$F$4:$F$2000,$N239),IF($M239="T",INDEX($U$5:$U$16,$J239),""))))</f>
        <v/>
      </c>
      <c r="F239" s="25" t="str">
        <f>IF($M239="H","결제금액 "&amp;TEXT(INDEX($V$5:$V$16,$J239),"#,##0")&amp;"원",IF($M239="C","결제금액",IF($M239="I",INDEX('완료 체험단'!$G$4:$G$2000,$N239),IF($M239="T",INDEX($V$5:$V$16,$J239),""))))</f>
        <v/>
      </c>
      <c r="G239" s="25" t="str">
        <f>IF($M239="H","실수익 "&amp;TEXT(INDEX($W$5:$W$16,$J239),"#,##0")&amp;"원",IF($M239="C","실수익",IF($M239="I",INDEX('완료 체험단'!$H$4:$H$2000,$N239),IF($M239="T",INDEX($W$5:$W$16,$J239),""))))</f>
        <v/>
      </c>
      <c r="I239" s="31">
        <f>ROWS(I$5:I239)</f>
        <v>235</v>
      </c>
      <c r="J239" t="str">
        <f t="shared" si="15"/>
        <v/>
      </c>
      <c r="K239" t="str">
        <f t="shared" si="16"/>
        <v/>
      </c>
      <c r="L239" t="str">
        <f t="shared" si="17"/>
        <v/>
      </c>
      <c r="M239" t="str">
        <f t="shared" si="18"/>
        <v/>
      </c>
      <c r="N239" t="str">
        <f>IF($M239="I",MATCH(SMALL('완료 체험단'!$K$4:$K$2000,INDEX($T$5:$T$16,$J239)+$K239-2),'완료 체험단'!$K$4:$K$2000,0),"")</f>
        <v/>
      </c>
    </row>
    <row r="240" spans="2:14">
      <c r="B240" s="23" t="str">
        <f>IF($M240="H",$J240&amp;"월",IF($M240="C","매장명",IF($M240="I",INDEX('완료 체험단'!$A$4:$A$2000,$N240),IF($M240="T","합계",""))))</f>
        <v/>
      </c>
      <c r="C240" s="29" t="str">
        <f>IF($M240="H",$L240&amp;"건",IF($M240="C","사이트",IF($M240="I",INDEX('완료 체험단'!$C$4:$C$2000,$N240),IF($M240="T",$L240&amp;"건",""))))</f>
        <v/>
      </c>
      <c r="D240" s="30" t="str">
        <f>IF($M240="C","방문일",IF($M240="I",INDEX('완료 체험단'!$D$4:$D$2000,$N240),""))</f>
        <v/>
      </c>
      <c r="E240" s="25" t="str">
        <f>IF($M240="H","제공금액 "&amp;TEXT(INDEX($U$5:$U$16,$J240),"#,##0")&amp;"원",IF($M240="C","제공금액",IF($M240="I",INDEX('완료 체험단'!$F$4:$F$2000,$N240),IF($M240="T",INDEX($U$5:$U$16,$J240),""))))</f>
        <v/>
      </c>
      <c r="F240" s="25" t="str">
        <f>IF($M240="H","결제금액 "&amp;TEXT(INDEX($V$5:$V$16,$J240),"#,##0")&amp;"원",IF($M240="C","결제금액",IF($M240="I",INDEX('완료 체험단'!$G$4:$G$2000,$N240),IF($M240="T",INDEX($V$5:$V$16,$J240),""))))</f>
        <v/>
      </c>
      <c r="G240" s="25" t="str">
        <f>IF($M240="H","실수익 "&amp;TEXT(INDEX($W$5:$W$16,$J240),"#,##0")&amp;"원",IF($M240="C","실수익",IF($M240="I",INDEX('완료 체험단'!$H$4:$H$2000,$N240),IF($M240="T",INDEX($W$5:$W$16,$J240),""))))</f>
        <v/>
      </c>
      <c r="I240" s="31">
        <f>ROWS(I$5:I240)</f>
        <v>236</v>
      </c>
      <c r="J240" t="str">
        <f t="shared" si="15"/>
        <v/>
      </c>
      <c r="K240" t="str">
        <f t="shared" si="16"/>
        <v/>
      </c>
      <c r="L240" t="str">
        <f t="shared" si="17"/>
        <v/>
      </c>
      <c r="M240" t="str">
        <f t="shared" si="18"/>
        <v/>
      </c>
      <c r="N240" t="str">
        <f>IF($M240="I",MATCH(SMALL('완료 체험단'!$K$4:$K$2000,INDEX($T$5:$T$16,$J240)+$K240-2),'완료 체험단'!$K$4:$K$2000,0),"")</f>
        <v/>
      </c>
    </row>
    <row r="241" spans="2:14">
      <c r="B241" s="23" t="str">
        <f>IF($M241="H",$J241&amp;"월",IF($M241="C","매장명",IF($M241="I",INDEX('완료 체험단'!$A$4:$A$2000,$N241),IF($M241="T","합계",""))))</f>
        <v/>
      </c>
      <c r="C241" s="29" t="str">
        <f>IF($M241="H",$L241&amp;"건",IF($M241="C","사이트",IF($M241="I",INDEX('완료 체험단'!$C$4:$C$2000,$N241),IF($M241="T",$L241&amp;"건",""))))</f>
        <v/>
      </c>
      <c r="D241" s="30" t="str">
        <f>IF($M241="C","방문일",IF($M241="I",INDEX('완료 체험단'!$D$4:$D$2000,$N241),""))</f>
        <v/>
      </c>
      <c r="E241" s="25" t="str">
        <f>IF($M241="H","제공금액 "&amp;TEXT(INDEX($U$5:$U$16,$J241),"#,##0")&amp;"원",IF($M241="C","제공금액",IF($M241="I",INDEX('완료 체험단'!$F$4:$F$2000,$N241),IF($M241="T",INDEX($U$5:$U$16,$J241),""))))</f>
        <v/>
      </c>
      <c r="F241" s="25" t="str">
        <f>IF($M241="H","결제금액 "&amp;TEXT(INDEX($V$5:$V$16,$J241),"#,##0")&amp;"원",IF($M241="C","결제금액",IF($M241="I",INDEX('완료 체험단'!$G$4:$G$2000,$N241),IF($M241="T",INDEX($V$5:$V$16,$J241),""))))</f>
        <v/>
      </c>
      <c r="G241" s="25" t="str">
        <f>IF($M241="H","실수익 "&amp;TEXT(INDEX($W$5:$W$16,$J241),"#,##0")&amp;"원",IF($M241="C","실수익",IF($M241="I",INDEX('완료 체험단'!$H$4:$H$2000,$N241),IF($M241="T",INDEX($W$5:$W$16,$J241),""))))</f>
        <v/>
      </c>
      <c r="I241" s="31">
        <f>ROWS(I$5:I241)</f>
        <v>237</v>
      </c>
      <c r="J241" t="str">
        <f t="shared" si="15"/>
        <v/>
      </c>
      <c r="K241" t="str">
        <f t="shared" si="16"/>
        <v/>
      </c>
      <c r="L241" t="str">
        <f t="shared" si="17"/>
        <v/>
      </c>
      <c r="M241" t="str">
        <f t="shared" si="18"/>
        <v/>
      </c>
      <c r="N241" t="str">
        <f>IF($M241="I",MATCH(SMALL('완료 체험단'!$K$4:$K$2000,INDEX($T$5:$T$16,$J241)+$K241-2),'완료 체험단'!$K$4:$K$2000,0),"")</f>
        <v/>
      </c>
    </row>
    <row r="242" spans="2:14">
      <c r="B242" s="23" t="str">
        <f>IF($M242="H",$J242&amp;"월",IF($M242="C","매장명",IF($M242="I",INDEX('완료 체험단'!$A$4:$A$2000,$N242),IF($M242="T","합계",""))))</f>
        <v/>
      </c>
      <c r="C242" s="29" t="str">
        <f>IF($M242="H",$L242&amp;"건",IF($M242="C","사이트",IF($M242="I",INDEX('완료 체험단'!$C$4:$C$2000,$N242),IF($M242="T",$L242&amp;"건",""))))</f>
        <v/>
      </c>
      <c r="D242" s="30" t="str">
        <f>IF($M242="C","방문일",IF($M242="I",INDEX('완료 체험단'!$D$4:$D$2000,$N242),""))</f>
        <v/>
      </c>
      <c r="E242" s="25" t="str">
        <f>IF($M242="H","제공금액 "&amp;TEXT(INDEX($U$5:$U$16,$J242),"#,##0")&amp;"원",IF($M242="C","제공금액",IF($M242="I",INDEX('완료 체험단'!$F$4:$F$2000,$N242),IF($M242="T",INDEX($U$5:$U$16,$J242),""))))</f>
        <v/>
      </c>
      <c r="F242" s="25" t="str">
        <f>IF($M242="H","결제금액 "&amp;TEXT(INDEX($V$5:$V$16,$J242),"#,##0")&amp;"원",IF($M242="C","결제금액",IF($M242="I",INDEX('완료 체험단'!$G$4:$G$2000,$N242),IF($M242="T",INDEX($V$5:$V$16,$J242),""))))</f>
        <v/>
      </c>
      <c r="G242" s="25" t="str">
        <f>IF($M242="H","실수익 "&amp;TEXT(INDEX($W$5:$W$16,$J242),"#,##0")&amp;"원",IF($M242="C","실수익",IF($M242="I",INDEX('완료 체험단'!$H$4:$H$2000,$N242),IF($M242="T",INDEX($W$5:$W$16,$J242),""))))</f>
        <v/>
      </c>
      <c r="I242" s="31">
        <f>ROWS(I$5:I242)</f>
        <v>238</v>
      </c>
      <c r="J242" t="str">
        <f t="shared" si="15"/>
        <v/>
      </c>
      <c r="K242" t="str">
        <f t="shared" si="16"/>
        <v/>
      </c>
      <c r="L242" t="str">
        <f t="shared" si="17"/>
        <v/>
      </c>
      <c r="M242" t="str">
        <f t="shared" si="18"/>
        <v/>
      </c>
      <c r="N242" t="str">
        <f>IF($M242="I",MATCH(SMALL('완료 체험단'!$K$4:$K$2000,INDEX($T$5:$T$16,$J242)+$K242-2),'완료 체험단'!$K$4:$K$2000,0),"")</f>
        <v/>
      </c>
    </row>
    <row r="243" spans="2:14">
      <c r="B243" s="23" t="str">
        <f>IF($M243="H",$J243&amp;"월",IF($M243="C","매장명",IF($M243="I",INDEX('완료 체험단'!$A$4:$A$2000,$N243),IF($M243="T","합계",""))))</f>
        <v/>
      </c>
      <c r="C243" s="29" t="str">
        <f>IF($M243="H",$L243&amp;"건",IF($M243="C","사이트",IF($M243="I",INDEX('완료 체험단'!$C$4:$C$2000,$N243),IF($M243="T",$L243&amp;"건",""))))</f>
        <v/>
      </c>
      <c r="D243" s="30" t="str">
        <f>IF($M243="C","방문일",IF($M243="I",INDEX('완료 체험단'!$D$4:$D$2000,$N243),""))</f>
        <v/>
      </c>
      <c r="E243" s="25" t="str">
        <f>IF($M243="H","제공금액 "&amp;TEXT(INDEX($U$5:$U$16,$J243),"#,##0")&amp;"원",IF($M243="C","제공금액",IF($M243="I",INDEX('완료 체험단'!$F$4:$F$2000,$N243),IF($M243="T",INDEX($U$5:$U$16,$J243),""))))</f>
        <v/>
      </c>
      <c r="F243" s="25" t="str">
        <f>IF($M243="H","결제금액 "&amp;TEXT(INDEX($V$5:$V$16,$J243),"#,##0")&amp;"원",IF($M243="C","결제금액",IF($M243="I",INDEX('완료 체험단'!$G$4:$G$2000,$N243),IF($M243="T",INDEX($V$5:$V$16,$J243),""))))</f>
        <v/>
      </c>
      <c r="G243" s="25" t="str">
        <f>IF($M243="H","실수익 "&amp;TEXT(INDEX($W$5:$W$16,$J243),"#,##0")&amp;"원",IF($M243="C","실수익",IF($M243="I",INDEX('완료 체험단'!$H$4:$H$2000,$N243),IF($M243="T",INDEX($W$5:$W$16,$J243),""))))</f>
        <v/>
      </c>
      <c r="I243" s="31">
        <f>ROWS(I$5:I243)</f>
        <v>239</v>
      </c>
      <c r="J243" t="str">
        <f t="shared" si="15"/>
        <v/>
      </c>
      <c r="K243" t="str">
        <f t="shared" si="16"/>
        <v/>
      </c>
      <c r="L243" t="str">
        <f t="shared" si="17"/>
        <v/>
      </c>
      <c r="M243" t="str">
        <f t="shared" si="18"/>
        <v/>
      </c>
      <c r="N243" t="str">
        <f>IF($M243="I",MATCH(SMALL('완료 체험단'!$K$4:$K$2000,INDEX($T$5:$T$16,$J243)+$K243-2),'완료 체험단'!$K$4:$K$2000,0),"")</f>
        <v/>
      </c>
    </row>
    <row r="244" spans="2:14">
      <c r="B244" s="23" t="str">
        <f>IF($M244="H",$J244&amp;"월",IF($M244="C","매장명",IF($M244="I",INDEX('완료 체험단'!$A$4:$A$2000,$N244),IF($M244="T","합계",""))))</f>
        <v/>
      </c>
      <c r="C244" s="29" t="str">
        <f>IF($M244="H",$L244&amp;"건",IF($M244="C","사이트",IF($M244="I",INDEX('완료 체험단'!$C$4:$C$2000,$N244),IF($M244="T",$L244&amp;"건",""))))</f>
        <v/>
      </c>
      <c r="D244" s="30" t="str">
        <f>IF($M244="C","방문일",IF($M244="I",INDEX('완료 체험단'!$D$4:$D$2000,$N244),""))</f>
        <v/>
      </c>
      <c r="E244" s="25" t="str">
        <f>IF($M244="H","제공금액 "&amp;TEXT(INDEX($U$5:$U$16,$J244),"#,##0")&amp;"원",IF($M244="C","제공금액",IF($M244="I",INDEX('완료 체험단'!$F$4:$F$2000,$N244),IF($M244="T",INDEX($U$5:$U$16,$J244),""))))</f>
        <v/>
      </c>
      <c r="F244" s="25" t="str">
        <f>IF($M244="H","결제금액 "&amp;TEXT(INDEX($V$5:$V$16,$J244),"#,##0")&amp;"원",IF($M244="C","결제금액",IF($M244="I",INDEX('완료 체험단'!$G$4:$G$2000,$N244),IF($M244="T",INDEX($V$5:$V$16,$J244),""))))</f>
        <v/>
      </c>
      <c r="G244" s="25" t="str">
        <f>IF($M244="H","실수익 "&amp;TEXT(INDEX($W$5:$W$16,$J244),"#,##0")&amp;"원",IF($M244="C","실수익",IF($M244="I",INDEX('완료 체험단'!$H$4:$H$2000,$N244),IF($M244="T",INDEX($W$5:$W$16,$J244),""))))</f>
        <v/>
      </c>
      <c r="I244" s="31">
        <f>ROWS(I$5:I244)</f>
        <v>240</v>
      </c>
      <c r="J244" t="str">
        <f t="shared" si="15"/>
        <v/>
      </c>
      <c r="K244" t="str">
        <f t="shared" si="16"/>
        <v/>
      </c>
      <c r="L244" t="str">
        <f t="shared" si="17"/>
        <v/>
      </c>
      <c r="M244" t="str">
        <f t="shared" si="18"/>
        <v/>
      </c>
      <c r="N244" t="str">
        <f>IF($M244="I",MATCH(SMALL('완료 체험단'!$K$4:$K$2000,INDEX($T$5:$T$16,$J244)+$K244-2),'완료 체험단'!$K$4:$K$2000,0),"")</f>
        <v/>
      </c>
    </row>
    <row r="245" spans="2:14">
      <c r="B245" s="23" t="str">
        <f>IF($M245="H",$J245&amp;"월",IF($M245="C","매장명",IF($M245="I",INDEX('완료 체험단'!$A$4:$A$2000,$N245),IF($M245="T","합계",""))))</f>
        <v/>
      </c>
      <c r="C245" s="29" t="str">
        <f>IF($M245="H",$L245&amp;"건",IF($M245="C","사이트",IF($M245="I",INDEX('완료 체험단'!$C$4:$C$2000,$N245),IF($M245="T",$L245&amp;"건",""))))</f>
        <v/>
      </c>
      <c r="D245" s="30" t="str">
        <f>IF($M245="C","방문일",IF($M245="I",INDEX('완료 체험단'!$D$4:$D$2000,$N245),""))</f>
        <v/>
      </c>
      <c r="E245" s="25" t="str">
        <f>IF($M245="H","제공금액 "&amp;TEXT(INDEX($U$5:$U$16,$J245),"#,##0")&amp;"원",IF($M245="C","제공금액",IF($M245="I",INDEX('완료 체험단'!$F$4:$F$2000,$N245),IF($M245="T",INDEX($U$5:$U$16,$J245),""))))</f>
        <v/>
      </c>
      <c r="F245" s="25" t="str">
        <f>IF($M245="H","결제금액 "&amp;TEXT(INDEX($V$5:$V$16,$J245),"#,##0")&amp;"원",IF($M245="C","결제금액",IF($M245="I",INDEX('완료 체험단'!$G$4:$G$2000,$N245),IF($M245="T",INDEX($V$5:$V$16,$J245),""))))</f>
        <v/>
      </c>
      <c r="G245" s="25" t="str">
        <f>IF($M245="H","실수익 "&amp;TEXT(INDEX($W$5:$W$16,$J245),"#,##0")&amp;"원",IF($M245="C","실수익",IF($M245="I",INDEX('완료 체험단'!$H$4:$H$2000,$N245),IF($M245="T",INDEX($W$5:$W$16,$J245),""))))</f>
        <v/>
      </c>
      <c r="I245" s="31">
        <f>ROWS(I$5:I245)</f>
        <v>241</v>
      </c>
      <c r="J245" t="str">
        <f t="shared" si="15"/>
        <v/>
      </c>
      <c r="K245" t="str">
        <f t="shared" si="16"/>
        <v/>
      </c>
      <c r="L245" t="str">
        <f t="shared" si="17"/>
        <v/>
      </c>
      <c r="M245" t="str">
        <f t="shared" si="18"/>
        <v/>
      </c>
      <c r="N245" t="str">
        <f>IF($M245="I",MATCH(SMALL('완료 체험단'!$K$4:$K$2000,INDEX($T$5:$T$16,$J245)+$K245-2),'완료 체험단'!$K$4:$K$2000,0),"")</f>
        <v/>
      </c>
    </row>
    <row r="246" spans="2:14">
      <c r="B246" s="23" t="str">
        <f>IF($M246="H",$J246&amp;"월",IF($M246="C","매장명",IF($M246="I",INDEX('완료 체험단'!$A$4:$A$2000,$N246),IF($M246="T","합계",""))))</f>
        <v/>
      </c>
      <c r="C246" s="29" t="str">
        <f>IF($M246="H",$L246&amp;"건",IF($M246="C","사이트",IF($M246="I",INDEX('완료 체험단'!$C$4:$C$2000,$N246),IF($M246="T",$L246&amp;"건",""))))</f>
        <v/>
      </c>
      <c r="D246" s="30" t="str">
        <f>IF($M246="C","방문일",IF($M246="I",INDEX('완료 체험단'!$D$4:$D$2000,$N246),""))</f>
        <v/>
      </c>
      <c r="E246" s="25" t="str">
        <f>IF($M246="H","제공금액 "&amp;TEXT(INDEX($U$5:$U$16,$J246),"#,##0")&amp;"원",IF($M246="C","제공금액",IF($M246="I",INDEX('완료 체험단'!$F$4:$F$2000,$N246),IF($M246="T",INDEX($U$5:$U$16,$J246),""))))</f>
        <v/>
      </c>
      <c r="F246" s="25" t="str">
        <f>IF($M246="H","결제금액 "&amp;TEXT(INDEX($V$5:$V$16,$J246),"#,##0")&amp;"원",IF($M246="C","결제금액",IF($M246="I",INDEX('완료 체험단'!$G$4:$G$2000,$N246),IF($M246="T",INDEX($V$5:$V$16,$J246),""))))</f>
        <v/>
      </c>
      <c r="G246" s="25" t="str">
        <f>IF($M246="H","실수익 "&amp;TEXT(INDEX($W$5:$W$16,$J246),"#,##0")&amp;"원",IF($M246="C","실수익",IF($M246="I",INDEX('완료 체험단'!$H$4:$H$2000,$N246),IF($M246="T",INDEX($W$5:$W$16,$J246),""))))</f>
        <v/>
      </c>
      <c r="I246" s="31">
        <f>ROWS(I$5:I246)</f>
        <v>242</v>
      </c>
      <c r="J246" t="str">
        <f t="shared" si="15"/>
        <v/>
      </c>
      <c r="K246" t="str">
        <f t="shared" si="16"/>
        <v/>
      </c>
      <c r="L246" t="str">
        <f t="shared" si="17"/>
        <v/>
      </c>
      <c r="M246" t="str">
        <f t="shared" si="18"/>
        <v/>
      </c>
      <c r="N246" t="str">
        <f>IF($M246="I",MATCH(SMALL('완료 체험단'!$K$4:$K$2000,INDEX($T$5:$T$16,$J246)+$K246-2),'완료 체험단'!$K$4:$K$2000,0),"")</f>
        <v/>
      </c>
    </row>
    <row r="247" spans="2:14">
      <c r="B247" s="23" t="str">
        <f>IF($M247="H",$J247&amp;"월",IF($M247="C","매장명",IF($M247="I",INDEX('완료 체험단'!$A$4:$A$2000,$N247),IF($M247="T","합계",""))))</f>
        <v/>
      </c>
      <c r="C247" s="29" t="str">
        <f>IF($M247="H",$L247&amp;"건",IF($M247="C","사이트",IF($M247="I",INDEX('완료 체험단'!$C$4:$C$2000,$N247),IF($M247="T",$L247&amp;"건",""))))</f>
        <v/>
      </c>
      <c r="D247" s="30" t="str">
        <f>IF($M247="C","방문일",IF($M247="I",INDEX('완료 체험단'!$D$4:$D$2000,$N247),""))</f>
        <v/>
      </c>
      <c r="E247" s="25" t="str">
        <f>IF($M247="H","제공금액 "&amp;TEXT(INDEX($U$5:$U$16,$J247),"#,##0")&amp;"원",IF($M247="C","제공금액",IF($M247="I",INDEX('완료 체험단'!$F$4:$F$2000,$N247),IF($M247="T",INDEX($U$5:$U$16,$J247),""))))</f>
        <v/>
      </c>
      <c r="F247" s="25" t="str">
        <f>IF($M247="H","결제금액 "&amp;TEXT(INDEX($V$5:$V$16,$J247),"#,##0")&amp;"원",IF($M247="C","결제금액",IF($M247="I",INDEX('완료 체험단'!$G$4:$G$2000,$N247),IF($M247="T",INDEX($V$5:$V$16,$J247),""))))</f>
        <v/>
      </c>
      <c r="G247" s="25" t="str">
        <f>IF($M247="H","실수익 "&amp;TEXT(INDEX($W$5:$W$16,$J247),"#,##0")&amp;"원",IF($M247="C","실수익",IF($M247="I",INDEX('완료 체험단'!$H$4:$H$2000,$N247),IF($M247="T",INDEX($W$5:$W$16,$J247),""))))</f>
        <v/>
      </c>
      <c r="I247" s="31">
        <f>ROWS(I$5:I247)</f>
        <v>243</v>
      </c>
      <c r="J247" t="str">
        <f t="shared" si="15"/>
        <v/>
      </c>
      <c r="K247" t="str">
        <f t="shared" si="16"/>
        <v/>
      </c>
      <c r="L247" t="str">
        <f t="shared" si="17"/>
        <v/>
      </c>
      <c r="M247" t="str">
        <f t="shared" si="18"/>
        <v/>
      </c>
      <c r="N247" t="str">
        <f>IF($M247="I",MATCH(SMALL('완료 체험단'!$K$4:$K$2000,INDEX($T$5:$T$16,$J247)+$K247-2),'완료 체험단'!$K$4:$K$2000,0),"")</f>
        <v/>
      </c>
    </row>
    <row r="248" spans="2:14">
      <c r="B248" s="23" t="str">
        <f>IF($M248="H",$J248&amp;"월",IF($M248="C","매장명",IF($M248="I",INDEX('완료 체험단'!$A$4:$A$2000,$N248),IF($M248="T","합계",""))))</f>
        <v/>
      </c>
      <c r="C248" s="29" t="str">
        <f>IF($M248="H",$L248&amp;"건",IF($M248="C","사이트",IF($M248="I",INDEX('완료 체험단'!$C$4:$C$2000,$N248),IF($M248="T",$L248&amp;"건",""))))</f>
        <v/>
      </c>
      <c r="D248" s="30" t="str">
        <f>IF($M248="C","방문일",IF($M248="I",INDEX('완료 체험단'!$D$4:$D$2000,$N248),""))</f>
        <v/>
      </c>
      <c r="E248" s="25" t="str">
        <f>IF($M248="H","제공금액 "&amp;TEXT(INDEX($U$5:$U$16,$J248),"#,##0")&amp;"원",IF($M248="C","제공금액",IF($M248="I",INDEX('완료 체험단'!$F$4:$F$2000,$N248),IF($M248="T",INDEX($U$5:$U$16,$J248),""))))</f>
        <v/>
      </c>
      <c r="F248" s="25" t="str">
        <f>IF($M248="H","결제금액 "&amp;TEXT(INDEX($V$5:$V$16,$J248),"#,##0")&amp;"원",IF($M248="C","결제금액",IF($M248="I",INDEX('완료 체험단'!$G$4:$G$2000,$N248),IF($M248="T",INDEX($V$5:$V$16,$J248),""))))</f>
        <v/>
      </c>
      <c r="G248" s="25" t="str">
        <f>IF($M248="H","실수익 "&amp;TEXT(INDEX($W$5:$W$16,$J248),"#,##0")&amp;"원",IF($M248="C","실수익",IF($M248="I",INDEX('완료 체험단'!$H$4:$H$2000,$N248),IF($M248="T",INDEX($W$5:$W$16,$J248),""))))</f>
        <v/>
      </c>
      <c r="I248" s="31">
        <f>ROWS(I$5:I248)</f>
        <v>244</v>
      </c>
      <c r="J248" t="str">
        <f t="shared" si="15"/>
        <v/>
      </c>
      <c r="K248" t="str">
        <f t="shared" si="16"/>
        <v/>
      </c>
      <c r="L248" t="str">
        <f t="shared" si="17"/>
        <v/>
      </c>
      <c r="M248" t="str">
        <f t="shared" si="18"/>
        <v/>
      </c>
      <c r="N248" t="str">
        <f>IF($M248="I",MATCH(SMALL('완료 체험단'!$K$4:$K$2000,INDEX($T$5:$T$16,$J248)+$K248-2),'완료 체험단'!$K$4:$K$2000,0),"")</f>
        <v/>
      </c>
    </row>
    <row r="249" spans="2:14">
      <c r="B249" s="23" t="str">
        <f>IF($M249="H",$J249&amp;"월",IF($M249="C","매장명",IF($M249="I",INDEX('완료 체험단'!$A$4:$A$2000,$N249),IF($M249="T","합계",""))))</f>
        <v/>
      </c>
      <c r="C249" s="29" t="str">
        <f>IF($M249="H",$L249&amp;"건",IF($M249="C","사이트",IF($M249="I",INDEX('완료 체험단'!$C$4:$C$2000,$N249),IF($M249="T",$L249&amp;"건",""))))</f>
        <v/>
      </c>
      <c r="D249" s="30" t="str">
        <f>IF($M249="C","방문일",IF($M249="I",INDEX('완료 체험단'!$D$4:$D$2000,$N249),""))</f>
        <v/>
      </c>
      <c r="E249" s="25" t="str">
        <f>IF($M249="H","제공금액 "&amp;TEXT(INDEX($U$5:$U$16,$J249),"#,##0")&amp;"원",IF($M249="C","제공금액",IF($M249="I",INDEX('완료 체험단'!$F$4:$F$2000,$N249),IF($M249="T",INDEX($U$5:$U$16,$J249),""))))</f>
        <v/>
      </c>
      <c r="F249" s="25" t="str">
        <f>IF($M249="H","결제금액 "&amp;TEXT(INDEX($V$5:$V$16,$J249),"#,##0")&amp;"원",IF($M249="C","결제금액",IF($M249="I",INDEX('완료 체험단'!$G$4:$G$2000,$N249),IF($M249="T",INDEX($V$5:$V$16,$J249),""))))</f>
        <v/>
      </c>
      <c r="G249" s="25" t="str">
        <f>IF($M249="H","실수익 "&amp;TEXT(INDEX($W$5:$W$16,$J249),"#,##0")&amp;"원",IF($M249="C","실수익",IF($M249="I",INDEX('완료 체험단'!$H$4:$H$2000,$N249),IF($M249="T",INDEX($W$5:$W$16,$J249),""))))</f>
        <v/>
      </c>
      <c r="I249" s="31">
        <f>ROWS(I$5:I249)</f>
        <v>245</v>
      </c>
      <c r="J249" t="str">
        <f t="shared" si="15"/>
        <v/>
      </c>
      <c r="K249" t="str">
        <f t="shared" si="16"/>
        <v/>
      </c>
      <c r="L249" t="str">
        <f t="shared" si="17"/>
        <v/>
      </c>
      <c r="M249" t="str">
        <f t="shared" si="18"/>
        <v/>
      </c>
      <c r="N249" t="str">
        <f>IF($M249="I",MATCH(SMALL('완료 체험단'!$K$4:$K$2000,INDEX($T$5:$T$16,$J249)+$K249-2),'완료 체험단'!$K$4:$K$2000,0),"")</f>
        <v/>
      </c>
    </row>
    <row r="250" spans="2:14">
      <c r="B250" s="23" t="str">
        <f>IF($M250="H",$J250&amp;"월",IF($M250="C","매장명",IF($M250="I",INDEX('완료 체험단'!$A$4:$A$2000,$N250),IF($M250="T","합계",""))))</f>
        <v/>
      </c>
      <c r="C250" s="29" t="str">
        <f>IF($M250="H",$L250&amp;"건",IF($M250="C","사이트",IF($M250="I",INDEX('완료 체험단'!$C$4:$C$2000,$N250),IF($M250="T",$L250&amp;"건",""))))</f>
        <v/>
      </c>
      <c r="D250" s="30" t="str">
        <f>IF($M250="C","방문일",IF($M250="I",INDEX('완료 체험단'!$D$4:$D$2000,$N250),""))</f>
        <v/>
      </c>
      <c r="E250" s="25" t="str">
        <f>IF($M250="H","제공금액 "&amp;TEXT(INDEX($U$5:$U$16,$J250),"#,##0")&amp;"원",IF($M250="C","제공금액",IF($M250="I",INDEX('완료 체험단'!$F$4:$F$2000,$N250),IF($M250="T",INDEX($U$5:$U$16,$J250),""))))</f>
        <v/>
      </c>
      <c r="F250" s="25" t="str">
        <f>IF($M250="H","결제금액 "&amp;TEXT(INDEX($V$5:$V$16,$J250),"#,##0")&amp;"원",IF($M250="C","결제금액",IF($M250="I",INDEX('완료 체험단'!$G$4:$G$2000,$N250),IF($M250="T",INDEX($V$5:$V$16,$J250),""))))</f>
        <v/>
      </c>
      <c r="G250" s="25" t="str">
        <f>IF($M250="H","실수익 "&amp;TEXT(INDEX($W$5:$W$16,$J250),"#,##0")&amp;"원",IF($M250="C","실수익",IF($M250="I",INDEX('완료 체험단'!$H$4:$H$2000,$N250),IF($M250="T",INDEX($W$5:$W$16,$J250),""))))</f>
        <v/>
      </c>
      <c r="I250" s="31">
        <f>ROWS(I$5:I250)</f>
        <v>246</v>
      </c>
      <c r="J250" t="str">
        <f t="shared" si="15"/>
        <v/>
      </c>
      <c r="K250" t="str">
        <f t="shared" si="16"/>
        <v/>
      </c>
      <c r="L250" t="str">
        <f t="shared" si="17"/>
        <v/>
      </c>
      <c r="M250" t="str">
        <f t="shared" si="18"/>
        <v/>
      </c>
      <c r="N250" t="str">
        <f>IF($M250="I",MATCH(SMALL('완료 체험단'!$K$4:$K$2000,INDEX($T$5:$T$16,$J250)+$K250-2),'완료 체험단'!$K$4:$K$2000,0),"")</f>
        <v/>
      </c>
    </row>
    <row r="251" spans="2:14">
      <c r="B251" s="23" t="str">
        <f>IF($M251="H",$J251&amp;"월",IF($M251="C","매장명",IF($M251="I",INDEX('완료 체험단'!$A$4:$A$2000,$N251),IF($M251="T","합계",""))))</f>
        <v/>
      </c>
      <c r="C251" s="29" t="str">
        <f>IF($M251="H",$L251&amp;"건",IF($M251="C","사이트",IF($M251="I",INDEX('완료 체험단'!$C$4:$C$2000,$N251),IF($M251="T",$L251&amp;"건",""))))</f>
        <v/>
      </c>
      <c r="D251" s="30" t="str">
        <f>IF($M251="C","방문일",IF($M251="I",INDEX('완료 체험단'!$D$4:$D$2000,$N251),""))</f>
        <v/>
      </c>
      <c r="E251" s="25" t="str">
        <f>IF($M251="H","제공금액 "&amp;TEXT(INDEX($U$5:$U$16,$J251),"#,##0")&amp;"원",IF($M251="C","제공금액",IF($M251="I",INDEX('완료 체험단'!$F$4:$F$2000,$N251),IF($M251="T",INDEX($U$5:$U$16,$J251),""))))</f>
        <v/>
      </c>
      <c r="F251" s="25" t="str">
        <f>IF($M251="H","결제금액 "&amp;TEXT(INDEX($V$5:$V$16,$J251),"#,##0")&amp;"원",IF($M251="C","결제금액",IF($M251="I",INDEX('완료 체험단'!$G$4:$G$2000,$N251),IF($M251="T",INDEX($V$5:$V$16,$J251),""))))</f>
        <v/>
      </c>
      <c r="G251" s="25" t="str">
        <f>IF($M251="H","실수익 "&amp;TEXT(INDEX($W$5:$W$16,$J251),"#,##0")&amp;"원",IF($M251="C","실수익",IF($M251="I",INDEX('완료 체험단'!$H$4:$H$2000,$N251),IF($M251="T",INDEX($W$5:$W$16,$J251),""))))</f>
        <v/>
      </c>
      <c r="I251" s="31">
        <f>ROWS(I$5:I251)</f>
        <v>247</v>
      </c>
      <c r="J251" t="str">
        <f t="shared" si="15"/>
        <v/>
      </c>
      <c r="K251" t="str">
        <f t="shared" si="16"/>
        <v/>
      </c>
      <c r="L251" t="str">
        <f t="shared" si="17"/>
        <v/>
      </c>
      <c r="M251" t="str">
        <f t="shared" si="18"/>
        <v/>
      </c>
      <c r="N251" t="str">
        <f>IF($M251="I",MATCH(SMALL('완료 체험단'!$K$4:$K$2000,INDEX($T$5:$T$16,$J251)+$K251-2),'완료 체험단'!$K$4:$K$2000,0),"")</f>
        <v/>
      </c>
    </row>
    <row r="252" spans="2:14">
      <c r="B252" s="23" t="str">
        <f>IF($M252="H",$J252&amp;"월",IF($M252="C","매장명",IF($M252="I",INDEX('완료 체험단'!$A$4:$A$2000,$N252),IF($M252="T","합계",""))))</f>
        <v/>
      </c>
      <c r="C252" s="29" t="str">
        <f>IF($M252="H",$L252&amp;"건",IF($M252="C","사이트",IF($M252="I",INDEX('완료 체험단'!$C$4:$C$2000,$N252),IF($M252="T",$L252&amp;"건",""))))</f>
        <v/>
      </c>
      <c r="D252" s="30" t="str">
        <f>IF($M252="C","방문일",IF($M252="I",INDEX('완료 체험단'!$D$4:$D$2000,$N252),""))</f>
        <v/>
      </c>
      <c r="E252" s="25" t="str">
        <f>IF($M252="H","제공금액 "&amp;TEXT(INDEX($U$5:$U$16,$J252),"#,##0")&amp;"원",IF($M252="C","제공금액",IF($M252="I",INDEX('완료 체험단'!$F$4:$F$2000,$N252),IF($M252="T",INDEX($U$5:$U$16,$J252),""))))</f>
        <v/>
      </c>
      <c r="F252" s="25" t="str">
        <f>IF($M252="H","결제금액 "&amp;TEXT(INDEX($V$5:$V$16,$J252),"#,##0")&amp;"원",IF($M252="C","결제금액",IF($M252="I",INDEX('완료 체험단'!$G$4:$G$2000,$N252),IF($M252="T",INDEX($V$5:$V$16,$J252),""))))</f>
        <v/>
      </c>
      <c r="G252" s="25" t="str">
        <f>IF($M252="H","실수익 "&amp;TEXT(INDEX($W$5:$W$16,$J252),"#,##0")&amp;"원",IF($M252="C","실수익",IF($M252="I",INDEX('완료 체험단'!$H$4:$H$2000,$N252),IF($M252="T",INDEX($W$5:$W$16,$J252),""))))</f>
        <v/>
      </c>
      <c r="I252" s="31">
        <f>ROWS(I$5:I252)</f>
        <v>248</v>
      </c>
      <c r="J252" t="str">
        <f t="shared" si="15"/>
        <v/>
      </c>
      <c r="K252" t="str">
        <f t="shared" si="16"/>
        <v/>
      </c>
      <c r="L252" t="str">
        <f t="shared" si="17"/>
        <v/>
      </c>
      <c r="M252" t="str">
        <f t="shared" si="18"/>
        <v/>
      </c>
      <c r="N252" t="str">
        <f>IF($M252="I",MATCH(SMALL('완료 체험단'!$K$4:$K$2000,INDEX($T$5:$T$16,$J252)+$K252-2),'완료 체험단'!$K$4:$K$2000,0),"")</f>
        <v/>
      </c>
    </row>
    <row r="253" spans="2:14">
      <c r="B253" s="23" t="str">
        <f>IF($M253="H",$J253&amp;"월",IF($M253="C","매장명",IF($M253="I",INDEX('완료 체험단'!$A$4:$A$2000,$N253),IF($M253="T","합계",""))))</f>
        <v/>
      </c>
      <c r="C253" s="29" t="str">
        <f>IF($M253="H",$L253&amp;"건",IF($M253="C","사이트",IF($M253="I",INDEX('완료 체험단'!$C$4:$C$2000,$N253),IF($M253="T",$L253&amp;"건",""))))</f>
        <v/>
      </c>
      <c r="D253" s="30" t="str">
        <f>IF($M253="C","방문일",IF($M253="I",INDEX('완료 체험단'!$D$4:$D$2000,$N253),""))</f>
        <v/>
      </c>
      <c r="E253" s="25" t="str">
        <f>IF($M253="H","제공금액 "&amp;TEXT(INDEX($U$5:$U$16,$J253),"#,##0")&amp;"원",IF($M253="C","제공금액",IF($M253="I",INDEX('완료 체험단'!$F$4:$F$2000,$N253),IF($M253="T",INDEX($U$5:$U$16,$J253),""))))</f>
        <v/>
      </c>
      <c r="F253" s="25" t="str">
        <f>IF($M253="H","결제금액 "&amp;TEXT(INDEX($V$5:$V$16,$J253),"#,##0")&amp;"원",IF($M253="C","결제금액",IF($M253="I",INDEX('완료 체험단'!$G$4:$G$2000,$N253),IF($M253="T",INDEX($V$5:$V$16,$J253),""))))</f>
        <v/>
      </c>
      <c r="G253" s="25" t="str">
        <f>IF($M253="H","실수익 "&amp;TEXT(INDEX($W$5:$W$16,$J253),"#,##0")&amp;"원",IF($M253="C","실수익",IF($M253="I",INDEX('완료 체험단'!$H$4:$H$2000,$N253),IF($M253="T",INDEX($W$5:$W$16,$J253),""))))</f>
        <v/>
      </c>
      <c r="I253" s="31">
        <f>ROWS(I$5:I253)</f>
        <v>249</v>
      </c>
      <c r="J253" t="str">
        <f t="shared" si="15"/>
        <v/>
      </c>
      <c r="K253" t="str">
        <f t="shared" si="16"/>
        <v/>
      </c>
      <c r="L253" t="str">
        <f t="shared" si="17"/>
        <v/>
      </c>
      <c r="M253" t="str">
        <f t="shared" si="18"/>
        <v/>
      </c>
      <c r="N253" t="str">
        <f>IF($M253="I",MATCH(SMALL('완료 체험단'!$K$4:$K$2000,INDEX($T$5:$T$16,$J253)+$K253-2),'완료 체험단'!$K$4:$K$2000,0),"")</f>
        <v/>
      </c>
    </row>
    <row r="254" spans="2:14">
      <c r="B254" s="23" t="str">
        <f>IF($M254="H",$J254&amp;"월",IF($M254="C","매장명",IF($M254="I",INDEX('완료 체험단'!$A$4:$A$2000,$N254),IF($M254="T","합계",""))))</f>
        <v/>
      </c>
      <c r="C254" s="29" t="str">
        <f>IF($M254="H",$L254&amp;"건",IF($M254="C","사이트",IF($M254="I",INDEX('완료 체험단'!$C$4:$C$2000,$N254),IF($M254="T",$L254&amp;"건",""))))</f>
        <v/>
      </c>
      <c r="D254" s="30" t="str">
        <f>IF($M254="C","방문일",IF($M254="I",INDEX('완료 체험단'!$D$4:$D$2000,$N254),""))</f>
        <v/>
      </c>
      <c r="E254" s="25" t="str">
        <f>IF($M254="H","제공금액 "&amp;TEXT(INDEX($U$5:$U$16,$J254),"#,##0")&amp;"원",IF($M254="C","제공금액",IF($M254="I",INDEX('완료 체험단'!$F$4:$F$2000,$N254),IF($M254="T",INDEX($U$5:$U$16,$J254),""))))</f>
        <v/>
      </c>
      <c r="F254" s="25" t="str">
        <f>IF($M254="H","결제금액 "&amp;TEXT(INDEX($V$5:$V$16,$J254),"#,##0")&amp;"원",IF($M254="C","결제금액",IF($M254="I",INDEX('완료 체험단'!$G$4:$G$2000,$N254),IF($M254="T",INDEX($V$5:$V$16,$J254),""))))</f>
        <v/>
      </c>
      <c r="G254" s="25" t="str">
        <f>IF($M254="H","실수익 "&amp;TEXT(INDEX($W$5:$W$16,$J254),"#,##0")&amp;"원",IF($M254="C","실수익",IF($M254="I",INDEX('완료 체험단'!$H$4:$H$2000,$N254),IF($M254="T",INDEX($W$5:$W$16,$J254),""))))</f>
        <v/>
      </c>
      <c r="I254" s="31">
        <f>ROWS(I$5:I254)</f>
        <v>250</v>
      </c>
      <c r="J254" t="str">
        <f t="shared" si="15"/>
        <v/>
      </c>
      <c r="K254" t="str">
        <f t="shared" si="16"/>
        <v/>
      </c>
      <c r="L254" t="str">
        <f t="shared" si="17"/>
        <v/>
      </c>
      <c r="M254" t="str">
        <f t="shared" si="18"/>
        <v/>
      </c>
      <c r="N254" t="str">
        <f>IF($M254="I",MATCH(SMALL('완료 체험단'!$K$4:$K$2000,INDEX($T$5:$T$16,$J254)+$K254-2),'완료 체험단'!$K$4:$K$2000,0),"")</f>
        <v/>
      </c>
    </row>
    <row r="255" spans="2:14">
      <c r="B255" s="23" t="str">
        <f>IF($M255="H",$J255&amp;"월",IF($M255="C","매장명",IF($M255="I",INDEX('완료 체험단'!$A$4:$A$2000,$N255),IF($M255="T","합계",""))))</f>
        <v/>
      </c>
      <c r="C255" s="29" t="str">
        <f>IF($M255="H",$L255&amp;"건",IF($M255="C","사이트",IF($M255="I",INDEX('완료 체험단'!$C$4:$C$2000,$N255),IF($M255="T",$L255&amp;"건",""))))</f>
        <v/>
      </c>
      <c r="D255" s="30" t="str">
        <f>IF($M255="C","방문일",IF($M255="I",INDEX('완료 체험단'!$D$4:$D$2000,$N255),""))</f>
        <v/>
      </c>
      <c r="E255" s="25" t="str">
        <f>IF($M255="H","제공금액 "&amp;TEXT(INDEX($U$5:$U$16,$J255),"#,##0")&amp;"원",IF($M255="C","제공금액",IF($M255="I",INDEX('완료 체험단'!$F$4:$F$2000,$N255),IF($M255="T",INDEX($U$5:$U$16,$J255),""))))</f>
        <v/>
      </c>
      <c r="F255" s="25" t="str">
        <f>IF($M255="H","결제금액 "&amp;TEXT(INDEX($V$5:$V$16,$J255),"#,##0")&amp;"원",IF($M255="C","결제금액",IF($M255="I",INDEX('완료 체험단'!$G$4:$G$2000,$N255),IF($M255="T",INDEX($V$5:$V$16,$J255),""))))</f>
        <v/>
      </c>
      <c r="G255" s="25" t="str">
        <f>IF($M255="H","실수익 "&amp;TEXT(INDEX($W$5:$W$16,$J255),"#,##0")&amp;"원",IF($M255="C","실수익",IF($M255="I",INDEX('완료 체험단'!$H$4:$H$2000,$N255),IF($M255="T",INDEX($W$5:$W$16,$J255),""))))</f>
        <v/>
      </c>
      <c r="I255" s="31">
        <f>ROWS(I$5:I255)</f>
        <v>251</v>
      </c>
      <c r="J255" t="str">
        <f t="shared" si="15"/>
        <v/>
      </c>
      <c r="K255" t="str">
        <f t="shared" si="16"/>
        <v/>
      </c>
      <c r="L255" t="str">
        <f t="shared" si="17"/>
        <v/>
      </c>
      <c r="M255" t="str">
        <f t="shared" si="18"/>
        <v/>
      </c>
      <c r="N255" t="str">
        <f>IF($M255="I",MATCH(SMALL('완료 체험단'!$K$4:$K$2000,INDEX($T$5:$T$16,$J255)+$K255-2),'완료 체험단'!$K$4:$K$2000,0),"")</f>
        <v/>
      </c>
    </row>
    <row r="256" spans="2:14">
      <c r="B256" s="23" t="str">
        <f>IF($M256="H",$J256&amp;"월",IF($M256="C","매장명",IF($M256="I",INDEX('완료 체험단'!$A$4:$A$2000,$N256),IF($M256="T","합계",""))))</f>
        <v/>
      </c>
      <c r="C256" s="29" t="str">
        <f>IF($M256="H",$L256&amp;"건",IF($M256="C","사이트",IF($M256="I",INDEX('완료 체험단'!$C$4:$C$2000,$N256),IF($M256="T",$L256&amp;"건",""))))</f>
        <v/>
      </c>
      <c r="D256" s="30" t="str">
        <f>IF($M256="C","방문일",IF($M256="I",INDEX('완료 체험단'!$D$4:$D$2000,$N256),""))</f>
        <v/>
      </c>
      <c r="E256" s="25" t="str">
        <f>IF($M256="H","제공금액 "&amp;TEXT(INDEX($U$5:$U$16,$J256),"#,##0")&amp;"원",IF($M256="C","제공금액",IF($M256="I",INDEX('완료 체험단'!$F$4:$F$2000,$N256),IF($M256="T",INDEX($U$5:$U$16,$J256),""))))</f>
        <v/>
      </c>
      <c r="F256" s="25" t="str">
        <f>IF($M256="H","결제금액 "&amp;TEXT(INDEX($V$5:$V$16,$J256),"#,##0")&amp;"원",IF($M256="C","결제금액",IF($M256="I",INDEX('완료 체험단'!$G$4:$G$2000,$N256),IF($M256="T",INDEX($V$5:$V$16,$J256),""))))</f>
        <v/>
      </c>
      <c r="G256" s="25" t="str">
        <f>IF($M256="H","실수익 "&amp;TEXT(INDEX($W$5:$W$16,$J256),"#,##0")&amp;"원",IF($M256="C","실수익",IF($M256="I",INDEX('완료 체험단'!$H$4:$H$2000,$N256),IF($M256="T",INDEX($W$5:$W$16,$J256),""))))</f>
        <v/>
      </c>
      <c r="I256" s="31">
        <f>ROWS(I$5:I256)</f>
        <v>252</v>
      </c>
      <c r="J256" t="str">
        <f t="shared" si="15"/>
        <v/>
      </c>
      <c r="K256" t="str">
        <f t="shared" si="16"/>
        <v/>
      </c>
      <c r="L256" t="str">
        <f t="shared" si="17"/>
        <v/>
      </c>
      <c r="M256" t="str">
        <f t="shared" si="18"/>
        <v/>
      </c>
      <c r="N256" t="str">
        <f>IF($M256="I",MATCH(SMALL('완료 체험단'!$K$4:$K$2000,INDEX($T$5:$T$16,$J256)+$K256-2),'완료 체험단'!$K$4:$K$2000,0),"")</f>
        <v/>
      </c>
    </row>
    <row r="257" spans="2:14">
      <c r="B257" s="23" t="str">
        <f>IF($M257="H",$J257&amp;"월",IF($M257="C","매장명",IF($M257="I",INDEX('완료 체험단'!$A$4:$A$2000,$N257),IF($M257="T","합계",""))))</f>
        <v/>
      </c>
      <c r="C257" s="29" t="str">
        <f>IF($M257="H",$L257&amp;"건",IF($M257="C","사이트",IF($M257="I",INDEX('완료 체험단'!$C$4:$C$2000,$N257),IF($M257="T",$L257&amp;"건",""))))</f>
        <v/>
      </c>
      <c r="D257" s="30" t="str">
        <f>IF($M257="C","방문일",IF($M257="I",INDEX('완료 체험단'!$D$4:$D$2000,$N257),""))</f>
        <v/>
      </c>
      <c r="E257" s="25" t="str">
        <f>IF($M257="H","제공금액 "&amp;TEXT(INDEX($U$5:$U$16,$J257),"#,##0")&amp;"원",IF($M257="C","제공금액",IF($M257="I",INDEX('완료 체험단'!$F$4:$F$2000,$N257),IF($M257="T",INDEX($U$5:$U$16,$J257),""))))</f>
        <v/>
      </c>
      <c r="F257" s="25" t="str">
        <f>IF($M257="H","결제금액 "&amp;TEXT(INDEX($V$5:$V$16,$J257),"#,##0")&amp;"원",IF($M257="C","결제금액",IF($M257="I",INDEX('완료 체험단'!$G$4:$G$2000,$N257),IF($M257="T",INDEX($V$5:$V$16,$J257),""))))</f>
        <v/>
      </c>
      <c r="G257" s="25" t="str">
        <f>IF($M257="H","실수익 "&amp;TEXT(INDEX($W$5:$W$16,$J257),"#,##0")&amp;"원",IF($M257="C","실수익",IF($M257="I",INDEX('완료 체험단'!$H$4:$H$2000,$N257),IF($M257="T",INDEX($W$5:$W$16,$J257),""))))</f>
        <v/>
      </c>
      <c r="I257" s="31">
        <f>ROWS(I$5:I257)</f>
        <v>253</v>
      </c>
      <c r="J257" t="str">
        <f t="shared" si="15"/>
        <v/>
      </c>
      <c r="K257" t="str">
        <f t="shared" si="16"/>
        <v/>
      </c>
      <c r="L257" t="str">
        <f t="shared" si="17"/>
        <v/>
      </c>
      <c r="M257" t="str">
        <f t="shared" si="18"/>
        <v/>
      </c>
      <c r="N257" t="str">
        <f>IF($M257="I",MATCH(SMALL('완료 체험단'!$K$4:$K$2000,INDEX($T$5:$T$16,$J257)+$K257-2),'완료 체험단'!$K$4:$K$2000,0),"")</f>
        <v/>
      </c>
    </row>
    <row r="258" spans="2:14">
      <c r="B258" s="23" t="str">
        <f>IF($M258="H",$J258&amp;"월",IF($M258="C","매장명",IF($M258="I",INDEX('완료 체험단'!$A$4:$A$2000,$N258),IF($M258="T","합계",""))))</f>
        <v/>
      </c>
      <c r="C258" s="29" t="str">
        <f>IF($M258="H",$L258&amp;"건",IF($M258="C","사이트",IF($M258="I",INDEX('완료 체험단'!$C$4:$C$2000,$N258),IF($M258="T",$L258&amp;"건",""))))</f>
        <v/>
      </c>
      <c r="D258" s="30" t="str">
        <f>IF($M258="C","방문일",IF($M258="I",INDEX('완료 체험단'!$D$4:$D$2000,$N258),""))</f>
        <v/>
      </c>
      <c r="E258" s="25" t="str">
        <f>IF($M258="H","제공금액 "&amp;TEXT(INDEX($U$5:$U$16,$J258),"#,##0")&amp;"원",IF($M258="C","제공금액",IF($M258="I",INDEX('완료 체험단'!$F$4:$F$2000,$N258),IF($M258="T",INDEX($U$5:$U$16,$J258),""))))</f>
        <v/>
      </c>
      <c r="F258" s="25" t="str">
        <f>IF($M258="H","결제금액 "&amp;TEXT(INDEX($V$5:$V$16,$J258),"#,##0")&amp;"원",IF($M258="C","결제금액",IF($M258="I",INDEX('완료 체험단'!$G$4:$G$2000,$N258),IF($M258="T",INDEX($V$5:$V$16,$J258),""))))</f>
        <v/>
      </c>
      <c r="G258" s="25" t="str">
        <f>IF($M258="H","실수익 "&amp;TEXT(INDEX($W$5:$W$16,$J258),"#,##0")&amp;"원",IF($M258="C","실수익",IF($M258="I",INDEX('완료 체험단'!$H$4:$H$2000,$N258),IF($M258="T",INDEX($W$5:$W$16,$J258),""))))</f>
        <v/>
      </c>
      <c r="I258" s="31">
        <f>ROWS(I$5:I258)</f>
        <v>254</v>
      </c>
      <c r="J258" t="str">
        <f t="shared" si="15"/>
        <v/>
      </c>
      <c r="K258" t="str">
        <f t="shared" si="16"/>
        <v/>
      </c>
      <c r="L258" t="str">
        <f t="shared" si="17"/>
        <v/>
      </c>
      <c r="M258" t="str">
        <f t="shared" si="18"/>
        <v/>
      </c>
      <c r="N258" t="str">
        <f>IF($M258="I",MATCH(SMALL('완료 체험단'!$K$4:$K$2000,INDEX($T$5:$T$16,$J258)+$K258-2),'완료 체험단'!$K$4:$K$2000,0),"")</f>
        <v/>
      </c>
    </row>
    <row r="259" spans="2:14">
      <c r="B259" s="23" t="str">
        <f>IF($M259="H",$J259&amp;"월",IF($M259="C","매장명",IF($M259="I",INDEX('완료 체험단'!$A$4:$A$2000,$N259),IF($M259="T","합계",""))))</f>
        <v/>
      </c>
      <c r="C259" s="29" t="str">
        <f>IF($M259="H",$L259&amp;"건",IF($M259="C","사이트",IF($M259="I",INDEX('완료 체험단'!$C$4:$C$2000,$N259),IF($M259="T",$L259&amp;"건",""))))</f>
        <v/>
      </c>
      <c r="D259" s="30" t="str">
        <f>IF($M259="C","방문일",IF($M259="I",INDEX('완료 체험단'!$D$4:$D$2000,$N259),""))</f>
        <v/>
      </c>
      <c r="E259" s="25" t="str">
        <f>IF($M259="H","제공금액 "&amp;TEXT(INDEX($U$5:$U$16,$J259),"#,##0")&amp;"원",IF($M259="C","제공금액",IF($M259="I",INDEX('완료 체험단'!$F$4:$F$2000,$N259),IF($M259="T",INDEX($U$5:$U$16,$J259),""))))</f>
        <v/>
      </c>
      <c r="F259" s="25" t="str">
        <f>IF($M259="H","결제금액 "&amp;TEXT(INDEX($V$5:$V$16,$J259),"#,##0")&amp;"원",IF($M259="C","결제금액",IF($M259="I",INDEX('완료 체험단'!$G$4:$G$2000,$N259),IF($M259="T",INDEX($V$5:$V$16,$J259),""))))</f>
        <v/>
      </c>
      <c r="G259" s="25" t="str">
        <f>IF($M259="H","실수익 "&amp;TEXT(INDEX($W$5:$W$16,$J259),"#,##0")&amp;"원",IF($M259="C","실수익",IF($M259="I",INDEX('완료 체험단'!$H$4:$H$2000,$N259),IF($M259="T",INDEX($W$5:$W$16,$J259),""))))</f>
        <v/>
      </c>
      <c r="I259" s="31">
        <f>ROWS(I$5:I259)</f>
        <v>255</v>
      </c>
      <c r="J259" t="str">
        <f t="shared" si="15"/>
        <v/>
      </c>
      <c r="K259" t="str">
        <f t="shared" si="16"/>
        <v/>
      </c>
      <c r="L259" t="str">
        <f t="shared" si="17"/>
        <v/>
      </c>
      <c r="M259" t="str">
        <f t="shared" si="18"/>
        <v/>
      </c>
      <c r="N259" t="str">
        <f>IF($M259="I",MATCH(SMALL('완료 체험단'!$K$4:$K$2000,INDEX($T$5:$T$16,$J259)+$K259-2),'완료 체험단'!$K$4:$K$2000,0),"")</f>
        <v/>
      </c>
    </row>
    <row r="260" spans="2:14">
      <c r="B260" s="23" t="str">
        <f>IF($M260="H",$J260&amp;"월",IF($M260="C","매장명",IF($M260="I",INDEX('완료 체험단'!$A$4:$A$2000,$N260),IF($M260="T","합계",""))))</f>
        <v/>
      </c>
      <c r="C260" s="29" t="str">
        <f>IF($M260="H",$L260&amp;"건",IF($M260="C","사이트",IF($M260="I",INDEX('완료 체험단'!$C$4:$C$2000,$N260),IF($M260="T",$L260&amp;"건",""))))</f>
        <v/>
      </c>
      <c r="D260" s="30" t="str">
        <f>IF($M260="C","방문일",IF($M260="I",INDEX('완료 체험단'!$D$4:$D$2000,$N260),""))</f>
        <v/>
      </c>
      <c r="E260" s="25" t="str">
        <f>IF($M260="H","제공금액 "&amp;TEXT(INDEX($U$5:$U$16,$J260),"#,##0")&amp;"원",IF($M260="C","제공금액",IF($M260="I",INDEX('완료 체험단'!$F$4:$F$2000,$N260),IF($M260="T",INDEX($U$5:$U$16,$J260),""))))</f>
        <v/>
      </c>
      <c r="F260" s="25" t="str">
        <f>IF($M260="H","결제금액 "&amp;TEXT(INDEX($V$5:$V$16,$J260),"#,##0")&amp;"원",IF($M260="C","결제금액",IF($M260="I",INDEX('완료 체험단'!$G$4:$G$2000,$N260),IF($M260="T",INDEX($V$5:$V$16,$J260),""))))</f>
        <v/>
      </c>
      <c r="G260" s="25" t="str">
        <f>IF($M260="H","실수익 "&amp;TEXT(INDEX($W$5:$W$16,$J260),"#,##0")&amp;"원",IF($M260="C","실수익",IF($M260="I",INDEX('완료 체험단'!$H$4:$H$2000,$N260),IF($M260="T",INDEX($W$5:$W$16,$J260),""))))</f>
        <v/>
      </c>
      <c r="I260" s="31">
        <f>ROWS(I$5:I260)</f>
        <v>256</v>
      </c>
      <c r="J260" t="str">
        <f t="shared" si="15"/>
        <v/>
      </c>
      <c r="K260" t="str">
        <f t="shared" si="16"/>
        <v/>
      </c>
      <c r="L260" t="str">
        <f t="shared" si="17"/>
        <v/>
      </c>
      <c r="M260" t="str">
        <f t="shared" si="18"/>
        <v/>
      </c>
      <c r="N260" t="str">
        <f>IF($M260="I",MATCH(SMALL('완료 체험단'!$K$4:$K$2000,INDEX($T$5:$T$16,$J260)+$K260-2),'완료 체험단'!$K$4:$K$2000,0),"")</f>
        <v/>
      </c>
    </row>
    <row r="261" spans="2:14">
      <c r="B261" s="23" t="str">
        <f>IF($M261="H",$J261&amp;"월",IF($M261="C","매장명",IF($M261="I",INDEX('완료 체험단'!$A$4:$A$2000,$N261),IF($M261="T","합계",""))))</f>
        <v/>
      </c>
      <c r="C261" s="29" t="str">
        <f>IF($M261="H",$L261&amp;"건",IF($M261="C","사이트",IF($M261="I",INDEX('완료 체험단'!$C$4:$C$2000,$N261),IF($M261="T",$L261&amp;"건",""))))</f>
        <v/>
      </c>
      <c r="D261" s="30" t="str">
        <f>IF($M261="C","방문일",IF($M261="I",INDEX('완료 체험단'!$D$4:$D$2000,$N261),""))</f>
        <v/>
      </c>
      <c r="E261" s="25" t="str">
        <f>IF($M261="H","제공금액 "&amp;TEXT(INDEX($U$5:$U$16,$J261),"#,##0")&amp;"원",IF($M261="C","제공금액",IF($M261="I",INDEX('완료 체험단'!$F$4:$F$2000,$N261),IF($M261="T",INDEX($U$5:$U$16,$J261),""))))</f>
        <v/>
      </c>
      <c r="F261" s="25" t="str">
        <f>IF($M261="H","결제금액 "&amp;TEXT(INDEX($V$5:$V$16,$J261),"#,##0")&amp;"원",IF($M261="C","결제금액",IF($M261="I",INDEX('완료 체험단'!$G$4:$G$2000,$N261),IF($M261="T",INDEX($V$5:$V$16,$J261),""))))</f>
        <v/>
      </c>
      <c r="G261" s="25" t="str">
        <f>IF($M261="H","실수익 "&amp;TEXT(INDEX($W$5:$W$16,$J261),"#,##0")&amp;"원",IF($M261="C","실수익",IF($M261="I",INDEX('완료 체험단'!$H$4:$H$2000,$N261),IF($M261="T",INDEX($W$5:$W$16,$J261),""))))</f>
        <v/>
      </c>
      <c r="I261" s="31">
        <f>ROWS(I$5:I261)</f>
        <v>257</v>
      </c>
      <c r="J261" t="str">
        <f t="shared" ref="J261:J324" si="19">IF($I261&gt;$S$17,"",MATCH($I261-1,$S$5:$S$16,1))</f>
        <v/>
      </c>
      <c r="K261" t="str">
        <f t="shared" ref="K261:K324" si="20">IF($J261="","",$I261-INDEX($S$5:$S$16,$J261))</f>
        <v/>
      </c>
      <c r="L261" t="str">
        <f t="shared" ref="L261:L324" si="21">IF($J261="","",INDEX($Q$5:$Q$16,$J261))</f>
        <v/>
      </c>
      <c r="M261" t="str">
        <f t="shared" ref="M261:M324" si="22">IF($J261="","",IF($K261=1,"H",IF($L261=0,"S",IF($K261=2,"C",IF($K261&lt;=$L261+2,"I",IF($K261=$L261+3,"T","S"))))))</f>
        <v/>
      </c>
      <c r="N261" t="str">
        <f>IF($M261="I",MATCH(SMALL('완료 체험단'!$K$4:$K$2000,INDEX($T$5:$T$16,$J261)+$K261-2),'완료 체험단'!$K$4:$K$2000,0),"")</f>
        <v/>
      </c>
    </row>
    <row r="262" spans="2:14">
      <c r="B262" s="23" t="str">
        <f>IF($M262="H",$J262&amp;"월",IF($M262="C","매장명",IF($M262="I",INDEX('완료 체험단'!$A$4:$A$2000,$N262),IF($M262="T","합계",""))))</f>
        <v/>
      </c>
      <c r="C262" s="29" t="str">
        <f>IF($M262="H",$L262&amp;"건",IF($M262="C","사이트",IF($M262="I",INDEX('완료 체험단'!$C$4:$C$2000,$N262),IF($M262="T",$L262&amp;"건",""))))</f>
        <v/>
      </c>
      <c r="D262" s="30" t="str">
        <f>IF($M262="C","방문일",IF($M262="I",INDEX('완료 체험단'!$D$4:$D$2000,$N262),""))</f>
        <v/>
      </c>
      <c r="E262" s="25" t="str">
        <f>IF($M262="H","제공금액 "&amp;TEXT(INDEX($U$5:$U$16,$J262),"#,##0")&amp;"원",IF($M262="C","제공금액",IF($M262="I",INDEX('완료 체험단'!$F$4:$F$2000,$N262),IF($M262="T",INDEX($U$5:$U$16,$J262),""))))</f>
        <v/>
      </c>
      <c r="F262" s="25" t="str">
        <f>IF($M262="H","결제금액 "&amp;TEXT(INDEX($V$5:$V$16,$J262),"#,##0")&amp;"원",IF($M262="C","결제금액",IF($M262="I",INDEX('완료 체험단'!$G$4:$G$2000,$N262),IF($M262="T",INDEX($V$5:$V$16,$J262),""))))</f>
        <v/>
      </c>
      <c r="G262" s="25" t="str">
        <f>IF($M262="H","실수익 "&amp;TEXT(INDEX($W$5:$W$16,$J262),"#,##0")&amp;"원",IF($M262="C","실수익",IF($M262="I",INDEX('완료 체험단'!$H$4:$H$2000,$N262),IF($M262="T",INDEX($W$5:$W$16,$J262),""))))</f>
        <v/>
      </c>
      <c r="I262" s="31">
        <f>ROWS(I$5:I262)</f>
        <v>258</v>
      </c>
      <c r="J262" t="str">
        <f t="shared" si="19"/>
        <v/>
      </c>
      <c r="K262" t="str">
        <f t="shared" si="20"/>
        <v/>
      </c>
      <c r="L262" t="str">
        <f t="shared" si="21"/>
        <v/>
      </c>
      <c r="M262" t="str">
        <f t="shared" si="22"/>
        <v/>
      </c>
      <c r="N262" t="str">
        <f>IF($M262="I",MATCH(SMALL('완료 체험단'!$K$4:$K$2000,INDEX($T$5:$T$16,$J262)+$K262-2),'완료 체험단'!$K$4:$K$2000,0),"")</f>
        <v/>
      </c>
    </row>
    <row r="263" spans="2:14">
      <c r="B263" s="23" t="str">
        <f>IF($M263="H",$J263&amp;"월",IF($M263="C","매장명",IF($M263="I",INDEX('완료 체험단'!$A$4:$A$2000,$N263),IF($M263="T","합계",""))))</f>
        <v/>
      </c>
      <c r="C263" s="29" t="str">
        <f>IF($M263="H",$L263&amp;"건",IF($M263="C","사이트",IF($M263="I",INDEX('완료 체험단'!$C$4:$C$2000,$N263),IF($M263="T",$L263&amp;"건",""))))</f>
        <v/>
      </c>
      <c r="D263" s="30" t="str">
        <f>IF($M263="C","방문일",IF($M263="I",INDEX('완료 체험단'!$D$4:$D$2000,$N263),""))</f>
        <v/>
      </c>
      <c r="E263" s="25" t="str">
        <f>IF($M263="H","제공금액 "&amp;TEXT(INDEX($U$5:$U$16,$J263),"#,##0")&amp;"원",IF($M263="C","제공금액",IF($M263="I",INDEX('완료 체험단'!$F$4:$F$2000,$N263),IF($M263="T",INDEX($U$5:$U$16,$J263),""))))</f>
        <v/>
      </c>
      <c r="F263" s="25" t="str">
        <f>IF($M263="H","결제금액 "&amp;TEXT(INDEX($V$5:$V$16,$J263),"#,##0")&amp;"원",IF($M263="C","결제금액",IF($M263="I",INDEX('완료 체험단'!$G$4:$G$2000,$N263),IF($M263="T",INDEX($V$5:$V$16,$J263),""))))</f>
        <v/>
      </c>
      <c r="G263" s="25" t="str">
        <f>IF($M263="H","실수익 "&amp;TEXT(INDEX($W$5:$W$16,$J263),"#,##0")&amp;"원",IF($M263="C","실수익",IF($M263="I",INDEX('완료 체험단'!$H$4:$H$2000,$N263),IF($M263="T",INDEX($W$5:$W$16,$J263),""))))</f>
        <v/>
      </c>
      <c r="I263" s="31">
        <f>ROWS(I$5:I263)</f>
        <v>259</v>
      </c>
      <c r="J263" t="str">
        <f t="shared" si="19"/>
        <v/>
      </c>
      <c r="K263" t="str">
        <f t="shared" si="20"/>
        <v/>
      </c>
      <c r="L263" t="str">
        <f t="shared" si="21"/>
        <v/>
      </c>
      <c r="M263" t="str">
        <f t="shared" si="22"/>
        <v/>
      </c>
      <c r="N263" t="str">
        <f>IF($M263="I",MATCH(SMALL('완료 체험단'!$K$4:$K$2000,INDEX($T$5:$T$16,$J263)+$K263-2),'완료 체험단'!$K$4:$K$2000,0),"")</f>
        <v/>
      </c>
    </row>
    <row r="264" spans="2:14">
      <c r="B264" s="23" t="str">
        <f>IF($M264="H",$J264&amp;"월",IF($M264="C","매장명",IF($M264="I",INDEX('완료 체험단'!$A$4:$A$2000,$N264),IF($M264="T","합계",""))))</f>
        <v/>
      </c>
      <c r="C264" s="29" t="str">
        <f>IF($M264="H",$L264&amp;"건",IF($M264="C","사이트",IF($M264="I",INDEX('완료 체험단'!$C$4:$C$2000,$N264),IF($M264="T",$L264&amp;"건",""))))</f>
        <v/>
      </c>
      <c r="D264" s="30" t="str">
        <f>IF($M264="C","방문일",IF($M264="I",INDEX('완료 체험단'!$D$4:$D$2000,$N264),""))</f>
        <v/>
      </c>
      <c r="E264" s="25" t="str">
        <f>IF($M264="H","제공금액 "&amp;TEXT(INDEX($U$5:$U$16,$J264),"#,##0")&amp;"원",IF($M264="C","제공금액",IF($M264="I",INDEX('완료 체험단'!$F$4:$F$2000,$N264),IF($M264="T",INDEX($U$5:$U$16,$J264),""))))</f>
        <v/>
      </c>
      <c r="F264" s="25" t="str">
        <f>IF($M264="H","결제금액 "&amp;TEXT(INDEX($V$5:$V$16,$J264),"#,##0")&amp;"원",IF($M264="C","결제금액",IF($M264="I",INDEX('완료 체험단'!$G$4:$G$2000,$N264),IF($M264="T",INDEX($V$5:$V$16,$J264),""))))</f>
        <v/>
      </c>
      <c r="G264" s="25" t="str">
        <f>IF($M264="H","실수익 "&amp;TEXT(INDEX($W$5:$W$16,$J264),"#,##0")&amp;"원",IF($M264="C","실수익",IF($M264="I",INDEX('완료 체험단'!$H$4:$H$2000,$N264),IF($M264="T",INDEX($W$5:$W$16,$J264),""))))</f>
        <v/>
      </c>
      <c r="I264" s="31">
        <f>ROWS(I$5:I264)</f>
        <v>260</v>
      </c>
      <c r="J264" t="str">
        <f t="shared" si="19"/>
        <v/>
      </c>
      <c r="K264" t="str">
        <f t="shared" si="20"/>
        <v/>
      </c>
      <c r="L264" t="str">
        <f t="shared" si="21"/>
        <v/>
      </c>
      <c r="M264" t="str">
        <f t="shared" si="22"/>
        <v/>
      </c>
      <c r="N264" t="str">
        <f>IF($M264="I",MATCH(SMALL('완료 체험단'!$K$4:$K$2000,INDEX($T$5:$T$16,$J264)+$K264-2),'완료 체험단'!$K$4:$K$2000,0),"")</f>
        <v/>
      </c>
    </row>
    <row r="265" spans="2:14">
      <c r="B265" s="23" t="str">
        <f>IF($M265="H",$J265&amp;"월",IF($M265="C","매장명",IF($M265="I",INDEX('완료 체험단'!$A$4:$A$2000,$N265),IF($M265="T","합계",""))))</f>
        <v/>
      </c>
      <c r="C265" s="29" t="str">
        <f>IF($M265="H",$L265&amp;"건",IF($M265="C","사이트",IF($M265="I",INDEX('완료 체험단'!$C$4:$C$2000,$N265),IF($M265="T",$L265&amp;"건",""))))</f>
        <v/>
      </c>
      <c r="D265" s="30" t="str">
        <f>IF($M265="C","방문일",IF($M265="I",INDEX('완료 체험단'!$D$4:$D$2000,$N265),""))</f>
        <v/>
      </c>
      <c r="E265" s="25" t="str">
        <f>IF($M265="H","제공금액 "&amp;TEXT(INDEX($U$5:$U$16,$J265),"#,##0")&amp;"원",IF($M265="C","제공금액",IF($M265="I",INDEX('완료 체험단'!$F$4:$F$2000,$N265),IF($M265="T",INDEX($U$5:$U$16,$J265),""))))</f>
        <v/>
      </c>
      <c r="F265" s="25" t="str">
        <f>IF($M265="H","결제금액 "&amp;TEXT(INDEX($V$5:$V$16,$J265),"#,##0")&amp;"원",IF($M265="C","결제금액",IF($M265="I",INDEX('완료 체험단'!$G$4:$G$2000,$N265),IF($M265="T",INDEX($V$5:$V$16,$J265),""))))</f>
        <v/>
      </c>
      <c r="G265" s="25" t="str">
        <f>IF($M265="H","실수익 "&amp;TEXT(INDEX($W$5:$W$16,$J265),"#,##0")&amp;"원",IF($M265="C","실수익",IF($M265="I",INDEX('완료 체험단'!$H$4:$H$2000,$N265),IF($M265="T",INDEX($W$5:$W$16,$J265),""))))</f>
        <v/>
      </c>
      <c r="I265" s="31">
        <f>ROWS(I$5:I265)</f>
        <v>261</v>
      </c>
      <c r="J265" t="str">
        <f t="shared" si="19"/>
        <v/>
      </c>
      <c r="K265" t="str">
        <f t="shared" si="20"/>
        <v/>
      </c>
      <c r="L265" t="str">
        <f t="shared" si="21"/>
        <v/>
      </c>
      <c r="M265" t="str">
        <f t="shared" si="22"/>
        <v/>
      </c>
      <c r="N265" t="str">
        <f>IF($M265="I",MATCH(SMALL('완료 체험단'!$K$4:$K$2000,INDEX($T$5:$T$16,$J265)+$K265-2),'완료 체험단'!$K$4:$K$2000,0),"")</f>
        <v/>
      </c>
    </row>
    <row r="266" spans="2:14">
      <c r="B266" s="23" t="str">
        <f>IF($M266="H",$J266&amp;"월",IF($M266="C","매장명",IF($M266="I",INDEX('완료 체험단'!$A$4:$A$2000,$N266),IF($M266="T","합계",""))))</f>
        <v/>
      </c>
      <c r="C266" s="29" t="str">
        <f>IF($M266="H",$L266&amp;"건",IF($M266="C","사이트",IF($M266="I",INDEX('완료 체험단'!$C$4:$C$2000,$N266),IF($M266="T",$L266&amp;"건",""))))</f>
        <v/>
      </c>
      <c r="D266" s="30" t="str">
        <f>IF($M266="C","방문일",IF($M266="I",INDEX('완료 체험단'!$D$4:$D$2000,$N266),""))</f>
        <v/>
      </c>
      <c r="E266" s="25" t="str">
        <f>IF($M266="H","제공금액 "&amp;TEXT(INDEX($U$5:$U$16,$J266),"#,##0")&amp;"원",IF($M266="C","제공금액",IF($M266="I",INDEX('완료 체험단'!$F$4:$F$2000,$N266),IF($M266="T",INDEX($U$5:$U$16,$J266),""))))</f>
        <v/>
      </c>
      <c r="F266" s="25" t="str">
        <f>IF($M266="H","결제금액 "&amp;TEXT(INDEX($V$5:$V$16,$J266),"#,##0")&amp;"원",IF($M266="C","결제금액",IF($M266="I",INDEX('완료 체험단'!$G$4:$G$2000,$N266),IF($M266="T",INDEX($V$5:$V$16,$J266),""))))</f>
        <v/>
      </c>
      <c r="G266" s="25" t="str">
        <f>IF($M266="H","실수익 "&amp;TEXT(INDEX($W$5:$W$16,$J266),"#,##0")&amp;"원",IF($M266="C","실수익",IF($M266="I",INDEX('완료 체험단'!$H$4:$H$2000,$N266),IF($M266="T",INDEX($W$5:$W$16,$J266),""))))</f>
        <v/>
      </c>
      <c r="I266" s="31">
        <f>ROWS(I$5:I266)</f>
        <v>262</v>
      </c>
      <c r="J266" t="str">
        <f t="shared" si="19"/>
        <v/>
      </c>
      <c r="K266" t="str">
        <f t="shared" si="20"/>
        <v/>
      </c>
      <c r="L266" t="str">
        <f t="shared" si="21"/>
        <v/>
      </c>
      <c r="M266" t="str">
        <f t="shared" si="22"/>
        <v/>
      </c>
      <c r="N266" t="str">
        <f>IF($M266="I",MATCH(SMALL('완료 체험단'!$K$4:$K$2000,INDEX($T$5:$T$16,$J266)+$K266-2),'완료 체험단'!$K$4:$K$2000,0),"")</f>
        <v/>
      </c>
    </row>
    <row r="267" spans="2:14">
      <c r="B267" s="23" t="str">
        <f>IF($M267="H",$J267&amp;"월",IF($M267="C","매장명",IF($M267="I",INDEX('완료 체험단'!$A$4:$A$2000,$N267),IF($M267="T","합계",""))))</f>
        <v/>
      </c>
      <c r="C267" s="29" t="str">
        <f>IF($M267="H",$L267&amp;"건",IF($M267="C","사이트",IF($M267="I",INDEX('완료 체험단'!$C$4:$C$2000,$N267),IF($M267="T",$L267&amp;"건",""))))</f>
        <v/>
      </c>
      <c r="D267" s="30" t="str">
        <f>IF($M267="C","방문일",IF($M267="I",INDEX('완료 체험단'!$D$4:$D$2000,$N267),""))</f>
        <v/>
      </c>
      <c r="E267" s="25" t="str">
        <f>IF($M267="H","제공금액 "&amp;TEXT(INDEX($U$5:$U$16,$J267),"#,##0")&amp;"원",IF($M267="C","제공금액",IF($M267="I",INDEX('완료 체험단'!$F$4:$F$2000,$N267),IF($M267="T",INDEX($U$5:$U$16,$J267),""))))</f>
        <v/>
      </c>
      <c r="F267" s="25" t="str">
        <f>IF($M267="H","결제금액 "&amp;TEXT(INDEX($V$5:$V$16,$J267),"#,##0")&amp;"원",IF($M267="C","결제금액",IF($M267="I",INDEX('완료 체험단'!$G$4:$G$2000,$N267),IF($M267="T",INDEX($V$5:$V$16,$J267),""))))</f>
        <v/>
      </c>
      <c r="G267" s="25" t="str">
        <f>IF($M267="H","실수익 "&amp;TEXT(INDEX($W$5:$W$16,$J267),"#,##0")&amp;"원",IF($M267="C","실수익",IF($M267="I",INDEX('완료 체험단'!$H$4:$H$2000,$N267),IF($M267="T",INDEX($W$5:$W$16,$J267),""))))</f>
        <v/>
      </c>
      <c r="I267" s="31">
        <f>ROWS(I$5:I267)</f>
        <v>263</v>
      </c>
      <c r="J267" t="str">
        <f t="shared" si="19"/>
        <v/>
      </c>
      <c r="K267" t="str">
        <f t="shared" si="20"/>
        <v/>
      </c>
      <c r="L267" t="str">
        <f t="shared" si="21"/>
        <v/>
      </c>
      <c r="M267" t="str">
        <f t="shared" si="22"/>
        <v/>
      </c>
      <c r="N267" t="str">
        <f>IF($M267="I",MATCH(SMALL('완료 체험단'!$K$4:$K$2000,INDEX($T$5:$T$16,$J267)+$K267-2),'완료 체험단'!$K$4:$K$2000,0),"")</f>
        <v/>
      </c>
    </row>
    <row r="268" spans="2:14">
      <c r="B268" s="23" t="str">
        <f>IF($M268="H",$J268&amp;"월",IF($M268="C","매장명",IF($M268="I",INDEX('완료 체험단'!$A$4:$A$2000,$N268),IF($M268="T","합계",""))))</f>
        <v/>
      </c>
      <c r="C268" s="29" t="str">
        <f>IF($M268="H",$L268&amp;"건",IF($M268="C","사이트",IF($M268="I",INDEX('완료 체험단'!$C$4:$C$2000,$N268),IF($M268="T",$L268&amp;"건",""))))</f>
        <v/>
      </c>
      <c r="D268" s="30" t="str">
        <f>IF($M268="C","방문일",IF($M268="I",INDEX('완료 체험단'!$D$4:$D$2000,$N268),""))</f>
        <v/>
      </c>
      <c r="E268" s="25" t="str">
        <f>IF($M268="H","제공금액 "&amp;TEXT(INDEX($U$5:$U$16,$J268),"#,##0")&amp;"원",IF($M268="C","제공금액",IF($M268="I",INDEX('완료 체험단'!$F$4:$F$2000,$N268),IF($M268="T",INDEX($U$5:$U$16,$J268),""))))</f>
        <v/>
      </c>
      <c r="F268" s="25" t="str">
        <f>IF($M268="H","결제금액 "&amp;TEXT(INDEX($V$5:$V$16,$J268),"#,##0")&amp;"원",IF($M268="C","결제금액",IF($M268="I",INDEX('완료 체험단'!$G$4:$G$2000,$N268),IF($M268="T",INDEX($V$5:$V$16,$J268),""))))</f>
        <v/>
      </c>
      <c r="G268" s="25" t="str">
        <f>IF($M268="H","실수익 "&amp;TEXT(INDEX($W$5:$W$16,$J268),"#,##0")&amp;"원",IF($M268="C","실수익",IF($M268="I",INDEX('완료 체험단'!$H$4:$H$2000,$N268),IF($M268="T",INDEX($W$5:$W$16,$J268),""))))</f>
        <v/>
      </c>
      <c r="I268" s="31">
        <f>ROWS(I$5:I268)</f>
        <v>264</v>
      </c>
      <c r="J268" t="str">
        <f t="shared" si="19"/>
        <v/>
      </c>
      <c r="K268" t="str">
        <f t="shared" si="20"/>
        <v/>
      </c>
      <c r="L268" t="str">
        <f t="shared" si="21"/>
        <v/>
      </c>
      <c r="M268" t="str">
        <f t="shared" si="22"/>
        <v/>
      </c>
      <c r="N268" t="str">
        <f>IF($M268="I",MATCH(SMALL('완료 체험단'!$K$4:$K$2000,INDEX($T$5:$T$16,$J268)+$K268-2),'완료 체험단'!$K$4:$K$2000,0),"")</f>
        <v/>
      </c>
    </row>
    <row r="269" spans="2:14">
      <c r="B269" s="23" t="str">
        <f>IF($M269="H",$J269&amp;"월",IF($M269="C","매장명",IF($M269="I",INDEX('완료 체험단'!$A$4:$A$2000,$N269),IF($M269="T","합계",""))))</f>
        <v/>
      </c>
      <c r="C269" s="29" t="str">
        <f>IF($M269="H",$L269&amp;"건",IF($M269="C","사이트",IF($M269="I",INDEX('완료 체험단'!$C$4:$C$2000,$N269),IF($M269="T",$L269&amp;"건",""))))</f>
        <v/>
      </c>
      <c r="D269" s="30" t="str">
        <f>IF($M269="C","방문일",IF($M269="I",INDEX('완료 체험단'!$D$4:$D$2000,$N269),""))</f>
        <v/>
      </c>
      <c r="E269" s="25" t="str">
        <f>IF($M269="H","제공금액 "&amp;TEXT(INDEX($U$5:$U$16,$J269),"#,##0")&amp;"원",IF($M269="C","제공금액",IF($M269="I",INDEX('완료 체험단'!$F$4:$F$2000,$N269),IF($M269="T",INDEX($U$5:$U$16,$J269),""))))</f>
        <v/>
      </c>
      <c r="F269" s="25" t="str">
        <f>IF($M269="H","결제금액 "&amp;TEXT(INDEX($V$5:$V$16,$J269),"#,##0")&amp;"원",IF($M269="C","결제금액",IF($M269="I",INDEX('완료 체험단'!$G$4:$G$2000,$N269),IF($M269="T",INDEX($V$5:$V$16,$J269),""))))</f>
        <v/>
      </c>
      <c r="G269" s="25" t="str">
        <f>IF($M269="H","실수익 "&amp;TEXT(INDEX($W$5:$W$16,$J269),"#,##0")&amp;"원",IF($M269="C","실수익",IF($M269="I",INDEX('완료 체험단'!$H$4:$H$2000,$N269),IF($M269="T",INDEX($W$5:$W$16,$J269),""))))</f>
        <v/>
      </c>
      <c r="I269" s="31">
        <f>ROWS(I$5:I269)</f>
        <v>265</v>
      </c>
      <c r="J269" t="str">
        <f t="shared" si="19"/>
        <v/>
      </c>
      <c r="K269" t="str">
        <f t="shared" si="20"/>
        <v/>
      </c>
      <c r="L269" t="str">
        <f t="shared" si="21"/>
        <v/>
      </c>
      <c r="M269" t="str">
        <f t="shared" si="22"/>
        <v/>
      </c>
      <c r="N269" t="str">
        <f>IF($M269="I",MATCH(SMALL('완료 체험단'!$K$4:$K$2000,INDEX($T$5:$T$16,$J269)+$K269-2),'완료 체험단'!$K$4:$K$2000,0),"")</f>
        <v/>
      </c>
    </row>
    <row r="270" spans="2:14">
      <c r="B270" s="23" t="str">
        <f>IF($M270="H",$J270&amp;"월",IF($M270="C","매장명",IF($M270="I",INDEX('완료 체험단'!$A$4:$A$2000,$N270),IF($M270="T","합계",""))))</f>
        <v/>
      </c>
      <c r="C270" s="29" t="str">
        <f>IF($M270="H",$L270&amp;"건",IF($M270="C","사이트",IF($M270="I",INDEX('완료 체험단'!$C$4:$C$2000,$N270),IF($M270="T",$L270&amp;"건",""))))</f>
        <v/>
      </c>
      <c r="D270" s="30" t="str">
        <f>IF($M270="C","방문일",IF($M270="I",INDEX('완료 체험단'!$D$4:$D$2000,$N270),""))</f>
        <v/>
      </c>
      <c r="E270" s="25" t="str">
        <f>IF($M270="H","제공금액 "&amp;TEXT(INDEX($U$5:$U$16,$J270),"#,##0")&amp;"원",IF($M270="C","제공금액",IF($M270="I",INDEX('완료 체험단'!$F$4:$F$2000,$N270),IF($M270="T",INDEX($U$5:$U$16,$J270),""))))</f>
        <v/>
      </c>
      <c r="F270" s="25" t="str">
        <f>IF($M270="H","결제금액 "&amp;TEXT(INDEX($V$5:$V$16,$J270),"#,##0")&amp;"원",IF($M270="C","결제금액",IF($M270="I",INDEX('완료 체험단'!$G$4:$G$2000,$N270),IF($M270="T",INDEX($V$5:$V$16,$J270),""))))</f>
        <v/>
      </c>
      <c r="G270" s="25" t="str">
        <f>IF($M270="H","실수익 "&amp;TEXT(INDEX($W$5:$W$16,$J270),"#,##0")&amp;"원",IF($M270="C","실수익",IF($M270="I",INDEX('완료 체험단'!$H$4:$H$2000,$N270),IF($M270="T",INDEX($W$5:$W$16,$J270),""))))</f>
        <v/>
      </c>
      <c r="I270" s="31">
        <f>ROWS(I$5:I270)</f>
        <v>266</v>
      </c>
      <c r="J270" t="str">
        <f t="shared" si="19"/>
        <v/>
      </c>
      <c r="K270" t="str">
        <f t="shared" si="20"/>
        <v/>
      </c>
      <c r="L270" t="str">
        <f t="shared" si="21"/>
        <v/>
      </c>
      <c r="M270" t="str">
        <f t="shared" si="22"/>
        <v/>
      </c>
      <c r="N270" t="str">
        <f>IF($M270="I",MATCH(SMALL('완료 체험단'!$K$4:$K$2000,INDEX($T$5:$T$16,$J270)+$K270-2),'완료 체험단'!$K$4:$K$2000,0),"")</f>
        <v/>
      </c>
    </row>
    <row r="271" spans="2:14">
      <c r="B271" s="23" t="str">
        <f>IF($M271="H",$J271&amp;"월",IF($M271="C","매장명",IF($M271="I",INDEX('완료 체험단'!$A$4:$A$2000,$N271),IF($M271="T","합계",""))))</f>
        <v/>
      </c>
      <c r="C271" s="29" t="str">
        <f>IF($M271="H",$L271&amp;"건",IF($M271="C","사이트",IF($M271="I",INDEX('완료 체험단'!$C$4:$C$2000,$N271),IF($M271="T",$L271&amp;"건",""))))</f>
        <v/>
      </c>
      <c r="D271" s="30" t="str">
        <f>IF($M271="C","방문일",IF($M271="I",INDEX('완료 체험단'!$D$4:$D$2000,$N271),""))</f>
        <v/>
      </c>
      <c r="E271" s="25" t="str">
        <f>IF($M271="H","제공금액 "&amp;TEXT(INDEX($U$5:$U$16,$J271),"#,##0")&amp;"원",IF($M271="C","제공금액",IF($M271="I",INDEX('완료 체험단'!$F$4:$F$2000,$N271),IF($M271="T",INDEX($U$5:$U$16,$J271),""))))</f>
        <v/>
      </c>
      <c r="F271" s="25" t="str">
        <f>IF($M271="H","결제금액 "&amp;TEXT(INDEX($V$5:$V$16,$J271),"#,##0")&amp;"원",IF($M271="C","결제금액",IF($M271="I",INDEX('완료 체험단'!$G$4:$G$2000,$N271),IF($M271="T",INDEX($V$5:$V$16,$J271),""))))</f>
        <v/>
      </c>
      <c r="G271" s="25" t="str">
        <f>IF($M271="H","실수익 "&amp;TEXT(INDEX($W$5:$W$16,$J271),"#,##0")&amp;"원",IF($M271="C","실수익",IF($M271="I",INDEX('완료 체험단'!$H$4:$H$2000,$N271),IF($M271="T",INDEX($W$5:$W$16,$J271),""))))</f>
        <v/>
      </c>
      <c r="I271" s="31">
        <f>ROWS(I$5:I271)</f>
        <v>267</v>
      </c>
      <c r="J271" t="str">
        <f t="shared" si="19"/>
        <v/>
      </c>
      <c r="K271" t="str">
        <f t="shared" si="20"/>
        <v/>
      </c>
      <c r="L271" t="str">
        <f t="shared" si="21"/>
        <v/>
      </c>
      <c r="M271" t="str">
        <f t="shared" si="22"/>
        <v/>
      </c>
      <c r="N271" t="str">
        <f>IF($M271="I",MATCH(SMALL('완료 체험단'!$K$4:$K$2000,INDEX($T$5:$T$16,$J271)+$K271-2),'완료 체험단'!$K$4:$K$2000,0),"")</f>
        <v/>
      </c>
    </row>
    <row r="272" spans="2:14">
      <c r="B272" s="23" t="str">
        <f>IF($M272="H",$J272&amp;"월",IF($M272="C","매장명",IF($M272="I",INDEX('완료 체험단'!$A$4:$A$2000,$N272),IF($M272="T","합계",""))))</f>
        <v/>
      </c>
      <c r="C272" s="29" t="str">
        <f>IF($M272="H",$L272&amp;"건",IF($M272="C","사이트",IF($M272="I",INDEX('완료 체험단'!$C$4:$C$2000,$N272),IF($M272="T",$L272&amp;"건",""))))</f>
        <v/>
      </c>
      <c r="D272" s="30" t="str">
        <f>IF($M272="C","방문일",IF($M272="I",INDEX('완료 체험단'!$D$4:$D$2000,$N272),""))</f>
        <v/>
      </c>
      <c r="E272" s="25" t="str">
        <f>IF($M272="H","제공금액 "&amp;TEXT(INDEX($U$5:$U$16,$J272),"#,##0")&amp;"원",IF($M272="C","제공금액",IF($M272="I",INDEX('완료 체험단'!$F$4:$F$2000,$N272),IF($M272="T",INDEX($U$5:$U$16,$J272),""))))</f>
        <v/>
      </c>
      <c r="F272" s="25" t="str">
        <f>IF($M272="H","결제금액 "&amp;TEXT(INDEX($V$5:$V$16,$J272),"#,##0")&amp;"원",IF($M272="C","결제금액",IF($M272="I",INDEX('완료 체험단'!$G$4:$G$2000,$N272),IF($M272="T",INDEX($V$5:$V$16,$J272),""))))</f>
        <v/>
      </c>
      <c r="G272" s="25" t="str">
        <f>IF($M272="H","실수익 "&amp;TEXT(INDEX($W$5:$W$16,$J272),"#,##0")&amp;"원",IF($M272="C","실수익",IF($M272="I",INDEX('완료 체험단'!$H$4:$H$2000,$N272),IF($M272="T",INDEX($W$5:$W$16,$J272),""))))</f>
        <v/>
      </c>
      <c r="I272" s="31">
        <f>ROWS(I$5:I272)</f>
        <v>268</v>
      </c>
      <c r="J272" t="str">
        <f t="shared" si="19"/>
        <v/>
      </c>
      <c r="K272" t="str">
        <f t="shared" si="20"/>
        <v/>
      </c>
      <c r="L272" t="str">
        <f t="shared" si="21"/>
        <v/>
      </c>
      <c r="M272" t="str">
        <f t="shared" si="22"/>
        <v/>
      </c>
      <c r="N272" t="str">
        <f>IF($M272="I",MATCH(SMALL('완료 체험단'!$K$4:$K$2000,INDEX($T$5:$T$16,$J272)+$K272-2),'완료 체험단'!$K$4:$K$2000,0),"")</f>
        <v/>
      </c>
    </row>
    <row r="273" spans="2:14">
      <c r="B273" s="23" t="str">
        <f>IF($M273="H",$J273&amp;"월",IF($M273="C","매장명",IF($M273="I",INDEX('완료 체험단'!$A$4:$A$2000,$N273),IF($M273="T","합계",""))))</f>
        <v/>
      </c>
      <c r="C273" s="29" t="str">
        <f>IF($M273="H",$L273&amp;"건",IF($M273="C","사이트",IF($M273="I",INDEX('완료 체험단'!$C$4:$C$2000,$N273),IF($M273="T",$L273&amp;"건",""))))</f>
        <v/>
      </c>
      <c r="D273" s="30" t="str">
        <f>IF($M273="C","방문일",IF($M273="I",INDEX('완료 체험단'!$D$4:$D$2000,$N273),""))</f>
        <v/>
      </c>
      <c r="E273" s="25" t="str">
        <f>IF($M273="H","제공금액 "&amp;TEXT(INDEX($U$5:$U$16,$J273),"#,##0")&amp;"원",IF($M273="C","제공금액",IF($M273="I",INDEX('완료 체험단'!$F$4:$F$2000,$N273),IF($M273="T",INDEX($U$5:$U$16,$J273),""))))</f>
        <v/>
      </c>
      <c r="F273" s="25" t="str">
        <f>IF($M273="H","결제금액 "&amp;TEXT(INDEX($V$5:$V$16,$J273),"#,##0")&amp;"원",IF($M273="C","결제금액",IF($M273="I",INDEX('완료 체험단'!$G$4:$G$2000,$N273),IF($M273="T",INDEX($V$5:$V$16,$J273),""))))</f>
        <v/>
      </c>
      <c r="G273" s="25" t="str">
        <f>IF($M273="H","실수익 "&amp;TEXT(INDEX($W$5:$W$16,$J273),"#,##0")&amp;"원",IF($M273="C","실수익",IF($M273="I",INDEX('완료 체험단'!$H$4:$H$2000,$N273),IF($M273="T",INDEX($W$5:$W$16,$J273),""))))</f>
        <v/>
      </c>
      <c r="I273" s="31">
        <f>ROWS(I$5:I273)</f>
        <v>269</v>
      </c>
      <c r="J273" t="str">
        <f t="shared" si="19"/>
        <v/>
      </c>
      <c r="K273" t="str">
        <f t="shared" si="20"/>
        <v/>
      </c>
      <c r="L273" t="str">
        <f t="shared" si="21"/>
        <v/>
      </c>
      <c r="M273" t="str">
        <f t="shared" si="22"/>
        <v/>
      </c>
      <c r="N273" t="str">
        <f>IF($M273="I",MATCH(SMALL('완료 체험단'!$K$4:$K$2000,INDEX($T$5:$T$16,$J273)+$K273-2),'완료 체험단'!$K$4:$K$2000,0),"")</f>
        <v/>
      </c>
    </row>
    <row r="274" spans="2:14">
      <c r="B274" s="23" t="str">
        <f>IF($M274="H",$J274&amp;"월",IF($M274="C","매장명",IF($M274="I",INDEX('완료 체험단'!$A$4:$A$2000,$N274),IF($M274="T","합계",""))))</f>
        <v/>
      </c>
      <c r="C274" s="29" t="str">
        <f>IF($M274="H",$L274&amp;"건",IF($M274="C","사이트",IF($M274="I",INDEX('완료 체험단'!$C$4:$C$2000,$N274),IF($M274="T",$L274&amp;"건",""))))</f>
        <v/>
      </c>
      <c r="D274" s="30" t="str">
        <f>IF($M274="C","방문일",IF($M274="I",INDEX('완료 체험단'!$D$4:$D$2000,$N274),""))</f>
        <v/>
      </c>
      <c r="E274" s="25" t="str">
        <f>IF($M274="H","제공금액 "&amp;TEXT(INDEX($U$5:$U$16,$J274),"#,##0")&amp;"원",IF($M274="C","제공금액",IF($M274="I",INDEX('완료 체험단'!$F$4:$F$2000,$N274),IF($M274="T",INDEX($U$5:$U$16,$J274),""))))</f>
        <v/>
      </c>
      <c r="F274" s="25" t="str">
        <f>IF($M274="H","결제금액 "&amp;TEXT(INDEX($V$5:$V$16,$J274),"#,##0")&amp;"원",IF($M274="C","결제금액",IF($M274="I",INDEX('완료 체험단'!$G$4:$G$2000,$N274),IF($M274="T",INDEX($V$5:$V$16,$J274),""))))</f>
        <v/>
      </c>
      <c r="G274" s="25" t="str">
        <f>IF($M274="H","실수익 "&amp;TEXT(INDEX($W$5:$W$16,$J274),"#,##0")&amp;"원",IF($M274="C","실수익",IF($M274="I",INDEX('완료 체험단'!$H$4:$H$2000,$N274),IF($M274="T",INDEX($W$5:$W$16,$J274),""))))</f>
        <v/>
      </c>
      <c r="I274" s="31">
        <f>ROWS(I$5:I274)</f>
        <v>270</v>
      </c>
      <c r="J274" t="str">
        <f t="shared" si="19"/>
        <v/>
      </c>
      <c r="K274" t="str">
        <f t="shared" si="20"/>
        <v/>
      </c>
      <c r="L274" t="str">
        <f t="shared" si="21"/>
        <v/>
      </c>
      <c r="M274" t="str">
        <f t="shared" si="22"/>
        <v/>
      </c>
      <c r="N274" t="str">
        <f>IF($M274="I",MATCH(SMALL('완료 체험단'!$K$4:$K$2000,INDEX($T$5:$T$16,$J274)+$K274-2),'완료 체험단'!$K$4:$K$2000,0),"")</f>
        <v/>
      </c>
    </row>
    <row r="275" spans="2:14">
      <c r="B275" s="23" t="str">
        <f>IF($M275="H",$J275&amp;"월",IF($M275="C","매장명",IF($M275="I",INDEX('완료 체험단'!$A$4:$A$2000,$N275),IF($M275="T","합계",""))))</f>
        <v/>
      </c>
      <c r="C275" s="29" t="str">
        <f>IF($M275="H",$L275&amp;"건",IF($M275="C","사이트",IF($M275="I",INDEX('완료 체험단'!$C$4:$C$2000,$N275),IF($M275="T",$L275&amp;"건",""))))</f>
        <v/>
      </c>
      <c r="D275" s="30" t="str">
        <f>IF($M275="C","방문일",IF($M275="I",INDEX('완료 체험단'!$D$4:$D$2000,$N275),""))</f>
        <v/>
      </c>
      <c r="E275" s="25" t="str">
        <f>IF($M275="H","제공금액 "&amp;TEXT(INDEX($U$5:$U$16,$J275),"#,##0")&amp;"원",IF($M275="C","제공금액",IF($M275="I",INDEX('완료 체험단'!$F$4:$F$2000,$N275),IF($M275="T",INDEX($U$5:$U$16,$J275),""))))</f>
        <v/>
      </c>
      <c r="F275" s="25" t="str">
        <f>IF($M275="H","결제금액 "&amp;TEXT(INDEX($V$5:$V$16,$J275),"#,##0")&amp;"원",IF($M275="C","결제금액",IF($M275="I",INDEX('완료 체험단'!$G$4:$G$2000,$N275),IF($M275="T",INDEX($V$5:$V$16,$J275),""))))</f>
        <v/>
      </c>
      <c r="G275" s="25" t="str">
        <f>IF($M275="H","실수익 "&amp;TEXT(INDEX($W$5:$W$16,$J275),"#,##0")&amp;"원",IF($M275="C","실수익",IF($M275="I",INDEX('완료 체험단'!$H$4:$H$2000,$N275),IF($M275="T",INDEX($W$5:$W$16,$J275),""))))</f>
        <v/>
      </c>
      <c r="I275" s="31">
        <f>ROWS(I$5:I275)</f>
        <v>271</v>
      </c>
      <c r="J275" t="str">
        <f t="shared" si="19"/>
        <v/>
      </c>
      <c r="K275" t="str">
        <f t="shared" si="20"/>
        <v/>
      </c>
      <c r="L275" t="str">
        <f t="shared" si="21"/>
        <v/>
      </c>
      <c r="M275" t="str">
        <f t="shared" si="22"/>
        <v/>
      </c>
      <c r="N275" t="str">
        <f>IF($M275="I",MATCH(SMALL('완료 체험단'!$K$4:$K$2000,INDEX($T$5:$T$16,$J275)+$K275-2),'완료 체험단'!$K$4:$K$2000,0),"")</f>
        <v/>
      </c>
    </row>
    <row r="276" spans="2:14">
      <c r="B276" s="23" t="str">
        <f>IF($M276="H",$J276&amp;"월",IF($M276="C","매장명",IF($M276="I",INDEX('완료 체험단'!$A$4:$A$2000,$N276),IF($M276="T","합계",""))))</f>
        <v/>
      </c>
      <c r="C276" s="29" t="str">
        <f>IF($M276="H",$L276&amp;"건",IF($M276="C","사이트",IF($M276="I",INDEX('완료 체험단'!$C$4:$C$2000,$N276),IF($M276="T",$L276&amp;"건",""))))</f>
        <v/>
      </c>
      <c r="D276" s="30" t="str">
        <f>IF($M276="C","방문일",IF($M276="I",INDEX('완료 체험단'!$D$4:$D$2000,$N276),""))</f>
        <v/>
      </c>
      <c r="E276" s="25" t="str">
        <f>IF($M276="H","제공금액 "&amp;TEXT(INDEX($U$5:$U$16,$J276),"#,##0")&amp;"원",IF($M276="C","제공금액",IF($M276="I",INDEX('완료 체험단'!$F$4:$F$2000,$N276),IF($M276="T",INDEX($U$5:$U$16,$J276),""))))</f>
        <v/>
      </c>
      <c r="F276" s="25" t="str">
        <f>IF($M276="H","결제금액 "&amp;TEXT(INDEX($V$5:$V$16,$J276),"#,##0")&amp;"원",IF($M276="C","결제금액",IF($M276="I",INDEX('완료 체험단'!$G$4:$G$2000,$N276),IF($M276="T",INDEX($V$5:$V$16,$J276),""))))</f>
        <v/>
      </c>
      <c r="G276" s="25" t="str">
        <f>IF($M276="H","실수익 "&amp;TEXT(INDEX($W$5:$W$16,$J276),"#,##0")&amp;"원",IF($M276="C","실수익",IF($M276="I",INDEX('완료 체험단'!$H$4:$H$2000,$N276),IF($M276="T",INDEX($W$5:$W$16,$J276),""))))</f>
        <v/>
      </c>
      <c r="I276" s="31">
        <f>ROWS(I$5:I276)</f>
        <v>272</v>
      </c>
      <c r="J276" t="str">
        <f t="shared" si="19"/>
        <v/>
      </c>
      <c r="K276" t="str">
        <f t="shared" si="20"/>
        <v/>
      </c>
      <c r="L276" t="str">
        <f t="shared" si="21"/>
        <v/>
      </c>
      <c r="M276" t="str">
        <f t="shared" si="22"/>
        <v/>
      </c>
      <c r="N276" t="str">
        <f>IF($M276="I",MATCH(SMALL('완료 체험단'!$K$4:$K$2000,INDEX($T$5:$T$16,$J276)+$K276-2),'완료 체험단'!$K$4:$K$2000,0),"")</f>
        <v/>
      </c>
    </row>
    <row r="277" spans="2:14">
      <c r="B277" s="23" t="str">
        <f>IF($M277="H",$J277&amp;"월",IF($M277="C","매장명",IF($M277="I",INDEX('완료 체험단'!$A$4:$A$2000,$N277),IF($M277="T","합계",""))))</f>
        <v/>
      </c>
      <c r="C277" s="29" t="str">
        <f>IF($M277="H",$L277&amp;"건",IF($M277="C","사이트",IF($M277="I",INDEX('완료 체험단'!$C$4:$C$2000,$N277),IF($M277="T",$L277&amp;"건",""))))</f>
        <v/>
      </c>
      <c r="D277" s="30" t="str">
        <f>IF($M277="C","방문일",IF($M277="I",INDEX('완료 체험단'!$D$4:$D$2000,$N277),""))</f>
        <v/>
      </c>
      <c r="E277" s="25" t="str">
        <f>IF($M277="H","제공금액 "&amp;TEXT(INDEX($U$5:$U$16,$J277),"#,##0")&amp;"원",IF($M277="C","제공금액",IF($M277="I",INDEX('완료 체험단'!$F$4:$F$2000,$N277),IF($M277="T",INDEX($U$5:$U$16,$J277),""))))</f>
        <v/>
      </c>
      <c r="F277" s="25" t="str">
        <f>IF($M277="H","결제금액 "&amp;TEXT(INDEX($V$5:$V$16,$J277),"#,##0")&amp;"원",IF($M277="C","결제금액",IF($M277="I",INDEX('완료 체험단'!$G$4:$G$2000,$N277),IF($M277="T",INDEX($V$5:$V$16,$J277),""))))</f>
        <v/>
      </c>
      <c r="G277" s="25" t="str">
        <f>IF($M277="H","실수익 "&amp;TEXT(INDEX($W$5:$W$16,$J277),"#,##0")&amp;"원",IF($M277="C","실수익",IF($M277="I",INDEX('완료 체험단'!$H$4:$H$2000,$N277),IF($M277="T",INDEX($W$5:$W$16,$J277),""))))</f>
        <v/>
      </c>
      <c r="I277" s="31">
        <f>ROWS(I$5:I277)</f>
        <v>273</v>
      </c>
      <c r="J277" t="str">
        <f t="shared" si="19"/>
        <v/>
      </c>
      <c r="K277" t="str">
        <f t="shared" si="20"/>
        <v/>
      </c>
      <c r="L277" t="str">
        <f t="shared" si="21"/>
        <v/>
      </c>
      <c r="M277" t="str">
        <f t="shared" si="22"/>
        <v/>
      </c>
      <c r="N277" t="str">
        <f>IF($M277="I",MATCH(SMALL('완료 체험단'!$K$4:$K$2000,INDEX($T$5:$T$16,$J277)+$K277-2),'완료 체험단'!$K$4:$K$2000,0),"")</f>
        <v/>
      </c>
    </row>
    <row r="278" spans="2:14">
      <c r="B278" s="23" t="str">
        <f>IF($M278="H",$J278&amp;"월",IF($M278="C","매장명",IF($M278="I",INDEX('완료 체험단'!$A$4:$A$2000,$N278),IF($M278="T","합계",""))))</f>
        <v/>
      </c>
      <c r="C278" s="29" t="str">
        <f>IF($M278="H",$L278&amp;"건",IF($M278="C","사이트",IF($M278="I",INDEX('완료 체험단'!$C$4:$C$2000,$N278),IF($M278="T",$L278&amp;"건",""))))</f>
        <v/>
      </c>
      <c r="D278" s="30" t="str">
        <f>IF($M278="C","방문일",IF($M278="I",INDEX('완료 체험단'!$D$4:$D$2000,$N278),""))</f>
        <v/>
      </c>
      <c r="E278" s="25" t="str">
        <f>IF($M278="H","제공금액 "&amp;TEXT(INDEX($U$5:$U$16,$J278),"#,##0")&amp;"원",IF($M278="C","제공금액",IF($M278="I",INDEX('완료 체험단'!$F$4:$F$2000,$N278),IF($M278="T",INDEX($U$5:$U$16,$J278),""))))</f>
        <v/>
      </c>
      <c r="F278" s="25" t="str">
        <f>IF($M278="H","결제금액 "&amp;TEXT(INDEX($V$5:$V$16,$J278),"#,##0")&amp;"원",IF($M278="C","결제금액",IF($M278="I",INDEX('완료 체험단'!$G$4:$G$2000,$N278),IF($M278="T",INDEX($V$5:$V$16,$J278),""))))</f>
        <v/>
      </c>
      <c r="G278" s="25" t="str">
        <f>IF($M278="H","실수익 "&amp;TEXT(INDEX($W$5:$W$16,$J278),"#,##0")&amp;"원",IF($M278="C","실수익",IF($M278="I",INDEX('완료 체험단'!$H$4:$H$2000,$N278),IF($M278="T",INDEX($W$5:$W$16,$J278),""))))</f>
        <v/>
      </c>
      <c r="I278" s="31">
        <f>ROWS(I$5:I278)</f>
        <v>274</v>
      </c>
      <c r="J278" t="str">
        <f t="shared" si="19"/>
        <v/>
      </c>
      <c r="K278" t="str">
        <f t="shared" si="20"/>
        <v/>
      </c>
      <c r="L278" t="str">
        <f t="shared" si="21"/>
        <v/>
      </c>
      <c r="M278" t="str">
        <f t="shared" si="22"/>
        <v/>
      </c>
      <c r="N278" t="str">
        <f>IF($M278="I",MATCH(SMALL('완료 체험단'!$K$4:$K$2000,INDEX($T$5:$T$16,$J278)+$K278-2),'완료 체험단'!$K$4:$K$2000,0),"")</f>
        <v/>
      </c>
    </row>
    <row r="279" spans="2:14">
      <c r="B279" s="23" t="str">
        <f>IF($M279="H",$J279&amp;"월",IF($M279="C","매장명",IF($M279="I",INDEX('완료 체험단'!$A$4:$A$2000,$N279),IF($M279="T","합계",""))))</f>
        <v/>
      </c>
      <c r="C279" s="29" t="str">
        <f>IF($M279="H",$L279&amp;"건",IF($M279="C","사이트",IF($M279="I",INDEX('완료 체험단'!$C$4:$C$2000,$N279),IF($M279="T",$L279&amp;"건",""))))</f>
        <v/>
      </c>
      <c r="D279" s="30" t="str">
        <f>IF($M279="C","방문일",IF($M279="I",INDEX('완료 체험단'!$D$4:$D$2000,$N279),""))</f>
        <v/>
      </c>
      <c r="E279" s="25" t="str">
        <f>IF($M279="H","제공금액 "&amp;TEXT(INDEX($U$5:$U$16,$J279),"#,##0")&amp;"원",IF($M279="C","제공금액",IF($M279="I",INDEX('완료 체험단'!$F$4:$F$2000,$N279),IF($M279="T",INDEX($U$5:$U$16,$J279),""))))</f>
        <v/>
      </c>
      <c r="F279" s="25" t="str">
        <f>IF($M279="H","결제금액 "&amp;TEXT(INDEX($V$5:$V$16,$J279),"#,##0")&amp;"원",IF($M279="C","결제금액",IF($M279="I",INDEX('완료 체험단'!$G$4:$G$2000,$N279),IF($M279="T",INDEX($V$5:$V$16,$J279),""))))</f>
        <v/>
      </c>
      <c r="G279" s="25" t="str">
        <f>IF($M279="H","실수익 "&amp;TEXT(INDEX($W$5:$W$16,$J279),"#,##0")&amp;"원",IF($M279="C","실수익",IF($M279="I",INDEX('완료 체험단'!$H$4:$H$2000,$N279),IF($M279="T",INDEX($W$5:$W$16,$J279),""))))</f>
        <v/>
      </c>
      <c r="I279" s="31">
        <f>ROWS(I$5:I279)</f>
        <v>275</v>
      </c>
      <c r="J279" t="str">
        <f t="shared" si="19"/>
        <v/>
      </c>
      <c r="K279" t="str">
        <f t="shared" si="20"/>
        <v/>
      </c>
      <c r="L279" t="str">
        <f t="shared" si="21"/>
        <v/>
      </c>
      <c r="M279" t="str">
        <f t="shared" si="22"/>
        <v/>
      </c>
      <c r="N279" t="str">
        <f>IF($M279="I",MATCH(SMALL('완료 체험단'!$K$4:$K$2000,INDEX($T$5:$T$16,$J279)+$K279-2),'완료 체험단'!$K$4:$K$2000,0),"")</f>
        <v/>
      </c>
    </row>
    <row r="280" spans="2:14">
      <c r="B280" s="23" t="str">
        <f>IF($M280="H",$J280&amp;"월",IF($M280="C","매장명",IF($M280="I",INDEX('완료 체험단'!$A$4:$A$2000,$N280),IF($M280="T","합계",""))))</f>
        <v/>
      </c>
      <c r="C280" s="29" t="str">
        <f>IF($M280="H",$L280&amp;"건",IF($M280="C","사이트",IF($M280="I",INDEX('완료 체험단'!$C$4:$C$2000,$N280),IF($M280="T",$L280&amp;"건",""))))</f>
        <v/>
      </c>
      <c r="D280" s="30" t="str">
        <f>IF($M280="C","방문일",IF($M280="I",INDEX('완료 체험단'!$D$4:$D$2000,$N280),""))</f>
        <v/>
      </c>
      <c r="E280" s="25" t="str">
        <f>IF($M280="H","제공금액 "&amp;TEXT(INDEX($U$5:$U$16,$J280),"#,##0")&amp;"원",IF($M280="C","제공금액",IF($M280="I",INDEX('완료 체험단'!$F$4:$F$2000,$N280),IF($M280="T",INDEX($U$5:$U$16,$J280),""))))</f>
        <v/>
      </c>
      <c r="F280" s="25" t="str">
        <f>IF($M280="H","결제금액 "&amp;TEXT(INDEX($V$5:$V$16,$J280),"#,##0")&amp;"원",IF($M280="C","결제금액",IF($M280="I",INDEX('완료 체험단'!$G$4:$G$2000,$N280),IF($M280="T",INDEX($V$5:$V$16,$J280),""))))</f>
        <v/>
      </c>
      <c r="G280" s="25" t="str">
        <f>IF($M280="H","실수익 "&amp;TEXT(INDEX($W$5:$W$16,$J280),"#,##0")&amp;"원",IF($M280="C","실수익",IF($M280="I",INDEX('완료 체험단'!$H$4:$H$2000,$N280),IF($M280="T",INDEX($W$5:$W$16,$J280),""))))</f>
        <v/>
      </c>
      <c r="I280" s="31">
        <f>ROWS(I$5:I280)</f>
        <v>276</v>
      </c>
      <c r="J280" t="str">
        <f t="shared" si="19"/>
        <v/>
      </c>
      <c r="K280" t="str">
        <f t="shared" si="20"/>
        <v/>
      </c>
      <c r="L280" t="str">
        <f t="shared" si="21"/>
        <v/>
      </c>
      <c r="M280" t="str">
        <f t="shared" si="22"/>
        <v/>
      </c>
      <c r="N280" t="str">
        <f>IF($M280="I",MATCH(SMALL('완료 체험단'!$K$4:$K$2000,INDEX($T$5:$T$16,$J280)+$K280-2),'완료 체험단'!$K$4:$K$2000,0),"")</f>
        <v/>
      </c>
    </row>
    <row r="281" spans="2:14">
      <c r="B281" s="23" t="str">
        <f>IF($M281="H",$J281&amp;"월",IF($M281="C","매장명",IF($M281="I",INDEX('완료 체험단'!$A$4:$A$2000,$N281),IF($M281="T","합계",""))))</f>
        <v/>
      </c>
      <c r="C281" s="29" t="str">
        <f>IF($M281="H",$L281&amp;"건",IF($M281="C","사이트",IF($M281="I",INDEX('완료 체험단'!$C$4:$C$2000,$N281),IF($M281="T",$L281&amp;"건",""))))</f>
        <v/>
      </c>
      <c r="D281" s="30" t="str">
        <f>IF($M281="C","방문일",IF($M281="I",INDEX('완료 체험단'!$D$4:$D$2000,$N281),""))</f>
        <v/>
      </c>
      <c r="E281" s="25" t="str">
        <f>IF($M281="H","제공금액 "&amp;TEXT(INDEX($U$5:$U$16,$J281),"#,##0")&amp;"원",IF($M281="C","제공금액",IF($M281="I",INDEX('완료 체험단'!$F$4:$F$2000,$N281),IF($M281="T",INDEX($U$5:$U$16,$J281),""))))</f>
        <v/>
      </c>
      <c r="F281" s="25" t="str">
        <f>IF($M281="H","결제금액 "&amp;TEXT(INDEX($V$5:$V$16,$J281),"#,##0")&amp;"원",IF($M281="C","결제금액",IF($M281="I",INDEX('완료 체험단'!$G$4:$G$2000,$N281),IF($M281="T",INDEX($V$5:$V$16,$J281),""))))</f>
        <v/>
      </c>
      <c r="G281" s="25" t="str">
        <f>IF($M281="H","실수익 "&amp;TEXT(INDEX($W$5:$W$16,$J281),"#,##0")&amp;"원",IF($M281="C","실수익",IF($M281="I",INDEX('완료 체험단'!$H$4:$H$2000,$N281),IF($M281="T",INDEX($W$5:$W$16,$J281),""))))</f>
        <v/>
      </c>
      <c r="I281" s="31">
        <f>ROWS(I$5:I281)</f>
        <v>277</v>
      </c>
      <c r="J281" t="str">
        <f t="shared" si="19"/>
        <v/>
      </c>
      <c r="K281" t="str">
        <f t="shared" si="20"/>
        <v/>
      </c>
      <c r="L281" t="str">
        <f t="shared" si="21"/>
        <v/>
      </c>
      <c r="M281" t="str">
        <f t="shared" si="22"/>
        <v/>
      </c>
      <c r="N281" t="str">
        <f>IF($M281="I",MATCH(SMALL('완료 체험단'!$K$4:$K$2000,INDEX($T$5:$T$16,$J281)+$K281-2),'완료 체험단'!$K$4:$K$2000,0),"")</f>
        <v/>
      </c>
    </row>
    <row r="282" spans="2:14">
      <c r="B282" s="23" t="str">
        <f>IF($M282="H",$J282&amp;"월",IF($M282="C","매장명",IF($M282="I",INDEX('완료 체험단'!$A$4:$A$2000,$N282),IF($M282="T","합계",""))))</f>
        <v/>
      </c>
      <c r="C282" s="29" t="str">
        <f>IF($M282="H",$L282&amp;"건",IF($M282="C","사이트",IF($M282="I",INDEX('완료 체험단'!$C$4:$C$2000,$N282),IF($M282="T",$L282&amp;"건",""))))</f>
        <v/>
      </c>
      <c r="D282" s="30" t="str">
        <f>IF($M282="C","방문일",IF($M282="I",INDEX('완료 체험단'!$D$4:$D$2000,$N282),""))</f>
        <v/>
      </c>
      <c r="E282" s="25" t="str">
        <f>IF($M282="H","제공금액 "&amp;TEXT(INDEX($U$5:$U$16,$J282),"#,##0")&amp;"원",IF($M282="C","제공금액",IF($M282="I",INDEX('완료 체험단'!$F$4:$F$2000,$N282),IF($M282="T",INDEX($U$5:$U$16,$J282),""))))</f>
        <v/>
      </c>
      <c r="F282" s="25" t="str">
        <f>IF($M282="H","결제금액 "&amp;TEXT(INDEX($V$5:$V$16,$J282),"#,##0")&amp;"원",IF($M282="C","결제금액",IF($M282="I",INDEX('완료 체험단'!$G$4:$G$2000,$N282),IF($M282="T",INDEX($V$5:$V$16,$J282),""))))</f>
        <v/>
      </c>
      <c r="G282" s="25" t="str">
        <f>IF($M282="H","실수익 "&amp;TEXT(INDEX($W$5:$W$16,$J282),"#,##0")&amp;"원",IF($M282="C","실수익",IF($M282="I",INDEX('완료 체험단'!$H$4:$H$2000,$N282),IF($M282="T",INDEX($W$5:$W$16,$J282),""))))</f>
        <v/>
      </c>
      <c r="I282" s="31">
        <f>ROWS(I$5:I282)</f>
        <v>278</v>
      </c>
      <c r="J282" t="str">
        <f t="shared" si="19"/>
        <v/>
      </c>
      <c r="K282" t="str">
        <f t="shared" si="20"/>
        <v/>
      </c>
      <c r="L282" t="str">
        <f t="shared" si="21"/>
        <v/>
      </c>
      <c r="M282" t="str">
        <f t="shared" si="22"/>
        <v/>
      </c>
      <c r="N282" t="str">
        <f>IF($M282="I",MATCH(SMALL('완료 체험단'!$K$4:$K$2000,INDEX($T$5:$T$16,$J282)+$K282-2),'완료 체험단'!$K$4:$K$2000,0),"")</f>
        <v/>
      </c>
    </row>
    <row r="283" spans="2:14">
      <c r="B283" s="23" t="str">
        <f>IF($M283="H",$J283&amp;"월",IF($M283="C","매장명",IF($M283="I",INDEX('완료 체험단'!$A$4:$A$2000,$N283),IF($M283="T","합계",""))))</f>
        <v/>
      </c>
      <c r="C283" s="29" t="str">
        <f>IF($M283="H",$L283&amp;"건",IF($M283="C","사이트",IF($M283="I",INDEX('완료 체험단'!$C$4:$C$2000,$N283),IF($M283="T",$L283&amp;"건",""))))</f>
        <v/>
      </c>
      <c r="D283" s="30" t="str">
        <f>IF($M283="C","방문일",IF($M283="I",INDEX('완료 체험단'!$D$4:$D$2000,$N283),""))</f>
        <v/>
      </c>
      <c r="E283" s="25" t="str">
        <f>IF($M283="H","제공금액 "&amp;TEXT(INDEX($U$5:$U$16,$J283),"#,##0")&amp;"원",IF($M283="C","제공금액",IF($M283="I",INDEX('완료 체험단'!$F$4:$F$2000,$N283),IF($M283="T",INDEX($U$5:$U$16,$J283),""))))</f>
        <v/>
      </c>
      <c r="F283" s="25" t="str">
        <f>IF($M283="H","결제금액 "&amp;TEXT(INDEX($V$5:$V$16,$J283),"#,##0")&amp;"원",IF($M283="C","결제금액",IF($M283="I",INDEX('완료 체험단'!$G$4:$G$2000,$N283),IF($M283="T",INDEX($V$5:$V$16,$J283),""))))</f>
        <v/>
      </c>
      <c r="G283" s="25" t="str">
        <f>IF($M283="H","실수익 "&amp;TEXT(INDEX($W$5:$W$16,$J283),"#,##0")&amp;"원",IF($M283="C","실수익",IF($M283="I",INDEX('완료 체험단'!$H$4:$H$2000,$N283),IF($M283="T",INDEX($W$5:$W$16,$J283),""))))</f>
        <v/>
      </c>
      <c r="I283" s="31">
        <f>ROWS(I$5:I283)</f>
        <v>279</v>
      </c>
      <c r="J283" t="str">
        <f t="shared" si="19"/>
        <v/>
      </c>
      <c r="K283" t="str">
        <f t="shared" si="20"/>
        <v/>
      </c>
      <c r="L283" t="str">
        <f t="shared" si="21"/>
        <v/>
      </c>
      <c r="M283" t="str">
        <f t="shared" si="22"/>
        <v/>
      </c>
      <c r="N283" t="str">
        <f>IF($M283="I",MATCH(SMALL('완료 체험단'!$K$4:$K$2000,INDEX($T$5:$T$16,$J283)+$K283-2),'완료 체험단'!$K$4:$K$2000,0),"")</f>
        <v/>
      </c>
    </row>
    <row r="284" spans="2:14">
      <c r="B284" s="23" t="str">
        <f>IF($M284="H",$J284&amp;"월",IF($M284="C","매장명",IF($M284="I",INDEX('완료 체험단'!$A$4:$A$2000,$N284),IF($M284="T","합계",""))))</f>
        <v/>
      </c>
      <c r="C284" s="29" t="str">
        <f>IF($M284="H",$L284&amp;"건",IF($M284="C","사이트",IF($M284="I",INDEX('완료 체험단'!$C$4:$C$2000,$N284),IF($M284="T",$L284&amp;"건",""))))</f>
        <v/>
      </c>
      <c r="D284" s="30" t="str">
        <f>IF($M284="C","방문일",IF($M284="I",INDEX('완료 체험단'!$D$4:$D$2000,$N284),""))</f>
        <v/>
      </c>
      <c r="E284" s="25" t="str">
        <f>IF($M284="H","제공금액 "&amp;TEXT(INDEX($U$5:$U$16,$J284),"#,##0")&amp;"원",IF($M284="C","제공금액",IF($M284="I",INDEX('완료 체험단'!$F$4:$F$2000,$N284),IF($M284="T",INDEX($U$5:$U$16,$J284),""))))</f>
        <v/>
      </c>
      <c r="F284" s="25" t="str">
        <f>IF($M284="H","결제금액 "&amp;TEXT(INDEX($V$5:$V$16,$J284),"#,##0")&amp;"원",IF($M284="C","결제금액",IF($M284="I",INDEX('완료 체험단'!$G$4:$G$2000,$N284),IF($M284="T",INDEX($V$5:$V$16,$J284),""))))</f>
        <v/>
      </c>
      <c r="G284" s="25" t="str">
        <f>IF($M284="H","실수익 "&amp;TEXT(INDEX($W$5:$W$16,$J284),"#,##0")&amp;"원",IF($M284="C","실수익",IF($M284="I",INDEX('완료 체험단'!$H$4:$H$2000,$N284),IF($M284="T",INDEX($W$5:$W$16,$J284),""))))</f>
        <v/>
      </c>
      <c r="I284" s="31">
        <f>ROWS(I$5:I284)</f>
        <v>280</v>
      </c>
      <c r="J284" t="str">
        <f t="shared" si="19"/>
        <v/>
      </c>
      <c r="K284" t="str">
        <f t="shared" si="20"/>
        <v/>
      </c>
      <c r="L284" t="str">
        <f t="shared" si="21"/>
        <v/>
      </c>
      <c r="M284" t="str">
        <f t="shared" si="22"/>
        <v/>
      </c>
      <c r="N284" t="str">
        <f>IF($M284="I",MATCH(SMALL('완료 체험단'!$K$4:$K$2000,INDEX($T$5:$T$16,$J284)+$K284-2),'완료 체험단'!$K$4:$K$2000,0),"")</f>
        <v/>
      </c>
    </row>
    <row r="285" spans="2:14">
      <c r="B285" s="23" t="str">
        <f>IF($M285="H",$J285&amp;"월",IF($M285="C","매장명",IF($M285="I",INDEX('완료 체험단'!$A$4:$A$2000,$N285),IF($M285="T","합계",""))))</f>
        <v/>
      </c>
      <c r="C285" s="29" t="str">
        <f>IF($M285="H",$L285&amp;"건",IF($M285="C","사이트",IF($M285="I",INDEX('완료 체험단'!$C$4:$C$2000,$N285),IF($M285="T",$L285&amp;"건",""))))</f>
        <v/>
      </c>
      <c r="D285" s="30" t="str">
        <f>IF($M285="C","방문일",IF($M285="I",INDEX('완료 체험단'!$D$4:$D$2000,$N285),""))</f>
        <v/>
      </c>
      <c r="E285" s="25" t="str">
        <f>IF($M285="H","제공금액 "&amp;TEXT(INDEX($U$5:$U$16,$J285),"#,##0")&amp;"원",IF($M285="C","제공금액",IF($M285="I",INDEX('완료 체험단'!$F$4:$F$2000,$N285),IF($M285="T",INDEX($U$5:$U$16,$J285),""))))</f>
        <v/>
      </c>
      <c r="F285" s="25" t="str">
        <f>IF($M285="H","결제금액 "&amp;TEXT(INDEX($V$5:$V$16,$J285),"#,##0")&amp;"원",IF($M285="C","결제금액",IF($M285="I",INDEX('완료 체험단'!$G$4:$G$2000,$N285),IF($M285="T",INDEX($V$5:$V$16,$J285),""))))</f>
        <v/>
      </c>
      <c r="G285" s="25" t="str">
        <f>IF($M285="H","실수익 "&amp;TEXT(INDEX($W$5:$W$16,$J285),"#,##0")&amp;"원",IF($M285="C","실수익",IF($M285="I",INDEX('완료 체험단'!$H$4:$H$2000,$N285),IF($M285="T",INDEX($W$5:$W$16,$J285),""))))</f>
        <v/>
      </c>
      <c r="I285" s="31">
        <f>ROWS(I$5:I285)</f>
        <v>281</v>
      </c>
      <c r="J285" t="str">
        <f t="shared" si="19"/>
        <v/>
      </c>
      <c r="K285" t="str">
        <f t="shared" si="20"/>
        <v/>
      </c>
      <c r="L285" t="str">
        <f t="shared" si="21"/>
        <v/>
      </c>
      <c r="M285" t="str">
        <f t="shared" si="22"/>
        <v/>
      </c>
      <c r="N285" t="str">
        <f>IF($M285="I",MATCH(SMALL('완료 체험단'!$K$4:$K$2000,INDEX($T$5:$T$16,$J285)+$K285-2),'완료 체험단'!$K$4:$K$2000,0),"")</f>
        <v/>
      </c>
    </row>
    <row r="286" spans="2:14">
      <c r="B286" s="23" t="str">
        <f>IF($M286="H",$J286&amp;"월",IF($M286="C","매장명",IF($M286="I",INDEX('완료 체험단'!$A$4:$A$2000,$N286),IF($M286="T","합계",""))))</f>
        <v/>
      </c>
      <c r="C286" s="29" t="str">
        <f>IF($M286="H",$L286&amp;"건",IF($M286="C","사이트",IF($M286="I",INDEX('완료 체험단'!$C$4:$C$2000,$N286),IF($M286="T",$L286&amp;"건",""))))</f>
        <v/>
      </c>
      <c r="D286" s="30" t="str">
        <f>IF($M286="C","방문일",IF($M286="I",INDEX('완료 체험단'!$D$4:$D$2000,$N286),""))</f>
        <v/>
      </c>
      <c r="E286" s="25" t="str">
        <f>IF($M286="H","제공금액 "&amp;TEXT(INDEX($U$5:$U$16,$J286),"#,##0")&amp;"원",IF($M286="C","제공금액",IF($M286="I",INDEX('완료 체험단'!$F$4:$F$2000,$N286),IF($M286="T",INDEX($U$5:$U$16,$J286),""))))</f>
        <v/>
      </c>
      <c r="F286" s="25" t="str">
        <f>IF($M286="H","결제금액 "&amp;TEXT(INDEX($V$5:$V$16,$J286),"#,##0")&amp;"원",IF($M286="C","결제금액",IF($M286="I",INDEX('완료 체험단'!$G$4:$G$2000,$N286),IF($M286="T",INDEX($V$5:$V$16,$J286),""))))</f>
        <v/>
      </c>
      <c r="G286" s="25" t="str">
        <f>IF($M286="H","실수익 "&amp;TEXT(INDEX($W$5:$W$16,$J286),"#,##0")&amp;"원",IF($M286="C","실수익",IF($M286="I",INDEX('완료 체험단'!$H$4:$H$2000,$N286),IF($M286="T",INDEX($W$5:$W$16,$J286),""))))</f>
        <v/>
      </c>
      <c r="I286" s="31">
        <f>ROWS(I$5:I286)</f>
        <v>282</v>
      </c>
      <c r="J286" t="str">
        <f t="shared" si="19"/>
        <v/>
      </c>
      <c r="K286" t="str">
        <f t="shared" si="20"/>
        <v/>
      </c>
      <c r="L286" t="str">
        <f t="shared" si="21"/>
        <v/>
      </c>
      <c r="M286" t="str">
        <f t="shared" si="22"/>
        <v/>
      </c>
      <c r="N286" t="str">
        <f>IF($M286="I",MATCH(SMALL('완료 체험단'!$K$4:$K$2000,INDEX($T$5:$T$16,$J286)+$K286-2),'완료 체험단'!$K$4:$K$2000,0),"")</f>
        <v/>
      </c>
    </row>
    <row r="287" spans="2:14">
      <c r="B287" s="23" t="str">
        <f>IF($M287="H",$J287&amp;"월",IF($M287="C","매장명",IF($M287="I",INDEX('완료 체험단'!$A$4:$A$2000,$N287),IF($M287="T","합계",""))))</f>
        <v/>
      </c>
      <c r="C287" s="29" t="str">
        <f>IF($M287="H",$L287&amp;"건",IF($M287="C","사이트",IF($M287="I",INDEX('완료 체험단'!$C$4:$C$2000,$N287),IF($M287="T",$L287&amp;"건",""))))</f>
        <v/>
      </c>
      <c r="D287" s="30" t="str">
        <f>IF($M287="C","방문일",IF($M287="I",INDEX('완료 체험단'!$D$4:$D$2000,$N287),""))</f>
        <v/>
      </c>
      <c r="E287" s="25" t="str">
        <f>IF($M287="H","제공금액 "&amp;TEXT(INDEX($U$5:$U$16,$J287),"#,##0")&amp;"원",IF($M287="C","제공금액",IF($M287="I",INDEX('완료 체험단'!$F$4:$F$2000,$N287),IF($M287="T",INDEX($U$5:$U$16,$J287),""))))</f>
        <v/>
      </c>
      <c r="F287" s="25" t="str">
        <f>IF($M287="H","결제금액 "&amp;TEXT(INDEX($V$5:$V$16,$J287),"#,##0")&amp;"원",IF($M287="C","결제금액",IF($M287="I",INDEX('완료 체험단'!$G$4:$G$2000,$N287),IF($M287="T",INDEX($V$5:$V$16,$J287),""))))</f>
        <v/>
      </c>
      <c r="G287" s="25" t="str">
        <f>IF($M287="H","실수익 "&amp;TEXT(INDEX($W$5:$W$16,$J287),"#,##0")&amp;"원",IF($M287="C","실수익",IF($M287="I",INDEX('완료 체험단'!$H$4:$H$2000,$N287),IF($M287="T",INDEX($W$5:$W$16,$J287),""))))</f>
        <v/>
      </c>
      <c r="I287" s="31">
        <f>ROWS(I$5:I287)</f>
        <v>283</v>
      </c>
      <c r="J287" t="str">
        <f t="shared" si="19"/>
        <v/>
      </c>
      <c r="K287" t="str">
        <f t="shared" si="20"/>
        <v/>
      </c>
      <c r="L287" t="str">
        <f t="shared" si="21"/>
        <v/>
      </c>
      <c r="M287" t="str">
        <f t="shared" si="22"/>
        <v/>
      </c>
      <c r="N287" t="str">
        <f>IF($M287="I",MATCH(SMALL('완료 체험단'!$K$4:$K$2000,INDEX($T$5:$T$16,$J287)+$K287-2),'완료 체험단'!$K$4:$K$2000,0),"")</f>
        <v/>
      </c>
    </row>
    <row r="288" spans="2:14">
      <c r="B288" s="23" t="str">
        <f>IF($M288="H",$J288&amp;"월",IF($M288="C","매장명",IF($M288="I",INDEX('완료 체험단'!$A$4:$A$2000,$N288),IF($M288="T","합계",""))))</f>
        <v/>
      </c>
      <c r="C288" s="29" t="str">
        <f>IF($M288="H",$L288&amp;"건",IF($M288="C","사이트",IF($M288="I",INDEX('완료 체험단'!$C$4:$C$2000,$N288),IF($M288="T",$L288&amp;"건",""))))</f>
        <v/>
      </c>
      <c r="D288" s="30" t="str">
        <f>IF($M288="C","방문일",IF($M288="I",INDEX('완료 체험단'!$D$4:$D$2000,$N288),""))</f>
        <v/>
      </c>
      <c r="E288" s="25" t="str">
        <f>IF($M288="H","제공금액 "&amp;TEXT(INDEX($U$5:$U$16,$J288),"#,##0")&amp;"원",IF($M288="C","제공금액",IF($M288="I",INDEX('완료 체험단'!$F$4:$F$2000,$N288),IF($M288="T",INDEX($U$5:$U$16,$J288),""))))</f>
        <v/>
      </c>
      <c r="F288" s="25" t="str">
        <f>IF($M288="H","결제금액 "&amp;TEXT(INDEX($V$5:$V$16,$J288),"#,##0")&amp;"원",IF($M288="C","결제금액",IF($M288="I",INDEX('완료 체험단'!$G$4:$G$2000,$N288),IF($M288="T",INDEX($V$5:$V$16,$J288),""))))</f>
        <v/>
      </c>
      <c r="G288" s="25" t="str">
        <f>IF($M288="H","실수익 "&amp;TEXT(INDEX($W$5:$W$16,$J288),"#,##0")&amp;"원",IF($M288="C","실수익",IF($M288="I",INDEX('완료 체험단'!$H$4:$H$2000,$N288),IF($M288="T",INDEX($W$5:$W$16,$J288),""))))</f>
        <v/>
      </c>
      <c r="I288" s="31">
        <f>ROWS(I$5:I288)</f>
        <v>284</v>
      </c>
      <c r="J288" t="str">
        <f t="shared" si="19"/>
        <v/>
      </c>
      <c r="K288" t="str">
        <f t="shared" si="20"/>
        <v/>
      </c>
      <c r="L288" t="str">
        <f t="shared" si="21"/>
        <v/>
      </c>
      <c r="M288" t="str">
        <f t="shared" si="22"/>
        <v/>
      </c>
      <c r="N288" t="str">
        <f>IF($M288="I",MATCH(SMALL('완료 체험단'!$K$4:$K$2000,INDEX($T$5:$T$16,$J288)+$K288-2),'완료 체험단'!$K$4:$K$2000,0),"")</f>
        <v/>
      </c>
    </row>
    <row r="289" spans="2:14">
      <c r="B289" s="23" t="str">
        <f>IF($M289="H",$J289&amp;"월",IF($M289="C","매장명",IF($M289="I",INDEX('완료 체험단'!$A$4:$A$2000,$N289),IF($M289="T","합계",""))))</f>
        <v/>
      </c>
      <c r="C289" s="29" t="str">
        <f>IF($M289="H",$L289&amp;"건",IF($M289="C","사이트",IF($M289="I",INDEX('완료 체험단'!$C$4:$C$2000,$N289),IF($M289="T",$L289&amp;"건",""))))</f>
        <v/>
      </c>
      <c r="D289" s="30" t="str">
        <f>IF($M289="C","방문일",IF($M289="I",INDEX('완료 체험단'!$D$4:$D$2000,$N289),""))</f>
        <v/>
      </c>
      <c r="E289" s="25" t="str">
        <f>IF($M289="H","제공금액 "&amp;TEXT(INDEX($U$5:$U$16,$J289),"#,##0")&amp;"원",IF($M289="C","제공금액",IF($M289="I",INDEX('완료 체험단'!$F$4:$F$2000,$N289),IF($M289="T",INDEX($U$5:$U$16,$J289),""))))</f>
        <v/>
      </c>
      <c r="F289" s="25" t="str">
        <f>IF($M289="H","결제금액 "&amp;TEXT(INDEX($V$5:$V$16,$J289),"#,##0")&amp;"원",IF($M289="C","결제금액",IF($M289="I",INDEX('완료 체험단'!$G$4:$G$2000,$N289),IF($M289="T",INDEX($V$5:$V$16,$J289),""))))</f>
        <v/>
      </c>
      <c r="G289" s="25" t="str">
        <f>IF($M289="H","실수익 "&amp;TEXT(INDEX($W$5:$W$16,$J289),"#,##0")&amp;"원",IF($M289="C","실수익",IF($M289="I",INDEX('완료 체험단'!$H$4:$H$2000,$N289),IF($M289="T",INDEX($W$5:$W$16,$J289),""))))</f>
        <v/>
      </c>
      <c r="I289" s="31">
        <f>ROWS(I$5:I289)</f>
        <v>285</v>
      </c>
      <c r="J289" t="str">
        <f t="shared" si="19"/>
        <v/>
      </c>
      <c r="K289" t="str">
        <f t="shared" si="20"/>
        <v/>
      </c>
      <c r="L289" t="str">
        <f t="shared" si="21"/>
        <v/>
      </c>
      <c r="M289" t="str">
        <f t="shared" si="22"/>
        <v/>
      </c>
      <c r="N289" t="str">
        <f>IF($M289="I",MATCH(SMALL('완료 체험단'!$K$4:$K$2000,INDEX($T$5:$T$16,$J289)+$K289-2),'완료 체험단'!$K$4:$K$2000,0),"")</f>
        <v/>
      </c>
    </row>
    <row r="290" spans="2:14">
      <c r="B290" s="23" t="str">
        <f>IF($M290="H",$J290&amp;"월",IF($M290="C","매장명",IF($M290="I",INDEX('완료 체험단'!$A$4:$A$2000,$N290),IF($M290="T","합계",""))))</f>
        <v/>
      </c>
      <c r="C290" s="29" t="str">
        <f>IF($M290="H",$L290&amp;"건",IF($M290="C","사이트",IF($M290="I",INDEX('완료 체험단'!$C$4:$C$2000,$N290),IF($M290="T",$L290&amp;"건",""))))</f>
        <v/>
      </c>
      <c r="D290" s="30" t="str">
        <f>IF($M290="C","방문일",IF($M290="I",INDEX('완료 체험단'!$D$4:$D$2000,$N290),""))</f>
        <v/>
      </c>
      <c r="E290" s="25" t="str">
        <f>IF($M290="H","제공금액 "&amp;TEXT(INDEX($U$5:$U$16,$J290),"#,##0")&amp;"원",IF($M290="C","제공금액",IF($M290="I",INDEX('완료 체험단'!$F$4:$F$2000,$N290),IF($M290="T",INDEX($U$5:$U$16,$J290),""))))</f>
        <v/>
      </c>
      <c r="F290" s="25" t="str">
        <f>IF($M290="H","결제금액 "&amp;TEXT(INDEX($V$5:$V$16,$J290),"#,##0")&amp;"원",IF($M290="C","결제금액",IF($M290="I",INDEX('완료 체험단'!$G$4:$G$2000,$N290),IF($M290="T",INDEX($V$5:$V$16,$J290),""))))</f>
        <v/>
      </c>
      <c r="G290" s="25" t="str">
        <f>IF($M290="H","실수익 "&amp;TEXT(INDEX($W$5:$W$16,$J290),"#,##0")&amp;"원",IF($M290="C","실수익",IF($M290="I",INDEX('완료 체험단'!$H$4:$H$2000,$N290),IF($M290="T",INDEX($W$5:$W$16,$J290),""))))</f>
        <v/>
      </c>
      <c r="I290" s="31">
        <f>ROWS(I$5:I290)</f>
        <v>286</v>
      </c>
      <c r="J290" t="str">
        <f t="shared" si="19"/>
        <v/>
      </c>
      <c r="K290" t="str">
        <f t="shared" si="20"/>
        <v/>
      </c>
      <c r="L290" t="str">
        <f t="shared" si="21"/>
        <v/>
      </c>
      <c r="M290" t="str">
        <f t="shared" si="22"/>
        <v/>
      </c>
      <c r="N290" t="str">
        <f>IF($M290="I",MATCH(SMALL('완료 체험단'!$K$4:$K$2000,INDEX($T$5:$T$16,$J290)+$K290-2),'완료 체험단'!$K$4:$K$2000,0),"")</f>
        <v/>
      </c>
    </row>
    <row r="291" spans="2:14">
      <c r="B291" s="23" t="str">
        <f>IF($M291="H",$J291&amp;"월",IF($M291="C","매장명",IF($M291="I",INDEX('완료 체험단'!$A$4:$A$2000,$N291),IF($M291="T","합계",""))))</f>
        <v/>
      </c>
      <c r="C291" s="29" t="str">
        <f>IF($M291="H",$L291&amp;"건",IF($M291="C","사이트",IF($M291="I",INDEX('완료 체험단'!$C$4:$C$2000,$N291),IF($M291="T",$L291&amp;"건",""))))</f>
        <v/>
      </c>
      <c r="D291" s="30" t="str">
        <f>IF($M291="C","방문일",IF($M291="I",INDEX('완료 체험단'!$D$4:$D$2000,$N291),""))</f>
        <v/>
      </c>
      <c r="E291" s="25" t="str">
        <f>IF($M291="H","제공금액 "&amp;TEXT(INDEX($U$5:$U$16,$J291),"#,##0")&amp;"원",IF($M291="C","제공금액",IF($M291="I",INDEX('완료 체험단'!$F$4:$F$2000,$N291),IF($M291="T",INDEX($U$5:$U$16,$J291),""))))</f>
        <v/>
      </c>
      <c r="F291" s="25" t="str">
        <f>IF($M291="H","결제금액 "&amp;TEXT(INDEX($V$5:$V$16,$J291),"#,##0")&amp;"원",IF($M291="C","결제금액",IF($M291="I",INDEX('완료 체험단'!$G$4:$G$2000,$N291),IF($M291="T",INDEX($V$5:$V$16,$J291),""))))</f>
        <v/>
      </c>
      <c r="G291" s="25" t="str">
        <f>IF($M291="H","실수익 "&amp;TEXT(INDEX($W$5:$W$16,$J291),"#,##0")&amp;"원",IF($M291="C","실수익",IF($M291="I",INDEX('완료 체험단'!$H$4:$H$2000,$N291),IF($M291="T",INDEX($W$5:$W$16,$J291),""))))</f>
        <v/>
      </c>
      <c r="I291" s="31">
        <f>ROWS(I$5:I291)</f>
        <v>287</v>
      </c>
      <c r="J291" t="str">
        <f t="shared" si="19"/>
        <v/>
      </c>
      <c r="K291" t="str">
        <f t="shared" si="20"/>
        <v/>
      </c>
      <c r="L291" t="str">
        <f t="shared" si="21"/>
        <v/>
      </c>
      <c r="M291" t="str">
        <f t="shared" si="22"/>
        <v/>
      </c>
      <c r="N291" t="str">
        <f>IF($M291="I",MATCH(SMALL('완료 체험단'!$K$4:$K$2000,INDEX($T$5:$T$16,$J291)+$K291-2),'완료 체험단'!$K$4:$K$2000,0),"")</f>
        <v/>
      </c>
    </row>
    <row r="292" spans="2:14">
      <c r="B292" s="23" t="str">
        <f>IF($M292="H",$J292&amp;"월",IF($M292="C","매장명",IF($M292="I",INDEX('완료 체험단'!$A$4:$A$2000,$N292),IF($M292="T","합계",""))))</f>
        <v/>
      </c>
      <c r="C292" s="29" t="str">
        <f>IF($M292="H",$L292&amp;"건",IF($M292="C","사이트",IF($M292="I",INDEX('완료 체험단'!$C$4:$C$2000,$N292),IF($M292="T",$L292&amp;"건",""))))</f>
        <v/>
      </c>
      <c r="D292" s="30" t="str">
        <f>IF($M292="C","방문일",IF($M292="I",INDEX('완료 체험단'!$D$4:$D$2000,$N292),""))</f>
        <v/>
      </c>
      <c r="E292" s="25" t="str">
        <f>IF($M292="H","제공금액 "&amp;TEXT(INDEX($U$5:$U$16,$J292),"#,##0")&amp;"원",IF($M292="C","제공금액",IF($M292="I",INDEX('완료 체험단'!$F$4:$F$2000,$N292),IF($M292="T",INDEX($U$5:$U$16,$J292),""))))</f>
        <v/>
      </c>
      <c r="F292" s="25" t="str">
        <f>IF($M292="H","결제금액 "&amp;TEXT(INDEX($V$5:$V$16,$J292),"#,##0")&amp;"원",IF($M292="C","결제금액",IF($M292="I",INDEX('완료 체험단'!$G$4:$G$2000,$N292),IF($M292="T",INDEX($V$5:$V$16,$J292),""))))</f>
        <v/>
      </c>
      <c r="G292" s="25" t="str">
        <f>IF($M292="H","실수익 "&amp;TEXT(INDEX($W$5:$W$16,$J292),"#,##0")&amp;"원",IF($M292="C","실수익",IF($M292="I",INDEX('완료 체험단'!$H$4:$H$2000,$N292),IF($M292="T",INDEX($W$5:$W$16,$J292),""))))</f>
        <v/>
      </c>
      <c r="I292" s="31">
        <f>ROWS(I$5:I292)</f>
        <v>288</v>
      </c>
      <c r="J292" t="str">
        <f t="shared" si="19"/>
        <v/>
      </c>
      <c r="K292" t="str">
        <f t="shared" si="20"/>
        <v/>
      </c>
      <c r="L292" t="str">
        <f t="shared" si="21"/>
        <v/>
      </c>
      <c r="M292" t="str">
        <f t="shared" si="22"/>
        <v/>
      </c>
      <c r="N292" t="str">
        <f>IF($M292="I",MATCH(SMALL('완료 체험단'!$K$4:$K$2000,INDEX($T$5:$T$16,$J292)+$K292-2),'완료 체험단'!$K$4:$K$2000,0),"")</f>
        <v/>
      </c>
    </row>
    <row r="293" spans="2:14">
      <c r="B293" s="23" t="str">
        <f>IF($M293="H",$J293&amp;"월",IF($M293="C","매장명",IF($M293="I",INDEX('완료 체험단'!$A$4:$A$2000,$N293),IF($M293="T","합계",""))))</f>
        <v/>
      </c>
      <c r="C293" s="29" t="str">
        <f>IF($M293="H",$L293&amp;"건",IF($M293="C","사이트",IF($M293="I",INDEX('완료 체험단'!$C$4:$C$2000,$N293),IF($M293="T",$L293&amp;"건",""))))</f>
        <v/>
      </c>
      <c r="D293" s="30" t="str">
        <f>IF($M293="C","방문일",IF($M293="I",INDEX('완료 체험단'!$D$4:$D$2000,$N293),""))</f>
        <v/>
      </c>
      <c r="E293" s="25" t="str">
        <f>IF($M293="H","제공금액 "&amp;TEXT(INDEX($U$5:$U$16,$J293),"#,##0")&amp;"원",IF($M293="C","제공금액",IF($M293="I",INDEX('완료 체험단'!$F$4:$F$2000,$N293),IF($M293="T",INDEX($U$5:$U$16,$J293),""))))</f>
        <v/>
      </c>
      <c r="F293" s="25" t="str">
        <f>IF($M293="H","결제금액 "&amp;TEXT(INDEX($V$5:$V$16,$J293),"#,##0")&amp;"원",IF($M293="C","결제금액",IF($M293="I",INDEX('완료 체험단'!$G$4:$G$2000,$N293),IF($M293="T",INDEX($V$5:$V$16,$J293),""))))</f>
        <v/>
      </c>
      <c r="G293" s="25" t="str">
        <f>IF($M293="H","실수익 "&amp;TEXT(INDEX($W$5:$W$16,$J293),"#,##0")&amp;"원",IF($M293="C","실수익",IF($M293="I",INDEX('완료 체험단'!$H$4:$H$2000,$N293),IF($M293="T",INDEX($W$5:$W$16,$J293),""))))</f>
        <v/>
      </c>
      <c r="I293" s="31">
        <f>ROWS(I$5:I293)</f>
        <v>289</v>
      </c>
      <c r="J293" t="str">
        <f t="shared" si="19"/>
        <v/>
      </c>
      <c r="K293" t="str">
        <f t="shared" si="20"/>
        <v/>
      </c>
      <c r="L293" t="str">
        <f t="shared" si="21"/>
        <v/>
      </c>
      <c r="M293" t="str">
        <f t="shared" si="22"/>
        <v/>
      </c>
      <c r="N293" t="str">
        <f>IF($M293="I",MATCH(SMALL('완료 체험단'!$K$4:$K$2000,INDEX($T$5:$T$16,$J293)+$K293-2),'완료 체험단'!$K$4:$K$2000,0),"")</f>
        <v/>
      </c>
    </row>
    <row r="294" spans="2:14">
      <c r="B294" s="23" t="str">
        <f>IF($M294="H",$J294&amp;"월",IF($M294="C","매장명",IF($M294="I",INDEX('완료 체험단'!$A$4:$A$2000,$N294),IF($M294="T","합계",""))))</f>
        <v/>
      </c>
      <c r="C294" s="29" t="str">
        <f>IF($M294="H",$L294&amp;"건",IF($M294="C","사이트",IF($M294="I",INDEX('완료 체험단'!$C$4:$C$2000,$N294),IF($M294="T",$L294&amp;"건",""))))</f>
        <v/>
      </c>
      <c r="D294" s="30" t="str">
        <f>IF($M294="C","방문일",IF($M294="I",INDEX('완료 체험단'!$D$4:$D$2000,$N294),""))</f>
        <v/>
      </c>
      <c r="E294" s="25" t="str">
        <f>IF($M294="H","제공금액 "&amp;TEXT(INDEX($U$5:$U$16,$J294),"#,##0")&amp;"원",IF($M294="C","제공금액",IF($M294="I",INDEX('완료 체험단'!$F$4:$F$2000,$N294),IF($M294="T",INDEX($U$5:$U$16,$J294),""))))</f>
        <v/>
      </c>
      <c r="F294" s="25" t="str">
        <f>IF($M294="H","결제금액 "&amp;TEXT(INDEX($V$5:$V$16,$J294),"#,##0")&amp;"원",IF($M294="C","결제금액",IF($M294="I",INDEX('완료 체험단'!$G$4:$G$2000,$N294),IF($M294="T",INDEX($V$5:$V$16,$J294),""))))</f>
        <v/>
      </c>
      <c r="G294" s="25" t="str">
        <f>IF($M294="H","실수익 "&amp;TEXT(INDEX($W$5:$W$16,$J294),"#,##0")&amp;"원",IF($M294="C","실수익",IF($M294="I",INDEX('완료 체험단'!$H$4:$H$2000,$N294),IF($M294="T",INDEX($W$5:$W$16,$J294),""))))</f>
        <v/>
      </c>
      <c r="I294" s="31">
        <f>ROWS(I$5:I294)</f>
        <v>290</v>
      </c>
      <c r="J294" t="str">
        <f t="shared" si="19"/>
        <v/>
      </c>
      <c r="K294" t="str">
        <f t="shared" si="20"/>
        <v/>
      </c>
      <c r="L294" t="str">
        <f t="shared" si="21"/>
        <v/>
      </c>
      <c r="M294" t="str">
        <f t="shared" si="22"/>
        <v/>
      </c>
      <c r="N294" t="str">
        <f>IF($M294="I",MATCH(SMALL('완료 체험단'!$K$4:$K$2000,INDEX($T$5:$T$16,$J294)+$K294-2),'완료 체험단'!$K$4:$K$2000,0),"")</f>
        <v/>
      </c>
    </row>
    <row r="295" spans="2:14">
      <c r="B295" s="23" t="str">
        <f>IF($M295="H",$J295&amp;"월",IF($M295="C","매장명",IF($M295="I",INDEX('완료 체험단'!$A$4:$A$2000,$N295),IF($M295="T","합계",""))))</f>
        <v/>
      </c>
      <c r="C295" s="29" t="str">
        <f>IF($M295="H",$L295&amp;"건",IF($M295="C","사이트",IF($M295="I",INDEX('완료 체험단'!$C$4:$C$2000,$N295),IF($M295="T",$L295&amp;"건",""))))</f>
        <v/>
      </c>
      <c r="D295" s="30" t="str">
        <f>IF($M295="C","방문일",IF($M295="I",INDEX('완료 체험단'!$D$4:$D$2000,$N295),""))</f>
        <v/>
      </c>
      <c r="E295" s="25" t="str">
        <f>IF($M295="H","제공금액 "&amp;TEXT(INDEX($U$5:$U$16,$J295),"#,##0")&amp;"원",IF($M295="C","제공금액",IF($M295="I",INDEX('완료 체험단'!$F$4:$F$2000,$N295),IF($M295="T",INDEX($U$5:$U$16,$J295),""))))</f>
        <v/>
      </c>
      <c r="F295" s="25" t="str">
        <f>IF($M295="H","결제금액 "&amp;TEXT(INDEX($V$5:$V$16,$J295),"#,##0")&amp;"원",IF($M295="C","결제금액",IF($M295="I",INDEX('완료 체험단'!$G$4:$G$2000,$N295),IF($M295="T",INDEX($V$5:$V$16,$J295),""))))</f>
        <v/>
      </c>
      <c r="G295" s="25" t="str">
        <f>IF($M295="H","실수익 "&amp;TEXT(INDEX($W$5:$W$16,$J295),"#,##0")&amp;"원",IF($M295="C","실수익",IF($M295="I",INDEX('완료 체험단'!$H$4:$H$2000,$N295),IF($M295="T",INDEX($W$5:$W$16,$J295),""))))</f>
        <v/>
      </c>
      <c r="I295" s="31">
        <f>ROWS(I$5:I295)</f>
        <v>291</v>
      </c>
      <c r="J295" t="str">
        <f t="shared" si="19"/>
        <v/>
      </c>
      <c r="K295" t="str">
        <f t="shared" si="20"/>
        <v/>
      </c>
      <c r="L295" t="str">
        <f t="shared" si="21"/>
        <v/>
      </c>
      <c r="M295" t="str">
        <f t="shared" si="22"/>
        <v/>
      </c>
      <c r="N295" t="str">
        <f>IF($M295="I",MATCH(SMALL('완료 체험단'!$K$4:$K$2000,INDEX($T$5:$T$16,$J295)+$K295-2),'완료 체험단'!$K$4:$K$2000,0),"")</f>
        <v/>
      </c>
    </row>
    <row r="296" spans="2:14">
      <c r="B296" s="23" t="str">
        <f>IF($M296="H",$J296&amp;"월",IF($M296="C","매장명",IF($M296="I",INDEX('완료 체험단'!$A$4:$A$2000,$N296),IF($M296="T","합계",""))))</f>
        <v/>
      </c>
      <c r="C296" s="29" t="str">
        <f>IF($M296="H",$L296&amp;"건",IF($M296="C","사이트",IF($M296="I",INDEX('완료 체험단'!$C$4:$C$2000,$N296),IF($M296="T",$L296&amp;"건",""))))</f>
        <v/>
      </c>
      <c r="D296" s="30" t="str">
        <f>IF($M296="C","방문일",IF($M296="I",INDEX('완료 체험단'!$D$4:$D$2000,$N296),""))</f>
        <v/>
      </c>
      <c r="E296" s="25" t="str">
        <f>IF($M296="H","제공금액 "&amp;TEXT(INDEX($U$5:$U$16,$J296),"#,##0")&amp;"원",IF($M296="C","제공금액",IF($M296="I",INDEX('완료 체험단'!$F$4:$F$2000,$N296),IF($M296="T",INDEX($U$5:$U$16,$J296),""))))</f>
        <v/>
      </c>
      <c r="F296" s="25" t="str">
        <f>IF($M296="H","결제금액 "&amp;TEXT(INDEX($V$5:$V$16,$J296),"#,##0")&amp;"원",IF($M296="C","결제금액",IF($M296="I",INDEX('완료 체험단'!$G$4:$G$2000,$N296),IF($M296="T",INDEX($V$5:$V$16,$J296),""))))</f>
        <v/>
      </c>
      <c r="G296" s="25" t="str">
        <f>IF($M296="H","실수익 "&amp;TEXT(INDEX($W$5:$W$16,$J296),"#,##0")&amp;"원",IF($M296="C","실수익",IF($M296="I",INDEX('완료 체험단'!$H$4:$H$2000,$N296),IF($M296="T",INDEX($W$5:$W$16,$J296),""))))</f>
        <v/>
      </c>
      <c r="I296" s="31">
        <f>ROWS(I$5:I296)</f>
        <v>292</v>
      </c>
      <c r="J296" t="str">
        <f t="shared" si="19"/>
        <v/>
      </c>
      <c r="K296" t="str">
        <f t="shared" si="20"/>
        <v/>
      </c>
      <c r="L296" t="str">
        <f t="shared" si="21"/>
        <v/>
      </c>
      <c r="M296" t="str">
        <f t="shared" si="22"/>
        <v/>
      </c>
      <c r="N296" t="str">
        <f>IF($M296="I",MATCH(SMALL('완료 체험단'!$K$4:$K$2000,INDEX($T$5:$T$16,$J296)+$K296-2),'완료 체험단'!$K$4:$K$2000,0),"")</f>
        <v/>
      </c>
    </row>
    <row r="297" spans="2:14">
      <c r="B297" s="23" t="str">
        <f>IF($M297="H",$J297&amp;"월",IF($M297="C","매장명",IF($M297="I",INDEX('완료 체험단'!$A$4:$A$2000,$N297),IF($M297="T","합계",""))))</f>
        <v/>
      </c>
      <c r="C297" s="29" t="str">
        <f>IF($M297="H",$L297&amp;"건",IF($M297="C","사이트",IF($M297="I",INDEX('완료 체험단'!$C$4:$C$2000,$N297),IF($M297="T",$L297&amp;"건",""))))</f>
        <v/>
      </c>
      <c r="D297" s="30" t="str">
        <f>IF($M297="C","방문일",IF($M297="I",INDEX('완료 체험단'!$D$4:$D$2000,$N297),""))</f>
        <v/>
      </c>
      <c r="E297" s="25" t="str">
        <f>IF($M297="H","제공금액 "&amp;TEXT(INDEX($U$5:$U$16,$J297),"#,##0")&amp;"원",IF($M297="C","제공금액",IF($M297="I",INDEX('완료 체험단'!$F$4:$F$2000,$N297),IF($M297="T",INDEX($U$5:$U$16,$J297),""))))</f>
        <v/>
      </c>
      <c r="F297" s="25" t="str">
        <f>IF($M297="H","결제금액 "&amp;TEXT(INDEX($V$5:$V$16,$J297),"#,##0")&amp;"원",IF($M297="C","결제금액",IF($M297="I",INDEX('완료 체험단'!$G$4:$G$2000,$N297),IF($M297="T",INDEX($V$5:$V$16,$J297),""))))</f>
        <v/>
      </c>
      <c r="G297" s="25" t="str">
        <f>IF($M297="H","실수익 "&amp;TEXT(INDEX($W$5:$W$16,$J297),"#,##0")&amp;"원",IF($M297="C","실수익",IF($M297="I",INDEX('완료 체험단'!$H$4:$H$2000,$N297),IF($M297="T",INDEX($W$5:$W$16,$J297),""))))</f>
        <v/>
      </c>
      <c r="I297" s="31">
        <f>ROWS(I$5:I297)</f>
        <v>293</v>
      </c>
      <c r="J297" t="str">
        <f t="shared" si="19"/>
        <v/>
      </c>
      <c r="K297" t="str">
        <f t="shared" si="20"/>
        <v/>
      </c>
      <c r="L297" t="str">
        <f t="shared" si="21"/>
        <v/>
      </c>
      <c r="M297" t="str">
        <f t="shared" si="22"/>
        <v/>
      </c>
      <c r="N297" t="str">
        <f>IF($M297="I",MATCH(SMALL('완료 체험단'!$K$4:$K$2000,INDEX($T$5:$T$16,$J297)+$K297-2),'완료 체험단'!$K$4:$K$2000,0),"")</f>
        <v/>
      </c>
    </row>
    <row r="298" spans="2:14">
      <c r="B298" s="23" t="str">
        <f>IF($M298="H",$J298&amp;"월",IF($M298="C","매장명",IF($M298="I",INDEX('완료 체험단'!$A$4:$A$2000,$N298),IF($M298="T","합계",""))))</f>
        <v/>
      </c>
      <c r="C298" s="29" t="str">
        <f>IF($M298="H",$L298&amp;"건",IF($M298="C","사이트",IF($M298="I",INDEX('완료 체험단'!$C$4:$C$2000,$N298),IF($M298="T",$L298&amp;"건",""))))</f>
        <v/>
      </c>
      <c r="D298" s="30" t="str">
        <f>IF($M298="C","방문일",IF($M298="I",INDEX('완료 체험단'!$D$4:$D$2000,$N298),""))</f>
        <v/>
      </c>
      <c r="E298" s="25" t="str">
        <f>IF($M298="H","제공금액 "&amp;TEXT(INDEX($U$5:$U$16,$J298),"#,##0")&amp;"원",IF($M298="C","제공금액",IF($M298="I",INDEX('완료 체험단'!$F$4:$F$2000,$N298),IF($M298="T",INDEX($U$5:$U$16,$J298),""))))</f>
        <v/>
      </c>
      <c r="F298" s="25" t="str">
        <f>IF($M298="H","결제금액 "&amp;TEXT(INDEX($V$5:$V$16,$J298),"#,##0")&amp;"원",IF($M298="C","결제금액",IF($M298="I",INDEX('완료 체험단'!$G$4:$G$2000,$N298),IF($M298="T",INDEX($V$5:$V$16,$J298),""))))</f>
        <v/>
      </c>
      <c r="G298" s="25" t="str">
        <f>IF($M298="H","실수익 "&amp;TEXT(INDEX($W$5:$W$16,$J298),"#,##0")&amp;"원",IF($M298="C","실수익",IF($M298="I",INDEX('완료 체험단'!$H$4:$H$2000,$N298),IF($M298="T",INDEX($W$5:$W$16,$J298),""))))</f>
        <v/>
      </c>
      <c r="I298" s="31">
        <f>ROWS(I$5:I298)</f>
        <v>294</v>
      </c>
      <c r="J298" t="str">
        <f t="shared" si="19"/>
        <v/>
      </c>
      <c r="K298" t="str">
        <f t="shared" si="20"/>
        <v/>
      </c>
      <c r="L298" t="str">
        <f t="shared" si="21"/>
        <v/>
      </c>
      <c r="M298" t="str">
        <f t="shared" si="22"/>
        <v/>
      </c>
      <c r="N298" t="str">
        <f>IF($M298="I",MATCH(SMALL('완료 체험단'!$K$4:$K$2000,INDEX($T$5:$T$16,$J298)+$K298-2),'완료 체험단'!$K$4:$K$2000,0),"")</f>
        <v/>
      </c>
    </row>
    <row r="299" spans="2:14">
      <c r="B299" s="23" t="str">
        <f>IF($M299="H",$J299&amp;"월",IF($M299="C","매장명",IF($M299="I",INDEX('완료 체험단'!$A$4:$A$2000,$N299),IF($M299="T","합계",""))))</f>
        <v/>
      </c>
      <c r="C299" s="29" t="str">
        <f>IF($M299="H",$L299&amp;"건",IF($M299="C","사이트",IF($M299="I",INDEX('완료 체험단'!$C$4:$C$2000,$N299),IF($M299="T",$L299&amp;"건",""))))</f>
        <v/>
      </c>
      <c r="D299" s="30" t="str">
        <f>IF($M299="C","방문일",IF($M299="I",INDEX('완료 체험단'!$D$4:$D$2000,$N299),""))</f>
        <v/>
      </c>
      <c r="E299" s="25" t="str">
        <f>IF($M299="H","제공금액 "&amp;TEXT(INDEX($U$5:$U$16,$J299),"#,##0")&amp;"원",IF($M299="C","제공금액",IF($M299="I",INDEX('완료 체험단'!$F$4:$F$2000,$N299),IF($M299="T",INDEX($U$5:$U$16,$J299),""))))</f>
        <v/>
      </c>
      <c r="F299" s="25" t="str">
        <f>IF($M299="H","결제금액 "&amp;TEXT(INDEX($V$5:$V$16,$J299),"#,##0")&amp;"원",IF($M299="C","결제금액",IF($M299="I",INDEX('완료 체험단'!$G$4:$G$2000,$N299),IF($M299="T",INDEX($V$5:$V$16,$J299),""))))</f>
        <v/>
      </c>
      <c r="G299" s="25" t="str">
        <f>IF($M299="H","실수익 "&amp;TEXT(INDEX($W$5:$W$16,$J299),"#,##0")&amp;"원",IF($M299="C","실수익",IF($M299="I",INDEX('완료 체험단'!$H$4:$H$2000,$N299),IF($M299="T",INDEX($W$5:$W$16,$J299),""))))</f>
        <v/>
      </c>
      <c r="I299" s="31">
        <f>ROWS(I$5:I299)</f>
        <v>295</v>
      </c>
      <c r="J299" t="str">
        <f t="shared" si="19"/>
        <v/>
      </c>
      <c r="K299" t="str">
        <f t="shared" si="20"/>
        <v/>
      </c>
      <c r="L299" t="str">
        <f t="shared" si="21"/>
        <v/>
      </c>
      <c r="M299" t="str">
        <f t="shared" si="22"/>
        <v/>
      </c>
      <c r="N299" t="str">
        <f>IF($M299="I",MATCH(SMALL('완료 체험단'!$K$4:$K$2000,INDEX($T$5:$T$16,$J299)+$K299-2),'완료 체험단'!$K$4:$K$2000,0),"")</f>
        <v/>
      </c>
    </row>
    <row r="300" spans="2:14">
      <c r="B300" s="23" t="str">
        <f>IF($M300="H",$J300&amp;"월",IF($M300="C","매장명",IF($M300="I",INDEX('완료 체험단'!$A$4:$A$2000,$N300),IF($M300="T","합계",""))))</f>
        <v/>
      </c>
      <c r="C300" s="29" t="str">
        <f>IF($M300="H",$L300&amp;"건",IF($M300="C","사이트",IF($M300="I",INDEX('완료 체험단'!$C$4:$C$2000,$N300),IF($M300="T",$L300&amp;"건",""))))</f>
        <v/>
      </c>
      <c r="D300" s="30" t="str">
        <f>IF($M300="C","방문일",IF($M300="I",INDEX('완료 체험단'!$D$4:$D$2000,$N300),""))</f>
        <v/>
      </c>
      <c r="E300" s="25" t="str">
        <f>IF($M300="H","제공금액 "&amp;TEXT(INDEX($U$5:$U$16,$J300),"#,##0")&amp;"원",IF($M300="C","제공금액",IF($M300="I",INDEX('완료 체험단'!$F$4:$F$2000,$N300),IF($M300="T",INDEX($U$5:$U$16,$J300),""))))</f>
        <v/>
      </c>
      <c r="F300" s="25" t="str">
        <f>IF($M300="H","결제금액 "&amp;TEXT(INDEX($V$5:$V$16,$J300),"#,##0")&amp;"원",IF($M300="C","결제금액",IF($M300="I",INDEX('완료 체험단'!$G$4:$G$2000,$N300),IF($M300="T",INDEX($V$5:$V$16,$J300),""))))</f>
        <v/>
      </c>
      <c r="G300" s="25" t="str">
        <f>IF($M300="H","실수익 "&amp;TEXT(INDEX($W$5:$W$16,$J300),"#,##0")&amp;"원",IF($M300="C","실수익",IF($M300="I",INDEX('완료 체험단'!$H$4:$H$2000,$N300),IF($M300="T",INDEX($W$5:$W$16,$J300),""))))</f>
        <v/>
      </c>
      <c r="I300" s="31">
        <f>ROWS(I$5:I300)</f>
        <v>296</v>
      </c>
      <c r="J300" t="str">
        <f t="shared" si="19"/>
        <v/>
      </c>
      <c r="K300" t="str">
        <f t="shared" si="20"/>
        <v/>
      </c>
      <c r="L300" t="str">
        <f t="shared" si="21"/>
        <v/>
      </c>
      <c r="M300" t="str">
        <f t="shared" si="22"/>
        <v/>
      </c>
      <c r="N300" t="str">
        <f>IF($M300="I",MATCH(SMALL('완료 체험단'!$K$4:$K$2000,INDEX($T$5:$T$16,$J300)+$K300-2),'완료 체험단'!$K$4:$K$2000,0),"")</f>
        <v/>
      </c>
    </row>
    <row r="301" spans="2:14">
      <c r="B301" s="23" t="str">
        <f>IF($M301="H",$J301&amp;"월",IF($M301="C","매장명",IF($M301="I",INDEX('완료 체험단'!$A$4:$A$2000,$N301),IF($M301="T","합계",""))))</f>
        <v/>
      </c>
      <c r="C301" s="29" t="str">
        <f>IF($M301="H",$L301&amp;"건",IF($M301="C","사이트",IF($M301="I",INDEX('완료 체험단'!$C$4:$C$2000,$N301),IF($M301="T",$L301&amp;"건",""))))</f>
        <v/>
      </c>
      <c r="D301" s="30" t="str">
        <f>IF($M301="C","방문일",IF($M301="I",INDEX('완료 체험단'!$D$4:$D$2000,$N301),""))</f>
        <v/>
      </c>
      <c r="E301" s="25" t="str">
        <f>IF($M301="H","제공금액 "&amp;TEXT(INDEX($U$5:$U$16,$J301),"#,##0")&amp;"원",IF($M301="C","제공금액",IF($M301="I",INDEX('완료 체험단'!$F$4:$F$2000,$N301),IF($M301="T",INDEX($U$5:$U$16,$J301),""))))</f>
        <v/>
      </c>
      <c r="F301" s="25" t="str">
        <f>IF($M301="H","결제금액 "&amp;TEXT(INDEX($V$5:$V$16,$J301),"#,##0")&amp;"원",IF($M301="C","결제금액",IF($M301="I",INDEX('완료 체험단'!$G$4:$G$2000,$N301),IF($M301="T",INDEX($V$5:$V$16,$J301),""))))</f>
        <v/>
      </c>
      <c r="G301" s="25" t="str">
        <f>IF($M301="H","실수익 "&amp;TEXT(INDEX($W$5:$W$16,$J301),"#,##0")&amp;"원",IF($M301="C","실수익",IF($M301="I",INDEX('완료 체험단'!$H$4:$H$2000,$N301),IF($M301="T",INDEX($W$5:$W$16,$J301),""))))</f>
        <v/>
      </c>
      <c r="I301" s="31">
        <f>ROWS(I$5:I301)</f>
        <v>297</v>
      </c>
      <c r="J301" t="str">
        <f t="shared" si="19"/>
        <v/>
      </c>
      <c r="K301" t="str">
        <f t="shared" si="20"/>
        <v/>
      </c>
      <c r="L301" t="str">
        <f t="shared" si="21"/>
        <v/>
      </c>
      <c r="M301" t="str">
        <f t="shared" si="22"/>
        <v/>
      </c>
      <c r="N301" t="str">
        <f>IF($M301="I",MATCH(SMALL('완료 체험단'!$K$4:$K$2000,INDEX($T$5:$T$16,$J301)+$K301-2),'완료 체험단'!$K$4:$K$2000,0),"")</f>
        <v/>
      </c>
    </row>
    <row r="302" spans="2:14">
      <c r="B302" s="23" t="str">
        <f>IF($M302="H",$J302&amp;"월",IF($M302="C","매장명",IF($M302="I",INDEX('완료 체험단'!$A$4:$A$2000,$N302),IF($M302="T","합계",""))))</f>
        <v/>
      </c>
      <c r="C302" s="29" t="str">
        <f>IF($M302="H",$L302&amp;"건",IF($M302="C","사이트",IF($M302="I",INDEX('완료 체험단'!$C$4:$C$2000,$N302),IF($M302="T",$L302&amp;"건",""))))</f>
        <v/>
      </c>
      <c r="D302" s="30" t="str">
        <f>IF($M302="C","방문일",IF($M302="I",INDEX('완료 체험단'!$D$4:$D$2000,$N302),""))</f>
        <v/>
      </c>
      <c r="E302" s="25" t="str">
        <f>IF($M302="H","제공금액 "&amp;TEXT(INDEX($U$5:$U$16,$J302),"#,##0")&amp;"원",IF($M302="C","제공금액",IF($M302="I",INDEX('완료 체험단'!$F$4:$F$2000,$N302),IF($M302="T",INDEX($U$5:$U$16,$J302),""))))</f>
        <v/>
      </c>
      <c r="F302" s="25" t="str">
        <f>IF($M302="H","결제금액 "&amp;TEXT(INDEX($V$5:$V$16,$J302),"#,##0")&amp;"원",IF($M302="C","결제금액",IF($M302="I",INDEX('완료 체험단'!$G$4:$G$2000,$N302),IF($M302="T",INDEX($V$5:$V$16,$J302),""))))</f>
        <v/>
      </c>
      <c r="G302" s="25" t="str">
        <f>IF($M302="H","실수익 "&amp;TEXT(INDEX($W$5:$W$16,$J302),"#,##0")&amp;"원",IF($M302="C","실수익",IF($M302="I",INDEX('완료 체험단'!$H$4:$H$2000,$N302),IF($M302="T",INDEX($W$5:$W$16,$J302),""))))</f>
        <v/>
      </c>
      <c r="I302" s="31">
        <f>ROWS(I$5:I302)</f>
        <v>298</v>
      </c>
      <c r="J302" t="str">
        <f t="shared" si="19"/>
        <v/>
      </c>
      <c r="K302" t="str">
        <f t="shared" si="20"/>
        <v/>
      </c>
      <c r="L302" t="str">
        <f t="shared" si="21"/>
        <v/>
      </c>
      <c r="M302" t="str">
        <f t="shared" si="22"/>
        <v/>
      </c>
      <c r="N302" t="str">
        <f>IF($M302="I",MATCH(SMALL('완료 체험단'!$K$4:$K$2000,INDEX($T$5:$T$16,$J302)+$K302-2),'완료 체험단'!$K$4:$K$2000,0),"")</f>
        <v/>
      </c>
    </row>
    <row r="303" spans="2:14">
      <c r="B303" s="23" t="str">
        <f>IF($M303="H",$J303&amp;"월",IF($M303="C","매장명",IF($M303="I",INDEX('완료 체험단'!$A$4:$A$2000,$N303),IF($M303="T","합계",""))))</f>
        <v/>
      </c>
      <c r="C303" s="29" t="str">
        <f>IF($M303="H",$L303&amp;"건",IF($M303="C","사이트",IF($M303="I",INDEX('완료 체험단'!$C$4:$C$2000,$N303),IF($M303="T",$L303&amp;"건",""))))</f>
        <v/>
      </c>
      <c r="D303" s="30" t="str">
        <f>IF($M303="C","방문일",IF($M303="I",INDEX('완료 체험단'!$D$4:$D$2000,$N303),""))</f>
        <v/>
      </c>
      <c r="E303" s="25" t="str">
        <f>IF($M303="H","제공금액 "&amp;TEXT(INDEX($U$5:$U$16,$J303),"#,##0")&amp;"원",IF($M303="C","제공금액",IF($M303="I",INDEX('완료 체험단'!$F$4:$F$2000,$N303),IF($M303="T",INDEX($U$5:$U$16,$J303),""))))</f>
        <v/>
      </c>
      <c r="F303" s="25" t="str">
        <f>IF($M303="H","결제금액 "&amp;TEXT(INDEX($V$5:$V$16,$J303),"#,##0")&amp;"원",IF($M303="C","결제금액",IF($M303="I",INDEX('완료 체험단'!$G$4:$G$2000,$N303),IF($M303="T",INDEX($V$5:$V$16,$J303),""))))</f>
        <v/>
      </c>
      <c r="G303" s="25" t="str">
        <f>IF($M303="H","실수익 "&amp;TEXT(INDEX($W$5:$W$16,$J303),"#,##0")&amp;"원",IF($M303="C","실수익",IF($M303="I",INDEX('완료 체험단'!$H$4:$H$2000,$N303),IF($M303="T",INDEX($W$5:$W$16,$J303),""))))</f>
        <v/>
      </c>
      <c r="I303" s="31">
        <f>ROWS(I$5:I303)</f>
        <v>299</v>
      </c>
      <c r="J303" t="str">
        <f t="shared" si="19"/>
        <v/>
      </c>
      <c r="K303" t="str">
        <f t="shared" si="20"/>
        <v/>
      </c>
      <c r="L303" t="str">
        <f t="shared" si="21"/>
        <v/>
      </c>
      <c r="M303" t="str">
        <f t="shared" si="22"/>
        <v/>
      </c>
      <c r="N303" t="str">
        <f>IF($M303="I",MATCH(SMALL('완료 체험단'!$K$4:$K$2000,INDEX($T$5:$T$16,$J303)+$K303-2),'완료 체험단'!$K$4:$K$2000,0),"")</f>
        <v/>
      </c>
    </row>
    <row r="304" spans="2:14">
      <c r="B304" s="23" t="str">
        <f>IF($M304="H",$J304&amp;"월",IF($M304="C","매장명",IF($M304="I",INDEX('완료 체험단'!$A$4:$A$2000,$N304),IF($M304="T","합계",""))))</f>
        <v/>
      </c>
      <c r="C304" s="29" t="str">
        <f>IF($M304="H",$L304&amp;"건",IF($M304="C","사이트",IF($M304="I",INDEX('완료 체험단'!$C$4:$C$2000,$N304),IF($M304="T",$L304&amp;"건",""))))</f>
        <v/>
      </c>
      <c r="D304" s="30" t="str">
        <f>IF($M304="C","방문일",IF($M304="I",INDEX('완료 체험단'!$D$4:$D$2000,$N304),""))</f>
        <v/>
      </c>
      <c r="E304" s="25" t="str">
        <f>IF($M304="H","제공금액 "&amp;TEXT(INDEX($U$5:$U$16,$J304),"#,##0")&amp;"원",IF($M304="C","제공금액",IF($M304="I",INDEX('완료 체험단'!$F$4:$F$2000,$N304),IF($M304="T",INDEX($U$5:$U$16,$J304),""))))</f>
        <v/>
      </c>
      <c r="F304" s="25" t="str">
        <f>IF($M304="H","결제금액 "&amp;TEXT(INDEX($V$5:$V$16,$J304),"#,##0")&amp;"원",IF($M304="C","결제금액",IF($M304="I",INDEX('완료 체험단'!$G$4:$G$2000,$N304),IF($M304="T",INDEX($V$5:$V$16,$J304),""))))</f>
        <v/>
      </c>
      <c r="G304" s="25" t="str">
        <f>IF($M304="H","실수익 "&amp;TEXT(INDEX($W$5:$W$16,$J304),"#,##0")&amp;"원",IF($M304="C","실수익",IF($M304="I",INDEX('완료 체험단'!$H$4:$H$2000,$N304),IF($M304="T",INDEX($W$5:$W$16,$J304),""))))</f>
        <v/>
      </c>
      <c r="I304" s="31">
        <f>ROWS(I$5:I304)</f>
        <v>300</v>
      </c>
      <c r="J304" t="str">
        <f t="shared" si="19"/>
        <v/>
      </c>
      <c r="K304" t="str">
        <f t="shared" si="20"/>
        <v/>
      </c>
      <c r="L304" t="str">
        <f t="shared" si="21"/>
        <v/>
      </c>
      <c r="M304" t="str">
        <f t="shared" si="22"/>
        <v/>
      </c>
      <c r="N304" t="str">
        <f>IF($M304="I",MATCH(SMALL('완료 체험단'!$K$4:$K$2000,INDEX($T$5:$T$16,$J304)+$K304-2),'완료 체험단'!$K$4:$K$2000,0),"")</f>
        <v/>
      </c>
    </row>
    <row r="305" spans="2:14">
      <c r="B305" s="23" t="str">
        <f>IF($M305="H",$J305&amp;"월",IF($M305="C","매장명",IF($M305="I",INDEX('완료 체험단'!$A$4:$A$2000,$N305),IF($M305="T","합계",""))))</f>
        <v/>
      </c>
      <c r="C305" s="29" t="str">
        <f>IF($M305="H",$L305&amp;"건",IF($M305="C","사이트",IF($M305="I",INDEX('완료 체험단'!$C$4:$C$2000,$N305),IF($M305="T",$L305&amp;"건",""))))</f>
        <v/>
      </c>
      <c r="D305" s="30" t="str">
        <f>IF($M305="C","방문일",IF($M305="I",INDEX('완료 체험단'!$D$4:$D$2000,$N305),""))</f>
        <v/>
      </c>
      <c r="E305" s="25" t="str">
        <f>IF($M305="H","제공금액 "&amp;TEXT(INDEX($U$5:$U$16,$J305),"#,##0")&amp;"원",IF($M305="C","제공금액",IF($M305="I",INDEX('완료 체험단'!$F$4:$F$2000,$N305),IF($M305="T",INDEX($U$5:$U$16,$J305),""))))</f>
        <v/>
      </c>
      <c r="F305" s="25" t="str">
        <f>IF($M305="H","결제금액 "&amp;TEXT(INDEX($V$5:$V$16,$J305),"#,##0")&amp;"원",IF($M305="C","결제금액",IF($M305="I",INDEX('완료 체험단'!$G$4:$G$2000,$N305),IF($M305="T",INDEX($V$5:$V$16,$J305),""))))</f>
        <v/>
      </c>
      <c r="G305" s="25" t="str">
        <f>IF($M305="H","실수익 "&amp;TEXT(INDEX($W$5:$W$16,$J305),"#,##0")&amp;"원",IF($M305="C","실수익",IF($M305="I",INDEX('완료 체험단'!$H$4:$H$2000,$N305),IF($M305="T",INDEX($W$5:$W$16,$J305),""))))</f>
        <v/>
      </c>
      <c r="I305" s="31">
        <f>ROWS(I$5:I305)</f>
        <v>301</v>
      </c>
      <c r="J305" t="str">
        <f t="shared" si="19"/>
        <v/>
      </c>
      <c r="K305" t="str">
        <f t="shared" si="20"/>
        <v/>
      </c>
      <c r="L305" t="str">
        <f t="shared" si="21"/>
        <v/>
      </c>
      <c r="M305" t="str">
        <f t="shared" si="22"/>
        <v/>
      </c>
      <c r="N305" t="str">
        <f>IF($M305="I",MATCH(SMALL('완료 체험단'!$K$4:$K$2000,INDEX($T$5:$T$16,$J305)+$K305-2),'완료 체험단'!$K$4:$K$2000,0),"")</f>
        <v/>
      </c>
    </row>
    <row r="306" spans="2:14">
      <c r="B306" s="23" t="str">
        <f>IF($M306="H",$J306&amp;"월",IF($M306="C","매장명",IF($M306="I",INDEX('완료 체험단'!$A$4:$A$2000,$N306),IF($M306="T","합계",""))))</f>
        <v/>
      </c>
      <c r="C306" s="29" t="str">
        <f>IF($M306="H",$L306&amp;"건",IF($M306="C","사이트",IF($M306="I",INDEX('완료 체험단'!$C$4:$C$2000,$N306),IF($M306="T",$L306&amp;"건",""))))</f>
        <v/>
      </c>
      <c r="D306" s="30" t="str">
        <f>IF($M306="C","방문일",IF($M306="I",INDEX('완료 체험단'!$D$4:$D$2000,$N306),""))</f>
        <v/>
      </c>
      <c r="E306" s="25" t="str">
        <f>IF($M306="H","제공금액 "&amp;TEXT(INDEX($U$5:$U$16,$J306),"#,##0")&amp;"원",IF($M306="C","제공금액",IF($M306="I",INDEX('완료 체험단'!$F$4:$F$2000,$N306),IF($M306="T",INDEX($U$5:$U$16,$J306),""))))</f>
        <v/>
      </c>
      <c r="F306" s="25" t="str">
        <f>IF($M306="H","결제금액 "&amp;TEXT(INDEX($V$5:$V$16,$J306),"#,##0")&amp;"원",IF($M306="C","결제금액",IF($M306="I",INDEX('완료 체험단'!$G$4:$G$2000,$N306),IF($M306="T",INDEX($V$5:$V$16,$J306),""))))</f>
        <v/>
      </c>
      <c r="G306" s="25" t="str">
        <f>IF($M306="H","실수익 "&amp;TEXT(INDEX($W$5:$W$16,$J306),"#,##0")&amp;"원",IF($M306="C","실수익",IF($M306="I",INDEX('완료 체험단'!$H$4:$H$2000,$N306),IF($M306="T",INDEX($W$5:$W$16,$J306),""))))</f>
        <v/>
      </c>
      <c r="I306" s="31">
        <f>ROWS(I$5:I306)</f>
        <v>302</v>
      </c>
      <c r="J306" t="str">
        <f t="shared" si="19"/>
        <v/>
      </c>
      <c r="K306" t="str">
        <f t="shared" si="20"/>
        <v/>
      </c>
      <c r="L306" t="str">
        <f t="shared" si="21"/>
        <v/>
      </c>
      <c r="M306" t="str">
        <f t="shared" si="22"/>
        <v/>
      </c>
      <c r="N306" t="str">
        <f>IF($M306="I",MATCH(SMALL('완료 체험단'!$K$4:$K$2000,INDEX($T$5:$T$16,$J306)+$K306-2),'완료 체험단'!$K$4:$K$2000,0),"")</f>
        <v/>
      </c>
    </row>
    <row r="307" spans="2:14">
      <c r="B307" s="23" t="str">
        <f>IF($M307="H",$J307&amp;"월",IF($M307="C","매장명",IF($M307="I",INDEX('완료 체험단'!$A$4:$A$2000,$N307),IF($M307="T","합계",""))))</f>
        <v/>
      </c>
      <c r="C307" s="29" t="str">
        <f>IF($M307="H",$L307&amp;"건",IF($M307="C","사이트",IF($M307="I",INDEX('완료 체험단'!$C$4:$C$2000,$N307),IF($M307="T",$L307&amp;"건",""))))</f>
        <v/>
      </c>
      <c r="D307" s="30" t="str">
        <f>IF($M307="C","방문일",IF($M307="I",INDEX('완료 체험단'!$D$4:$D$2000,$N307),""))</f>
        <v/>
      </c>
      <c r="E307" s="25" t="str">
        <f>IF($M307="H","제공금액 "&amp;TEXT(INDEX($U$5:$U$16,$J307),"#,##0")&amp;"원",IF($M307="C","제공금액",IF($M307="I",INDEX('완료 체험단'!$F$4:$F$2000,$N307),IF($M307="T",INDEX($U$5:$U$16,$J307),""))))</f>
        <v/>
      </c>
      <c r="F307" s="25" t="str">
        <f>IF($M307="H","결제금액 "&amp;TEXT(INDEX($V$5:$V$16,$J307),"#,##0")&amp;"원",IF($M307="C","결제금액",IF($M307="I",INDEX('완료 체험단'!$G$4:$G$2000,$N307),IF($M307="T",INDEX($V$5:$V$16,$J307),""))))</f>
        <v/>
      </c>
      <c r="G307" s="25" t="str">
        <f>IF($M307="H","실수익 "&amp;TEXT(INDEX($W$5:$W$16,$J307),"#,##0")&amp;"원",IF($M307="C","실수익",IF($M307="I",INDEX('완료 체험단'!$H$4:$H$2000,$N307),IF($M307="T",INDEX($W$5:$W$16,$J307),""))))</f>
        <v/>
      </c>
      <c r="I307" s="31">
        <f>ROWS(I$5:I307)</f>
        <v>303</v>
      </c>
      <c r="J307" t="str">
        <f t="shared" si="19"/>
        <v/>
      </c>
      <c r="K307" t="str">
        <f t="shared" si="20"/>
        <v/>
      </c>
      <c r="L307" t="str">
        <f t="shared" si="21"/>
        <v/>
      </c>
      <c r="M307" t="str">
        <f t="shared" si="22"/>
        <v/>
      </c>
      <c r="N307" t="str">
        <f>IF($M307="I",MATCH(SMALL('완료 체험단'!$K$4:$K$2000,INDEX($T$5:$T$16,$J307)+$K307-2),'완료 체험단'!$K$4:$K$2000,0),"")</f>
        <v/>
      </c>
    </row>
    <row r="308" spans="2:14">
      <c r="B308" s="23" t="str">
        <f>IF($M308="H",$J308&amp;"월",IF($M308="C","매장명",IF($M308="I",INDEX('완료 체험단'!$A$4:$A$2000,$N308),IF($M308="T","합계",""))))</f>
        <v/>
      </c>
      <c r="C308" s="29" t="str">
        <f>IF($M308="H",$L308&amp;"건",IF($M308="C","사이트",IF($M308="I",INDEX('완료 체험단'!$C$4:$C$2000,$N308),IF($M308="T",$L308&amp;"건",""))))</f>
        <v/>
      </c>
      <c r="D308" s="30" t="str">
        <f>IF($M308="C","방문일",IF($M308="I",INDEX('완료 체험단'!$D$4:$D$2000,$N308),""))</f>
        <v/>
      </c>
      <c r="E308" s="25" t="str">
        <f>IF($M308="H","제공금액 "&amp;TEXT(INDEX($U$5:$U$16,$J308),"#,##0")&amp;"원",IF($M308="C","제공금액",IF($M308="I",INDEX('완료 체험단'!$F$4:$F$2000,$N308),IF($M308="T",INDEX($U$5:$U$16,$J308),""))))</f>
        <v/>
      </c>
      <c r="F308" s="25" t="str">
        <f>IF($M308="H","결제금액 "&amp;TEXT(INDEX($V$5:$V$16,$J308),"#,##0")&amp;"원",IF($M308="C","결제금액",IF($M308="I",INDEX('완료 체험단'!$G$4:$G$2000,$N308),IF($M308="T",INDEX($V$5:$V$16,$J308),""))))</f>
        <v/>
      </c>
      <c r="G308" s="25" t="str">
        <f>IF($M308="H","실수익 "&amp;TEXT(INDEX($W$5:$W$16,$J308),"#,##0")&amp;"원",IF($M308="C","실수익",IF($M308="I",INDEX('완료 체험단'!$H$4:$H$2000,$N308),IF($M308="T",INDEX($W$5:$W$16,$J308),""))))</f>
        <v/>
      </c>
      <c r="I308" s="31">
        <f>ROWS(I$5:I308)</f>
        <v>304</v>
      </c>
      <c r="J308" t="str">
        <f t="shared" si="19"/>
        <v/>
      </c>
      <c r="K308" t="str">
        <f t="shared" si="20"/>
        <v/>
      </c>
      <c r="L308" t="str">
        <f t="shared" si="21"/>
        <v/>
      </c>
      <c r="M308" t="str">
        <f t="shared" si="22"/>
        <v/>
      </c>
      <c r="N308" t="str">
        <f>IF($M308="I",MATCH(SMALL('완료 체험단'!$K$4:$K$2000,INDEX($T$5:$T$16,$J308)+$K308-2),'완료 체험단'!$K$4:$K$2000,0),"")</f>
        <v/>
      </c>
    </row>
    <row r="309" spans="2:14">
      <c r="B309" s="23" t="str">
        <f>IF($M309="H",$J309&amp;"월",IF($M309="C","매장명",IF($M309="I",INDEX('완료 체험단'!$A$4:$A$2000,$N309),IF($M309="T","합계",""))))</f>
        <v/>
      </c>
      <c r="C309" s="29" t="str">
        <f>IF($M309="H",$L309&amp;"건",IF($M309="C","사이트",IF($M309="I",INDEX('완료 체험단'!$C$4:$C$2000,$N309),IF($M309="T",$L309&amp;"건",""))))</f>
        <v/>
      </c>
      <c r="D309" s="30" t="str">
        <f>IF($M309="C","방문일",IF($M309="I",INDEX('완료 체험단'!$D$4:$D$2000,$N309),""))</f>
        <v/>
      </c>
      <c r="E309" s="25" t="str">
        <f>IF($M309="H","제공금액 "&amp;TEXT(INDEX($U$5:$U$16,$J309),"#,##0")&amp;"원",IF($M309="C","제공금액",IF($M309="I",INDEX('완료 체험단'!$F$4:$F$2000,$N309),IF($M309="T",INDEX($U$5:$U$16,$J309),""))))</f>
        <v/>
      </c>
      <c r="F309" s="25" t="str">
        <f>IF($M309="H","결제금액 "&amp;TEXT(INDEX($V$5:$V$16,$J309),"#,##0")&amp;"원",IF($M309="C","결제금액",IF($M309="I",INDEX('완료 체험단'!$G$4:$G$2000,$N309),IF($M309="T",INDEX($V$5:$V$16,$J309),""))))</f>
        <v/>
      </c>
      <c r="G309" s="25" t="str">
        <f>IF($M309="H","실수익 "&amp;TEXT(INDEX($W$5:$W$16,$J309),"#,##0")&amp;"원",IF($M309="C","실수익",IF($M309="I",INDEX('완료 체험단'!$H$4:$H$2000,$N309),IF($M309="T",INDEX($W$5:$W$16,$J309),""))))</f>
        <v/>
      </c>
      <c r="I309" s="31">
        <f>ROWS(I$5:I309)</f>
        <v>305</v>
      </c>
      <c r="J309" t="str">
        <f t="shared" si="19"/>
        <v/>
      </c>
      <c r="K309" t="str">
        <f t="shared" si="20"/>
        <v/>
      </c>
      <c r="L309" t="str">
        <f t="shared" si="21"/>
        <v/>
      </c>
      <c r="M309" t="str">
        <f t="shared" si="22"/>
        <v/>
      </c>
      <c r="N309" t="str">
        <f>IF($M309="I",MATCH(SMALL('완료 체험단'!$K$4:$K$2000,INDEX($T$5:$T$16,$J309)+$K309-2),'완료 체험단'!$K$4:$K$2000,0),"")</f>
        <v/>
      </c>
    </row>
    <row r="310" spans="2:14">
      <c r="B310" s="23" t="str">
        <f>IF($M310="H",$J310&amp;"월",IF($M310="C","매장명",IF($M310="I",INDEX('완료 체험단'!$A$4:$A$2000,$N310),IF($M310="T","합계",""))))</f>
        <v/>
      </c>
      <c r="C310" s="29" t="str">
        <f>IF($M310="H",$L310&amp;"건",IF($M310="C","사이트",IF($M310="I",INDEX('완료 체험단'!$C$4:$C$2000,$N310),IF($M310="T",$L310&amp;"건",""))))</f>
        <v/>
      </c>
      <c r="D310" s="30" t="str">
        <f>IF($M310="C","방문일",IF($M310="I",INDEX('완료 체험단'!$D$4:$D$2000,$N310),""))</f>
        <v/>
      </c>
      <c r="E310" s="25" t="str">
        <f>IF($M310="H","제공금액 "&amp;TEXT(INDEX($U$5:$U$16,$J310),"#,##0")&amp;"원",IF($M310="C","제공금액",IF($M310="I",INDEX('완료 체험단'!$F$4:$F$2000,$N310),IF($M310="T",INDEX($U$5:$U$16,$J310),""))))</f>
        <v/>
      </c>
      <c r="F310" s="25" t="str">
        <f>IF($M310="H","결제금액 "&amp;TEXT(INDEX($V$5:$V$16,$J310),"#,##0")&amp;"원",IF($M310="C","결제금액",IF($M310="I",INDEX('완료 체험단'!$G$4:$G$2000,$N310),IF($M310="T",INDEX($V$5:$V$16,$J310),""))))</f>
        <v/>
      </c>
      <c r="G310" s="25" t="str">
        <f>IF($M310="H","실수익 "&amp;TEXT(INDEX($W$5:$W$16,$J310),"#,##0")&amp;"원",IF($M310="C","실수익",IF($M310="I",INDEX('완료 체험단'!$H$4:$H$2000,$N310),IF($M310="T",INDEX($W$5:$W$16,$J310),""))))</f>
        <v/>
      </c>
      <c r="I310" s="31">
        <f>ROWS(I$5:I310)</f>
        <v>306</v>
      </c>
      <c r="J310" t="str">
        <f t="shared" si="19"/>
        <v/>
      </c>
      <c r="K310" t="str">
        <f t="shared" si="20"/>
        <v/>
      </c>
      <c r="L310" t="str">
        <f t="shared" si="21"/>
        <v/>
      </c>
      <c r="M310" t="str">
        <f t="shared" si="22"/>
        <v/>
      </c>
      <c r="N310" t="str">
        <f>IF($M310="I",MATCH(SMALL('완료 체험단'!$K$4:$K$2000,INDEX($T$5:$T$16,$J310)+$K310-2),'완료 체험단'!$K$4:$K$2000,0),"")</f>
        <v/>
      </c>
    </row>
    <row r="311" spans="2:14">
      <c r="B311" s="23" t="str">
        <f>IF($M311="H",$J311&amp;"월",IF($M311="C","매장명",IF($M311="I",INDEX('완료 체험단'!$A$4:$A$2000,$N311),IF($M311="T","합계",""))))</f>
        <v/>
      </c>
      <c r="C311" s="29" t="str">
        <f>IF($M311="H",$L311&amp;"건",IF($M311="C","사이트",IF($M311="I",INDEX('완료 체험단'!$C$4:$C$2000,$N311),IF($M311="T",$L311&amp;"건",""))))</f>
        <v/>
      </c>
      <c r="D311" s="30" t="str">
        <f>IF($M311="C","방문일",IF($M311="I",INDEX('완료 체험단'!$D$4:$D$2000,$N311),""))</f>
        <v/>
      </c>
      <c r="E311" s="25" t="str">
        <f>IF($M311="H","제공금액 "&amp;TEXT(INDEX($U$5:$U$16,$J311),"#,##0")&amp;"원",IF($M311="C","제공금액",IF($M311="I",INDEX('완료 체험단'!$F$4:$F$2000,$N311),IF($M311="T",INDEX($U$5:$U$16,$J311),""))))</f>
        <v/>
      </c>
      <c r="F311" s="25" t="str">
        <f>IF($M311="H","결제금액 "&amp;TEXT(INDEX($V$5:$V$16,$J311),"#,##0")&amp;"원",IF($M311="C","결제금액",IF($M311="I",INDEX('완료 체험단'!$G$4:$G$2000,$N311),IF($M311="T",INDEX($V$5:$V$16,$J311),""))))</f>
        <v/>
      </c>
      <c r="G311" s="25" t="str">
        <f>IF($M311="H","실수익 "&amp;TEXT(INDEX($W$5:$W$16,$J311),"#,##0")&amp;"원",IF($M311="C","실수익",IF($M311="I",INDEX('완료 체험단'!$H$4:$H$2000,$N311),IF($M311="T",INDEX($W$5:$W$16,$J311),""))))</f>
        <v/>
      </c>
      <c r="I311" s="31">
        <f>ROWS(I$5:I311)</f>
        <v>307</v>
      </c>
      <c r="J311" t="str">
        <f t="shared" si="19"/>
        <v/>
      </c>
      <c r="K311" t="str">
        <f t="shared" si="20"/>
        <v/>
      </c>
      <c r="L311" t="str">
        <f t="shared" si="21"/>
        <v/>
      </c>
      <c r="M311" t="str">
        <f t="shared" si="22"/>
        <v/>
      </c>
      <c r="N311" t="str">
        <f>IF($M311="I",MATCH(SMALL('완료 체험단'!$K$4:$K$2000,INDEX($T$5:$T$16,$J311)+$K311-2),'완료 체험단'!$K$4:$K$2000,0),"")</f>
        <v/>
      </c>
    </row>
    <row r="312" spans="2:14">
      <c r="B312" s="23" t="str">
        <f>IF($M312="H",$J312&amp;"월",IF($M312="C","매장명",IF($M312="I",INDEX('완료 체험단'!$A$4:$A$2000,$N312),IF($M312="T","합계",""))))</f>
        <v/>
      </c>
      <c r="C312" s="29" t="str">
        <f>IF($M312="H",$L312&amp;"건",IF($M312="C","사이트",IF($M312="I",INDEX('완료 체험단'!$C$4:$C$2000,$N312),IF($M312="T",$L312&amp;"건",""))))</f>
        <v/>
      </c>
      <c r="D312" s="30" t="str">
        <f>IF($M312="C","방문일",IF($M312="I",INDEX('완료 체험단'!$D$4:$D$2000,$N312),""))</f>
        <v/>
      </c>
      <c r="E312" s="25" t="str">
        <f>IF($M312="H","제공금액 "&amp;TEXT(INDEX($U$5:$U$16,$J312),"#,##0")&amp;"원",IF($M312="C","제공금액",IF($M312="I",INDEX('완료 체험단'!$F$4:$F$2000,$N312),IF($M312="T",INDEX($U$5:$U$16,$J312),""))))</f>
        <v/>
      </c>
      <c r="F312" s="25" t="str">
        <f>IF($M312="H","결제금액 "&amp;TEXT(INDEX($V$5:$V$16,$J312),"#,##0")&amp;"원",IF($M312="C","결제금액",IF($M312="I",INDEX('완료 체험단'!$G$4:$G$2000,$N312),IF($M312="T",INDEX($V$5:$V$16,$J312),""))))</f>
        <v/>
      </c>
      <c r="G312" s="25" t="str">
        <f>IF($M312="H","실수익 "&amp;TEXT(INDEX($W$5:$W$16,$J312),"#,##0")&amp;"원",IF($M312="C","실수익",IF($M312="I",INDEX('완료 체험단'!$H$4:$H$2000,$N312),IF($M312="T",INDEX($W$5:$W$16,$J312),""))))</f>
        <v/>
      </c>
      <c r="I312" s="31">
        <f>ROWS(I$5:I312)</f>
        <v>308</v>
      </c>
      <c r="J312" t="str">
        <f t="shared" si="19"/>
        <v/>
      </c>
      <c r="K312" t="str">
        <f t="shared" si="20"/>
        <v/>
      </c>
      <c r="L312" t="str">
        <f t="shared" si="21"/>
        <v/>
      </c>
      <c r="M312" t="str">
        <f t="shared" si="22"/>
        <v/>
      </c>
      <c r="N312" t="str">
        <f>IF($M312="I",MATCH(SMALL('완료 체험단'!$K$4:$K$2000,INDEX($T$5:$T$16,$J312)+$K312-2),'완료 체험단'!$K$4:$K$2000,0),"")</f>
        <v/>
      </c>
    </row>
    <row r="313" spans="2:14">
      <c r="B313" s="23" t="str">
        <f>IF($M313="H",$J313&amp;"월",IF($M313="C","매장명",IF($M313="I",INDEX('완료 체험단'!$A$4:$A$2000,$N313),IF($M313="T","합계",""))))</f>
        <v/>
      </c>
      <c r="C313" s="29" t="str">
        <f>IF($M313="H",$L313&amp;"건",IF($M313="C","사이트",IF($M313="I",INDEX('완료 체험단'!$C$4:$C$2000,$N313),IF($M313="T",$L313&amp;"건",""))))</f>
        <v/>
      </c>
      <c r="D313" s="30" t="str">
        <f>IF($M313="C","방문일",IF($M313="I",INDEX('완료 체험단'!$D$4:$D$2000,$N313),""))</f>
        <v/>
      </c>
      <c r="E313" s="25" t="str">
        <f>IF($M313="H","제공금액 "&amp;TEXT(INDEX($U$5:$U$16,$J313),"#,##0")&amp;"원",IF($M313="C","제공금액",IF($M313="I",INDEX('완료 체험단'!$F$4:$F$2000,$N313),IF($M313="T",INDEX($U$5:$U$16,$J313),""))))</f>
        <v/>
      </c>
      <c r="F313" s="25" t="str">
        <f>IF($M313="H","결제금액 "&amp;TEXT(INDEX($V$5:$V$16,$J313),"#,##0")&amp;"원",IF($M313="C","결제금액",IF($M313="I",INDEX('완료 체험단'!$G$4:$G$2000,$N313),IF($M313="T",INDEX($V$5:$V$16,$J313),""))))</f>
        <v/>
      </c>
      <c r="G313" s="25" t="str">
        <f>IF($M313="H","실수익 "&amp;TEXT(INDEX($W$5:$W$16,$J313),"#,##0")&amp;"원",IF($M313="C","실수익",IF($M313="I",INDEX('완료 체험단'!$H$4:$H$2000,$N313),IF($M313="T",INDEX($W$5:$W$16,$J313),""))))</f>
        <v/>
      </c>
      <c r="I313" s="31">
        <f>ROWS(I$5:I313)</f>
        <v>309</v>
      </c>
      <c r="J313" t="str">
        <f t="shared" si="19"/>
        <v/>
      </c>
      <c r="K313" t="str">
        <f t="shared" si="20"/>
        <v/>
      </c>
      <c r="L313" t="str">
        <f t="shared" si="21"/>
        <v/>
      </c>
      <c r="M313" t="str">
        <f t="shared" si="22"/>
        <v/>
      </c>
      <c r="N313" t="str">
        <f>IF($M313="I",MATCH(SMALL('완료 체험단'!$K$4:$K$2000,INDEX($T$5:$T$16,$J313)+$K313-2),'완료 체험단'!$K$4:$K$2000,0),"")</f>
        <v/>
      </c>
    </row>
    <row r="314" spans="2:14">
      <c r="B314" s="23" t="str">
        <f>IF($M314="H",$J314&amp;"월",IF($M314="C","매장명",IF($M314="I",INDEX('완료 체험단'!$A$4:$A$2000,$N314),IF($M314="T","합계",""))))</f>
        <v/>
      </c>
      <c r="C314" s="29" t="str">
        <f>IF($M314="H",$L314&amp;"건",IF($M314="C","사이트",IF($M314="I",INDEX('완료 체험단'!$C$4:$C$2000,$N314),IF($M314="T",$L314&amp;"건",""))))</f>
        <v/>
      </c>
      <c r="D314" s="30" t="str">
        <f>IF($M314="C","방문일",IF($M314="I",INDEX('완료 체험단'!$D$4:$D$2000,$N314),""))</f>
        <v/>
      </c>
      <c r="E314" s="25" t="str">
        <f>IF($M314="H","제공금액 "&amp;TEXT(INDEX($U$5:$U$16,$J314),"#,##0")&amp;"원",IF($M314="C","제공금액",IF($M314="I",INDEX('완료 체험단'!$F$4:$F$2000,$N314),IF($M314="T",INDEX($U$5:$U$16,$J314),""))))</f>
        <v/>
      </c>
      <c r="F314" s="25" t="str">
        <f>IF($M314="H","결제금액 "&amp;TEXT(INDEX($V$5:$V$16,$J314),"#,##0")&amp;"원",IF($M314="C","결제금액",IF($M314="I",INDEX('완료 체험단'!$G$4:$G$2000,$N314),IF($M314="T",INDEX($V$5:$V$16,$J314),""))))</f>
        <v/>
      </c>
      <c r="G314" s="25" t="str">
        <f>IF($M314="H","실수익 "&amp;TEXT(INDEX($W$5:$W$16,$J314),"#,##0")&amp;"원",IF($M314="C","실수익",IF($M314="I",INDEX('완료 체험단'!$H$4:$H$2000,$N314),IF($M314="T",INDEX($W$5:$W$16,$J314),""))))</f>
        <v/>
      </c>
      <c r="I314" s="31">
        <f>ROWS(I$5:I314)</f>
        <v>310</v>
      </c>
      <c r="J314" t="str">
        <f t="shared" si="19"/>
        <v/>
      </c>
      <c r="K314" t="str">
        <f t="shared" si="20"/>
        <v/>
      </c>
      <c r="L314" t="str">
        <f t="shared" si="21"/>
        <v/>
      </c>
      <c r="M314" t="str">
        <f t="shared" si="22"/>
        <v/>
      </c>
      <c r="N314" t="str">
        <f>IF($M314="I",MATCH(SMALL('완료 체험단'!$K$4:$K$2000,INDEX($T$5:$T$16,$J314)+$K314-2),'완료 체험단'!$K$4:$K$2000,0),"")</f>
        <v/>
      </c>
    </row>
    <row r="315" spans="2:14">
      <c r="B315" s="23" t="str">
        <f>IF($M315="H",$J315&amp;"월",IF($M315="C","매장명",IF($M315="I",INDEX('완료 체험단'!$A$4:$A$2000,$N315),IF($M315="T","합계",""))))</f>
        <v/>
      </c>
      <c r="C315" s="29" t="str">
        <f>IF($M315="H",$L315&amp;"건",IF($M315="C","사이트",IF($M315="I",INDEX('완료 체험단'!$C$4:$C$2000,$N315),IF($M315="T",$L315&amp;"건",""))))</f>
        <v/>
      </c>
      <c r="D315" s="30" t="str">
        <f>IF($M315="C","방문일",IF($M315="I",INDEX('완료 체험단'!$D$4:$D$2000,$N315),""))</f>
        <v/>
      </c>
      <c r="E315" s="25" t="str">
        <f>IF($M315="H","제공금액 "&amp;TEXT(INDEX($U$5:$U$16,$J315),"#,##0")&amp;"원",IF($M315="C","제공금액",IF($M315="I",INDEX('완료 체험단'!$F$4:$F$2000,$N315),IF($M315="T",INDEX($U$5:$U$16,$J315),""))))</f>
        <v/>
      </c>
      <c r="F315" s="25" t="str">
        <f>IF($M315="H","결제금액 "&amp;TEXT(INDEX($V$5:$V$16,$J315),"#,##0")&amp;"원",IF($M315="C","결제금액",IF($M315="I",INDEX('완료 체험단'!$G$4:$G$2000,$N315),IF($M315="T",INDEX($V$5:$V$16,$J315),""))))</f>
        <v/>
      </c>
      <c r="G315" s="25" t="str">
        <f>IF($M315="H","실수익 "&amp;TEXT(INDEX($W$5:$W$16,$J315),"#,##0")&amp;"원",IF($M315="C","실수익",IF($M315="I",INDEX('완료 체험단'!$H$4:$H$2000,$N315),IF($M315="T",INDEX($W$5:$W$16,$J315),""))))</f>
        <v/>
      </c>
      <c r="I315" s="31">
        <f>ROWS(I$5:I315)</f>
        <v>311</v>
      </c>
      <c r="J315" t="str">
        <f t="shared" si="19"/>
        <v/>
      </c>
      <c r="K315" t="str">
        <f t="shared" si="20"/>
        <v/>
      </c>
      <c r="L315" t="str">
        <f t="shared" si="21"/>
        <v/>
      </c>
      <c r="M315" t="str">
        <f t="shared" si="22"/>
        <v/>
      </c>
      <c r="N315" t="str">
        <f>IF($M315="I",MATCH(SMALL('완료 체험단'!$K$4:$K$2000,INDEX($T$5:$T$16,$J315)+$K315-2),'완료 체험단'!$K$4:$K$2000,0),"")</f>
        <v/>
      </c>
    </row>
    <row r="316" spans="2:14">
      <c r="B316" s="23" t="str">
        <f>IF($M316="H",$J316&amp;"월",IF($M316="C","매장명",IF($M316="I",INDEX('완료 체험단'!$A$4:$A$2000,$N316),IF($M316="T","합계",""))))</f>
        <v/>
      </c>
      <c r="C316" s="29" t="str">
        <f>IF($M316="H",$L316&amp;"건",IF($M316="C","사이트",IF($M316="I",INDEX('완료 체험단'!$C$4:$C$2000,$N316),IF($M316="T",$L316&amp;"건",""))))</f>
        <v/>
      </c>
      <c r="D316" s="30" t="str">
        <f>IF($M316="C","방문일",IF($M316="I",INDEX('완료 체험단'!$D$4:$D$2000,$N316),""))</f>
        <v/>
      </c>
      <c r="E316" s="25" t="str">
        <f>IF($M316="H","제공금액 "&amp;TEXT(INDEX($U$5:$U$16,$J316),"#,##0")&amp;"원",IF($M316="C","제공금액",IF($M316="I",INDEX('완료 체험단'!$F$4:$F$2000,$N316),IF($M316="T",INDEX($U$5:$U$16,$J316),""))))</f>
        <v/>
      </c>
      <c r="F316" s="25" t="str">
        <f>IF($M316="H","결제금액 "&amp;TEXT(INDEX($V$5:$V$16,$J316),"#,##0")&amp;"원",IF($M316="C","결제금액",IF($M316="I",INDEX('완료 체험단'!$G$4:$G$2000,$N316),IF($M316="T",INDEX($V$5:$V$16,$J316),""))))</f>
        <v/>
      </c>
      <c r="G316" s="25" t="str">
        <f>IF($M316="H","실수익 "&amp;TEXT(INDEX($W$5:$W$16,$J316),"#,##0")&amp;"원",IF($M316="C","실수익",IF($M316="I",INDEX('완료 체험단'!$H$4:$H$2000,$N316),IF($M316="T",INDEX($W$5:$W$16,$J316),""))))</f>
        <v/>
      </c>
      <c r="I316" s="31">
        <f>ROWS(I$5:I316)</f>
        <v>312</v>
      </c>
      <c r="J316" t="str">
        <f t="shared" si="19"/>
        <v/>
      </c>
      <c r="K316" t="str">
        <f t="shared" si="20"/>
        <v/>
      </c>
      <c r="L316" t="str">
        <f t="shared" si="21"/>
        <v/>
      </c>
      <c r="M316" t="str">
        <f t="shared" si="22"/>
        <v/>
      </c>
      <c r="N316" t="str">
        <f>IF($M316="I",MATCH(SMALL('완료 체험단'!$K$4:$K$2000,INDEX($T$5:$T$16,$J316)+$K316-2),'완료 체험단'!$K$4:$K$2000,0),"")</f>
        <v/>
      </c>
    </row>
    <row r="317" spans="2:14">
      <c r="B317" s="23" t="str">
        <f>IF($M317="H",$J317&amp;"월",IF($M317="C","매장명",IF($M317="I",INDEX('완료 체험단'!$A$4:$A$2000,$N317),IF($M317="T","합계",""))))</f>
        <v/>
      </c>
      <c r="C317" s="29" t="str">
        <f>IF($M317="H",$L317&amp;"건",IF($M317="C","사이트",IF($M317="I",INDEX('완료 체험단'!$C$4:$C$2000,$N317),IF($M317="T",$L317&amp;"건",""))))</f>
        <v/>
      </c>
      <c r="D317" s="30" t="str">
        <f>IF($M317="C","방문일",IF($M317="I",INDEX('완료 체험단'!$D$4:$D$2000,$N317),""))</f>
        <v/>
      </c>
      <c r="E317" s="25" t="str">
        <f>IF($M317="H","제공금액 "&amp;TEXT(INDEX($U$5:$U$16,$J317),"#,##0")&amp;"원",IF($M317="C","제공금액",IF($M317="I",INDEX('완료 체험단'!$F$4:$F$2000,$N317),IF($M317="T",INDEX($U$5:$U$16,$J317),""))))</f>
        <v/>
      </c>
      <c r="F317" s="25" t="str">
        <f>IF($M317="H","결제금액 "&amp;TEXT(INDEX($V$5:$V$16,$J317),"#,##0")&amp;"원",IF($M317="C","결제금액",IF($M317="I",INDEX('완료 체험단'!$G$4:$G$2000,$N317),IF($M317="T",INDEX($V$5:$V$16,$J317),""))))</f>
        <v/>
      </c>
      <c r="G317" s="25" t="str">
        <f>IF($M317="H","실수익 "&amp;TEXT(INDEX($W$5:$W$16,$J317),"#,##0")&amp;"원",IF($M317="C","실수익",IF($M317="I",INDEX('완료 체험단'!$H$4:$H$2000,$N317),IF($M317="T",INDEX($W$5:$W$16,$J317),""))))</f>
        <v/>
      </c>
      <c r="I317" s="31">
        <f>ROWS(I$5:I317)</f>
        <v>313</v>
      </c>
      <c r="J317" t="str">
        <f t="shared" si="19"/>
        <v/>
      </c>
      <c r="K317" t="str">
        <f t="shared" si="20"/>
        <v/>
      </c>
      <c r="L317" t="str">
        <f t="shared" si="21"/>
        <v/>
      </c>
      <c r="M317" t="str">
        <f t="shared" si="22"/>
        <v/>
      </c>
      <c r="N317" t="str">
        <f>IF($M317="I",MATCH(SMALL('완료 체험단'!$K$4:$K$2000,INDEX($T$5:$T$16,$J317)+$K317-2),'완료 체험단'!$K$4:$K$2000,0),"")</f>
        <v/>
      </c>
    </row>
    <row r="318" spans="2:14">
      <c r="B318" s="23" t="str">
        <f>IF($M318="H",$J318&amp;"월",IF($M318="C","매장명",IF($M318="I",INDEX('완료 체험단'!$A$4:$A$2000,$N318),IF($M318="T","합계",""))))</f>
        <v/>
      </c>
      <c r="C318" s="29" t="str">
        <f>IF($M318="H",$L318&amp;"건",IF($M318="C","사이트",IF($M318="I",INDEX('완료 체험단'!$C$4:$C$2000,$N318),IF($M318="T",$L318&amp;"건",""))))</f>
        <v/>
      </c>
      <c r="D318" s="30" t="str">
        <f>IF($M318="C","방문일",IF($M318="I",INDEX('완료 체험단'!$D$4:$D$2000,$N318),""))</f>
        <v/>
      </c>
      <c r="E318" s="25" t="str">
        <f>IF($M318="H","제공금액 "&amp;TEXT(INDEX($U$5:$U$16,$J318),"#,##0")&amp;"원",IF($M318="C","제공금액",IF($M318="I",INDEX('완료 체험단'!$F$4:$F$2000,$N318),IF($M318="T",INDEX($U$5:$U$16,$J318),""))))</f>
        <v/>
      </c>
      <c r="F318" s="25" t="str">
        <f>IF($M318="H","결제금액 "&amp;TEXT(INDEX($V$5:$V$16,$J318),"#,##0")&amp;"원",IF($M318="C","결제금액",IF($M318="I",INDEX('완료 체험단'!$G$4:$G$2000,$N318),IF($M318="T",INDEX($V$5:$V$16,$J318),""))))</f>
        <v/>
      </c>
      <c r="G318" s="25" t="str">
        <f>IF($M318="H","실수익 "&amp;TEXT(INDEX($W$5:$W$16,$J318),"#,##0")&amp;"원",IF($M318="C","실수익",IF($M318="I",INDEX('완료 체험단'!$H$4:$H$2000,$N318),IF($M318="T",INDEX($W$5:$W$16,$J318),""))))</f>
        <v/>
      </c>
      <c r="I318" s="31">
        <f>ROWS(I$5:I318)</f>
        <v>314</v>
      </c>
      <c r="J318" t="str">
        <f t="shared" si="19"/>
        <v/>
      </c>
      <c r="K318" t="str">
        <f t="shared" si="20"/>
        <v/>
      </c>
      <c r="L318" t="str">
        <f t="shared" si="21"/>
        <v/>
      </c>
      <c r="M318" t="str">
        <f t="shared" si="22"/>
        <v/>
      </c>
      <c r="N318" t="str">
        <f>IF($M318="I",MATCH(SMALL('완료 체험단'!$K$4:$K$2000,INDEX($T$5:$T$16,$J318)+$K318-2),'완료 체험단'!$K$4:$K$2000,0),"")</f>
        <v/>
      </c>
    </row>
    <row r="319" spans="2:14">
      <c r="B319" s="23" t="str">
        <f>IF($M319="H",$J319&amp;"월",IF($M319="C","매장명",IF($M319="I",INDEX('완료 체험단'!$A$4:$A$2000,$N319),IF($M319="T","합계",""))))</f>
        <v/>
      </c>
      <c r="C319" s="29" t="str">
        <f>IF($M319="H",$L319&amp;"건",IF($M319="C","사이트",IF($M319="I",INDEX('완료 체험단'!$C$4:$C$2000,$N319),IF($M319="T",$L319&amp;"건",""))))</f>
        <v/>
      </c>
      <c r="D319" s="30" t="str">
        <f>IF($M319="C","방문일",IF($M319="I",INDEX('완료 체험단'!$D$4:$D$2000,$N319),""))</f>
        <v/>
      </c>
      <c r="E319" s="25" t="str">
        <f>IF($M319="H","제공금액 "&amp;TEXT(INDEX($U$5:$U$16,$J319),"#,##0")&amp;"원",IF($M319="C","제공금액",IF($M319="I",INDEX('완료 체험단'!$F$4:$F$2000,$N319),IF($M319="T",INDEX($U$5:$U$16,$J319),""))))</f>
        <v/>
      </c>
      <c r="F319" s="25" t="str">
        <f>IF($M319="H","결제금액 "&amp;TEXT(INDEX($V$5:$V$16,$J319),"#,##0")&amp;"원",IF($M319="C","결제금액",IF($M319="I",INDEX('완료 체험단'!$G$4:$G$2000,$N319),IF($M319="T",INDEX($V$5:$V$16,$J319),""))))</f>
        <v/>
      </c>
      <c r="G319" s="25" t="str">
        <f>IF($M319="H","실수익 "&amp;TEXT(INDEX($W$5:$W$16,$J319),"#,##0")&amp;"원",IF($M319="C","실수익",IF($M319="I",INDEX('완료 체험단'!$H$4:$H$2000,$N319),IF($M319="T",INDEX($W$5:$W$16,$J319),""))))</f>
        <v/>
      </c>
      <c r="I319" s="31">
        <f>ROWS(I$5:I319)</f>
        <v>315</v>
      </c>
      <c r="J319" t="str">
        <f t="shared" si="19"/>
        <v/>
      </c>
      <c r="K319" t="str">
        <f t="shared" si="20"/>
        <v/>
      </c>
      <c r="L319" t="str">
        <f t="shared" si="21"/>
        <v/>
      </c>
      <c r="M319" t="str">
        <f t="shared" si="22"/>
        <v/>
      </c>
      <c r="N319" t="str">
        <f>IF($M319="I",MATCH(SMALL('완료 체험단'!$K$4:$K$2000,INDEX($T$5:$T$16,$J319)+$K319-2),'완료 체험단'!$K$4:$K$2000,0),"")</f>
        <v/>
      </c>
    </row>
    <row r="320" spans="2:14">
      <c r="B320" s="23" t="str">
        <f>IF($M320="H",$J320&amp;"월",IF($M320="C","매장명",IF($M320="I",INDEX('완료 체험단'!$A$4:$A$2000,$N320),IF($M320="T","합계",""))))</f>
        <v/>
      </c>
      <c r="C320" s="29" t="str">
        <f>IF($M320="H",$L320&amp;"건",IF($M320="C","사이트",IF($M320="I",INDEX('완료 체험단'!$C$4:$C$2000,$N320),IF($M320="T",$L320&amp;"건",""))))</f>
        <v/>
      </c>
      <c r="D320" s="30" t="str">
        <f>IF($M320="C","방문일",IF($M320="I",INDEX('완료 체험단'!$D$4:$D$2000,$N320),""))</f>
        <v/>
      </c>
      <c r="E320" s="25" t="str">
        <f>IF($M320="H","제공금액 "&amp;TEXT(INDEX($U$5:$U$16,$J320),"#,##0")&amp;"원",IF($M320="C","제공금액",IF($M320="I",INDEX('완료 체험단'!$F$4:$F$2000,$N320),IF($M320="T",INDEX($U$5:$U$16,$J320),""))))</f>
        <v/>
      </c>
      <c r="F320" s="25" t="str">
        <f>IF($M320="H","결제금액 "&amp;TEXT(INDEX($V$5:$V$16,$J320),"#,##0")&amp;"원",IF($M320="C","결제금액",IF($M320="I",INDEX('완료 체험단'!$G$4:$G$2000,$N320),IF($M320="T",INDEX($V$5:$V$16,$J320),""))))</f>
        <v/>
      </c>
      <c r="G320" s="25" t="str">
        <f>IF($M320="H","실수익 "&amp;TEXT(INDEX($W$5:$W$16,$J320),"#,##0")&amp;"원",IF($M320="C","실수익",IF($M320="I",INDEX('완료 체험단'!$H$4:$H$2000,$N320),IF($M320="T",INDEX($W$5:$W$16,$J320),""))))</f>
        <v/>
      </c>
      <c r="I320" s="31">
        <f>ROWS(I$5:I320)</f>
        <v>316</v>
      </c>
      <c r="J320" t="str">
        <f t="shared" si="19"/>
        <v/>
      </c>
      <c r="K320" t="str">
        <f t="shared" si="20"/>
        <v/>
      </c>
      <c r="L320" t="str">
        <f t="shared" si="21"/>
        <v/>
      </c>
      <c r="M320" t="str">
        <f t="shared" si="22"/>
        <v/>
      </c>
      <c r="N320" t="str">
        <f>IF($M320="I",MATCH(SMALL('완료 체험단'!$K$4:$K$2000,INDEX($T$5:$T$16,$J320)+$K320-2),'완료 체험단'!$K$4:$K$2000,0),"")</f>
        <v/>
      </c>
    </row>
    <row r="321" spans="2:14">
      <c r="B321" s="23" t="str">
        <f>IF($M321="H",$J321&amp;"월",IF($M321="C","매장명",IF($M321="I",INDEX('완료 체험단'!$A$4:$A$2000,$N321),IF($M321="T","합계",""))))</f>
        <v/>
      </c>
      <c r="C321" s="29" t="str">
        <f>IF($M321="H",$L321&amp;"건",IF($M321="C","사이트",IF($M321="I",INDEX('완료 체험단'!$C$4:$C$2000,$N321),IF($M321="T",$L321&amp;"건",""))))</f>
        <v/>
      </c>
      <c r="D321" s="30" t="str">
        <f>IF($M321="C","방문일",IF($M321="I",INDEX('완료 체험단'!$D$4:$D$2000,$N321),""))</f>
        <v/>
      </c>
      <c r="E321" s="25" t="str">
        <f>IF($M321="H","제공금액 "&amp;TEXT(INDEX($U$5:$U$16,$J321),"#,##0")&amp;"원",IF($M321="C","제공금액",IF($M321="I",INDEX('완료 체험단'!$F$4:$F$2000,$N321),IF($M321="T",INDEX($U$5:$U$16,$J321),""))))</f>
        <v/>
      </c>
      <c r="F321" s="25" t="str">
        <f>IF($M321="H","결제금액 "&amp;TEXT(INDEX($V$5:$V$16,$J321),"#,##0")&amp;"원",IF($M321="C","결제금액",IF($M321="I",INDEX('완료 체험단'!$G$4:$G$2000,$N321),IF($M321="T",INDEX($V$5:$V$16,$J321),""))))</f>
        <v/>
      </c>
      <c r="G321" s="25" t="str">
        <f>IF($M321="H","실수익 "&amp;TEXT(INDEX($W$5:$W$16,$J321),"#,##0")&amp;"원",IF($M321="C","실수익",IF($M321="I",INDEX('완료 체험단'!$H$4:$H$2000,$N321),IF($M321="T",INDEX($W$5:$W$16,$J321),""))))</f>
        <v/>
      </c>
      <c r="I321" s="31">
        <f>ROWS(I$5:I321)</f>
        <v>317</v>
      </c>
      <c r="J321" t="str">
        <f t="shared" si="19"/>
        <v/>
      </c>
      <c r="K321" t="str">
        <f t="shared" si="20"/>
        <v/>
      </c>
      <c r="L321" t="str">
        <f t="shared" si="21"/>
        <v/>
      </c>
      <c r="M321" t="str">
        <f t="shared" si="22"/>
        <v/>
      </c>
      <c r="N321" t="str">
        <f>IF($M321="I",MATCH(SMALL('완료 체험단'!$K$4:$K$2000,INDEX($T$5:$T$16,$J321)+$K321-2),'완료 체험단'!$K$4:$K$2000,0),"")</f>
        <v/>
      </c>
    </row>
    <row r="322" spans="2:14">
      <c r="B322" s="23" t="str">
        <f>IF($M322="H",$J322&amp;"월",IF($M322="C","매장명",IF($M322="I",INDEX('완료 체험단'!$A$4:$A$2000,$N322),IF($M322="T","합계",""))))</f>
        <v/>
      </c>
      <c r="C322" s="29" t="str">
        <f>IF($M322="H",$L322&amp;"건",IF($M322="C","사이트",IF($M322="I",INDEX('완료 체험단'!$C$4:$C$2000,$N322),IF($M322="T",$L322&amp;"건",""))))</f>
        <v/>
      </c>
      <c r="D322" s="30" t="str">
        <f>IF($M322="C","방문일",IF($M322="I",INDEX('완료 체험단'!$D$4:$D$2000,$N322),""))</f>
        <v/>
      </c>
      <c r="E322" s="25" t="str">
        <f>IF($M322="H","제공금액 "&amp;TEXT(INDEX($U$5:$U$16,$J322),"#,##0")&amp;"원",IF($M322="C","제공금액",IF($M322="I",INDEX('완료 체험단'!$F$4:$F$2000,$N322),IF($M322="T",INDEX($U$5:$U$16,$J322),""))))</f>
        <v/>
      </c>
      <c r="F322" s="25" t="str">
        <f>IF($M322="H","결제금액 "&amp;TEXT(INDEX($V$5:$V$16,$J322),"#,##0")&amp;"원",IF($M322="C","결제금액",IF($M322="I",INDEX('완료 체험단'!$G$4:$G$2000,$N322),IF($M322="T",INDEX($V$5:$V$16,$J322),""))))</f>
        <v/>
      </c>
      <c r="G322" s="25" t="str">
        <f>IF($M322="H","실수익 "&amp;TEXT(INDEX($W$5:$W$16,$J322),"#,##0")&amp;"원",IF($M322="C","실수익",IF($M322="I",INDEX('완료 체험단'!$H$4:$H$2000,$N322),IF($M322="T",INDEX($W$5:$W$16,$J322),""))))</f>
        <v/>
      </c>
      <c r="I322" s="31">
        <f>ROWS(I$5:I322)</f>
        <v>318</v>
      </c>
      <c r="J322" t="str">
        <f t="shared" si="19"/>
        <v/>
      </c>
      <c r="K322" t="str">
        <f t="shared" si="20"/>
        <v/>
      </c>
      <c r="L322" t="str">
        <f t="shared" si="21"/>
        <v/>
      </c>
      <c r="M322" t="str">
        <f t="shared" si="22"/>
        <v/>
      </c>
      <c r="N322" t="str">
        <f>IF($M322="I",MATCH(SMALL('완료 체험단'!$K$4:$K$2000,INDEX($T$5:$T$16,$J322)+$K322-2),'완료 체험단'!$K$4:$K$2000,0),"")</f>
        <v/>
      </c>
    </row>
    <row r="323" spans="2:14">
      <c r="B323" s="23" t="str">
        <f>IF($M323="H",$J323&amp;"월",IF($M323="C","매장명",IF($M323="I",INDEX('완료 체험단'!$A$4:$A$2000,$N323),IF($M323="T","합계",""))))</f>
        <v/>
      </c>
      <c r="C323" s="29" t="str">
        <f>IF($M323="H",$L323&amp;"건",IF($M323="C","사이트",IF($M323="I",INDEX('완료 체험단'!$C$4:$C$2000,$N323),IF($M323="T",$L323&amp;"건",""))))</f>
        <v/>
      </c>
      <c r="D323" s="30" t="str">
        <f>IF($M323="C","방문일",IF($M323="I",INDEX('완료 체험단'!$D$4:$D$2000,$N323),""))</f>
        <v/>
      </c>
      <c r="E323" s="25" t="str">
        <f>IF($M323="H","제공금액 "&amp;TEXT(INDEX($U$5:$U$16,$J323),"#,##0")&amp;"원",IF($M323="C","제공금액",IF($M323="I",INDEX('완료 체험단'!$F$4:$F$2000,$N323),IF($M323="T",INDEX($U$5:$U$16,$J323),""))))</f>
        <v/>
      </c>
      <c r="F323" s="25" t="str">
        <f>IF($M323="H","결제금액 "&amp;TEXT(INDEX($V$5:$V$16,$J323),"#,##0")&amp;"원",IF($M323="C","결제금액",IF($M323="I",INDEX('완료 체험단'!$G$4:$G$2000,$N323),IF($M323="T",INDEX($V$5:$V$16,$J323),""))))</f>
        <v/>
      </c>
      <c r="G323" s="25" t="str">
        <f>IF($M323="H","실수익 "&amp;TEXT(INDEX($W$5:$W$16,$J323),"#,##0")&amp;"원",IF($M323="C","실수익",IF($M323="I",INDEX('완료 체험단'!$H$4:$H$2000,$N323),IF($M323="T",INDEX($W$5:$W$16,$J323),""))))</f>
        <v/>
      </c>
      <c r="I323" s="31">
        <f>ROWS(I$5:I323)</f>
        <v>319</v>
      </c>
      <c r="J323" t="str">
        <f t="shared" si="19"/>
        <v/>
      </c>
      <c r="K323" t="str">
        <f t="shared" si="20"/>
        <v/>
      </c>
      <c r="L323" t="str">
        <f t="shared" si="21"/>
        <v/>
      </c>
      <c r="M323" t="str">
        <f t="shared" si="22"/>
        <v/>
      </c>
      <c r="N323" t="str">
        <f>IF($M323="I",MATCH(SMALL('완료 체험단'!$K$4:$K$2000,INDEX($T$5:$T$16,$J323)+$K323-2),'완료 체험단'!$K$4:$K$2000,0),"")</f>
        <v/>
      </c>
    </row>
    <row r="324" spans="2:14">
      <c r="B324" s="23" t="str">
        <f>IF($M324="H",$J324&amp;"월",IF($M324="C","매장명",IF($M324="I",INDEX('완료 체험단'!$A$4:$A$2000,$N324),IF($M324="T","합계",""))))</f>
        <v/>
      </c>
      <c r="C324" s="29" t="str">
        <f>IF($M324="H",$L324&amp;"건",IF($M324="C","사이트",IF($M324="I",INDEX('완료 체험단'!$C$4:$C$2000,$N324),IF($M324="T",$L324&amp;"건",""))))</f>
        <v/>
      </c>
      <c r="D324" s="30" t="str">
        <f>IF($M324="C","방문일",IF($M324="I",INDEX('완료 체험단'!$D$4:$D$2000,$N324),""))</f>
        <v/>
      </c>
      <c r="E324" s="25" t="str">
        <f>IF($M324="H","제공금액 "&amp;TEXT(INDEX($U$5:$U$16,$J324),"#,##0")&amp;"원",IF($M324="C","제공금액",IF($M324="I",INDEX('완료 체험단'!$F$4:$F$2000,$N324),IF($M324="T",INDEX($U$5:$U$16,$J324),""))))</f>
        <v/>
      </c>
      <c r="F324" s="25" t="str">
        <f>IF($M324="H","결제금액 "&amp;TEXT(INDEX($V$5:$V$16,$J324),"#,##0")&amp;"원",IF($M324="C","결제금액",IF($M324="I",INDEX('완료 체험단'!$G$4:$G$2000,$N324),IF($M324="T",INDEX($V$5:$V$16,$J324),""))))</f>
        <v/>
      </c>
      <c r="G324" s="25" t="str">
        <f>IF($M324="H","실수익 "&amp;TEXT(INDEX($W$5:$W$16,$J324),"#,##0")&amp;"원",IF($M324="C","실수익",IF($M324="I",INDEX('완료 체험단'!$H$4:$H$2000,$N324),IF($M324="T",INDEX($W$5:$W$16,$J324),""))))</f>
        <v/>
      </c>
      <c r="I324" s="31">
        <f>ROWS(I$5:I324)</f>
        <v>320</v>
      </c>
      <c r="J324" t="str">
        <f t="shared" si="19"/>
        <v/>
      </c>
      <c r="K324" t="str">
        <f t="shared" si="20"/>
        <v/>
      </c>
      <c r="L324" t="str">
        <f t="shared" si="21"/>
        <v/>
      </c>
      <c r="M324" t="str">
        <f t="shared" si="22"/>
        <v/>
      </c>
      <c r="N324" t="str">
        <f>IF($M324="I",MATCH(SMALL('완료 체험단'!$K$4:$K$2000,INDEX($T$5:$T$16,$J324)+$K324-2),'완료 체험단'!$K$4:$K$2000,0),"")</f>
        <v/>
      </c>
    </row>
    <row r="325" spans="2:14">
      <c r="B325" s="23" t="str">
        <f>IF($M325="H",$J325&amp;"월",IF($M325="C","매장명",IF($M325="I",INDEX('완료 체험단'!$A$4:$A$2000,$N325),IF($M325="T","합계",""))))</f>
        <v/>
      </c>
      <c r="C325" s="29" t="str">
        <f>IF($M325="H",$L325&amp;"건",IF($M325="C","사이트",IF($M325="I",INDEX('완료 체험단'!$C$4:$C$2000,$N325),IF($M325="T",$L325&amp;"건",""))))</f>
        <v/>
      </c>
      <c r="D325" s="30" t="str">
        <f>IF($M325="C","방문일",IF($M325="I",INDEX('완료 체험단'!$D$4:$D$2000,$N325),""))</f>
        <v/>
      </c>
      <c r="E325" s="25" t="str">
        <f>IF($M325="H","제공금액 "&amp;TEXT(INDEX($U$5:$U$16,$J325),"#,##0")&amp;"원",IF($M325="C","제공금액",IF($M325="I",INDEX('완료 체험단'!$F$4:$F$2000,$N325),IF($M325="T",INDEX($U$5:$U$16,$J325),""))))</f>
        <v/>
      </c>
      <c r="F325" s="25" t="str">
        <f>IF($M325="H","결제금액 "&amp;TEXT(INDEX($V$5:$V$16,$J325),"#,##0")&amp;"원",IF($M325="C","결제금액",IF($M325="I",INDEX('완료 체험단'!$G$4:$G$2000,$N325),IF($M325="T",INDEX($V$5:$V$16,$J325),""))))</f>
        <v/>
      </c>
      <c r="G325" s="25" t="str">
        <f>IF($M325="H","실수익 "&amp;TEXT(INDEX($W$5:$W$16,$J325),"#,##0")&amp;"원",IF($M325="C","실수익",IF($M325="I",INDEX('완료 체험단'!$H$4:$H$2000,$N325),IF($M325="T",INDEX($W$5:$W$16,$J325),""))))</f>
        <v/>
      </c>
      <c r="I325" s="31">
        <f>ROWS(I$5:I325)</f>
        <v>321</v>
      </c>
      <c r="J325" t="str">
        <f t="shared" ref="J325:J388" si="23">IF($I325&gt;$S$17,"",MATCH($I325-1,$S$5:$S$16,1))</f>
        <v/>
      </c>
      <c r="K325" t="str">
        <f t="shared" ref="K325:K388" si="24">IF($J325="","",$I325-INDEX($S$5:$S$16,$J325))</f>
        <v/>
      </c>
      <c r="L325" t="str">
        <f t="shared" ref="L325:L388" si="25">IF($J325="","",INDEX($Q$5:$Q$16,$J325))</f>
        <v/>
      </c>
      <c r="M325" t="str">
        <f t="shared" ref="M325:M388" si="26">IF($J325="","",IF($K325=1,"H",IF($L325=0,"S",IF($K325=2,"C",IF($K325&lt;=$L325+2,"I",IF($K325=$L325+3,"T","S"))))))</f>
        <v/>
      </c>
      <c r="N325" t="str">
        <f>IF($M325="I",MATCH(SMALL('완료 체험단'!$K$4:$K$2000,INDEX($T$5:$T$16,$J325)+$K325-2),'완료 체험단'!$K$4:$K$2000,0),"")</f>
        <v/>
      </c>
    </row>
    <row r="326" spans="2:14">
      <c r="B326" s="23" t="str">
        <f>IF($M326="H",$J326&amp;"월",IF($M326="C","매장명",IF($M326="I",INDEX('완료 체험단'!$A$4:$A$2000,$N326),IF($M326="T","합계",""))))</f>
        <v/>
      </c>
      <c r="C326" s="29" t="str">
        <f>IF($M326="H",$L326&amp;"건",IF($M326="C","사이트",IF($M326="I",INDEX('완료 체험단'!$C$4:$C$2000,$N326),IF($M326="T",$L326&amp;"건",""))))</f>
        <v/>
      </c>
      <c r="D326" s="30" t="str">
        <f>IF($M326="C","방문일",IF($M326="I",INDEX('완료 체험단'!$D$4:$D$2000,$N326),""))</f>
        <v/>
      </c>
      <c r="E326" s="25" t="str">
        <f>IF($M326="H","제공금액 "&amp;TEXT(INDEX($U$5:$U$16,$J326),"#,##0")&amp;"원",IF($M326="C","제공금액",IF($M326="I",INDEX('완료 체험단'!$F$4:$F$2000,$N326),IF($M326="T",INDEX($U$5:$U$16,$J326),""))))</f>
        <v/>
      </c>
      <c r="F326" s="25" t="str">
        <f>IF($M326="H","결제금액 "&amp;TEXT(INDEX($V$5:$V$16,$J326),"#,##0")&amp;"원",IF($M326="C","결제금액",IF($M326="I",INDEX('완료 체험단'!$G$4:$G$2000,$N326),IF($M326="T",INDEX($V$5:$V$16,$J326),""))))</f>
        <v/>
      </c>
      <c r="G326" s="25" t="str">
        <f>IF($M326="H","실수익 "&amp;TEXT(INDEX($W$5:$W$16,$J326),"#,##0")&amp;"원",IF($M326="C","실수익",IF($M326="I",INDEX('완료 체험단'!$H$4:$H$2000,$N326),IF($M326="T",INDEX($W$5:$W$16,$J326),""))))</f>
        <v/>
      </c>
      <c r="I326" s="31">
        <f>ROWS(I$5:I326)</f>
        <v>322</v>
      </c>
      <c r="J326" t="str">
        <f t="shared" si="23"/>
        <v/>
      </c>
      <c r="K326" t="str">
        <f t="shared" si="24"/>
        <v/>
      </c>
      <c r="L326" t="str">
        <f t="shared" si="25"/>
        <v/>
      </c>
      <c r="M326" t="str">
        <f t="shared" si="26"/>
        <v/>
      </c>
      <c r="N326" t="str">
        <f>IF($M326="I",MATCH(SMALL('완료 체험단'!$K$4:$K$2000,INDEX($T$5:$T$16,$J326)+$K326-2),'완료 체험단'!$K$4:$K$2000,0),"")</f>
        <v/>
      </c>
    </row>
    <row r="327" spans="2:14">
      <c r="B327" s="23" t="str">
        <f>IF($M327="H",$J327&amp;"월",IF($M327="C","매장명",IF($M327="I",INDEX('완료 체험단'!$A$4:$A$2000,$N327),IF($M327="T","합계",""))))</f>
        <v/>
      </c>
      <c r="C327" s="29" t="str">
        <f>IF($M327="H",$L327&amp;"건",IF($M327="C","사이트",IF($M327="I",INDEX('완료 체험단'!$C$4:$C$2000,$N327),IF($M327="T",$L327&amp;"건",""))))</f>
        <v/>
      </c>
      <c r="D327" s="30" t="str">
        <f>IF($M327="C","방문일",IF($M327="I",INDEX('완료 체험단'!$D$4:$D$2000,$N327),""))</f>
        <v/>
      </c>
      <c r="E327" s="25" t="str">
        <f>IF($M327="H","제공금액 "&amp;TEXT(INDEX($U$5:$U$16,$J327),"#,##0")&amp;"원",IF($M327="C","제공금액",IF($M327="I",INDEX('완료 체험단'!$F$4:$F$2000,$N327),IF($M327="T",INDEX($U$5:$U$16,$J327),""))))</f>
        <v/>
      </c>
      <c r="F327" s="25" t="str">
        <f>IF($M327="H","결제금액 "&amp;TEXT(INDEX($V$5:$V$16,$J327),"#,##0")&amp;"원",IF($M327="C","결제금액",IF($M327="I",INDEX('완료 체험단'!$G$4:$G$2000,$N327),IF($M327="T",INDEX($V$5:$V$16,$J327),""))))</f>
        <v/>
      </c>
      <c r="G327" s="25" t="str">
        <f>IF($M327="H","실수익 "&amp;TEXT(INDEX($W$5:$W$16,$J327),"#,##0")&amp;"원",IF($M327="C","실수익",IF($M327="I",INDEX('완료 체험단'!$H$4:$H$2000,$N327),IF($M327="T",INDEX($W$5:$W$16,$J327),""))))</f>
        <v/>
      </c>
      <c r="I327" s="31">
        <f>ROWS(I$5:I327)</f>
        <v>323</v>
      </c>
      <c r="J327" t="str">
        <f t="shared" si="23"/>
        <v/>
      </c>
      <c r="K327" t="str">
        <f t="shared" si="24"/>
        <v/>
      </c>
      <c r="L327" t="str">
        <f t="shared" si="25"/>
        <v/>
      </c>
      <c r="M327" t="str">
        <f t="shared" si="26"/>
        <v/>
      </c>
      <c r="N327" t="str">
        <f>IF($M327="I",MATCH(SMALL('완료 체험단'!$K$4:$K$2000,INDEX($T$5:$T$16,$J327)+$K327-2),'완료 체험단'!$K$4:$K$2000,0),"")</f>
        <v/>
      </c>
    </row>
    <row r="328" spans="2:14">
      <c r="B328" s="23" t="str">
        <f>IF($M328="H",$J328&amp;"월",IF($M328="C","매장명",IF($M328="I",INDEX('완료 체험단'!$A$4:$A$2000,$N328),IF($M328="T","합계",""))))</f>
        <v/>
      </c>
      <c r="C328" s="29" t="str">
        <f>IF($M328="H",$L328&amp;"건",IF($M328="C","사이트",IF($M328="I",INDEX('완료 체험단'!$C$4:$C$2000,$N328),IF($M328="T",$L328&amp;"건",""))))</f>
        <v/>
      </c>
      <c r="D328" s="30" t="str">
        <f>IF($M328="C","방문일",IF($M328="I",INDEX('완료 체험단'!$D$4:$D$2000,$N328),""))</f>
        <v/>
      </c>
      <c r="E328" s="25" t="str">
        <f>IF($M328="H","제공금액 "&amp;TEXT(INDEX($U$5:$U$16,$J328),"#,##0")&amp;"원",IF($M328="C","제공금액",IF($M328="I",INDEX('완료 체험단'!$F$4:$F$2000,$N328),IF($M328="T",INDEX($U$5:$U$16,$J328),""))))</f>
        <v/>
      </c>
      <c r="F328" s="25" t="str">
        <f>IF($M328="H","결제금액 "&amp;TEXT(INDEX($V$5:$V$16,$J328),"#,##0")&amp;"원",IF($M328="C","결제금액",IF($M328="I",INDEX('완료 체험단'!$G$4:$G$2000,$N328),IF($M328="T",INDEX($V$5:$V$16,$J328),""))))</f>
        <v/>
      </c>
      <c r="G328" s="25" t="str">
        <f>IF($M328="H","실수익 "&amp;TEXT(INDEX($W$5:$W$16,$J328),"#,##0")&amp;"원",IF($M328="C","실수익",IF($M328="I",INDEX('완료 체험단'!$H$4:$H$2000,$N328),IF($M328="T",INDEX($W$5:$W$16,$J328),""))))</f>
        <v/>
      </c>
      <c r="I328" s="31">
        <f>ROWS(I$5:I328)</f>
        <v>324</v>
      </c>
      <c r="J328" t="str">
        <f t="shared" si="23"/>
        <v/>
      </c>
      <c r="K328" t="str">
        <f t="shared" si="24"/>
        <v/>
      </c>
      <c r="L328" t="str">
        <f t="shared" si="25"/>
        <v/>
      </c>
      <c r="M328" t="str">
        <f t="shared" si="26"/>
        <v/>
      </c>
      <c r="N328" t="str">
        <f>IF($M328="I",MATCH(SMALL('완료 체험단'!$K$4:$K$2000,INDEX($T$5:$T$16,$J328)+$K328-2),'완료 체험단'!$K$4:$K$2000,0),"")</f>
        <v/>
      </c>
    </row>
    <row r="329" spans="2:14">
      <c r="B329" s="23" t="str">
        <f>IF($M329="H",$J329&amp;"월",IF($M329="C","매장명",IF($M329="I",INDEX('완료 체험단'!$A$4:$A$2000,$N329),IF($M329="T","합계",""))))</f>
        <v/>
      </c>
      <c r="C329" s="29" t="str">
        <f>IF($M329="H",$L329&amp;"건",IF($M329="C","사이트",IF($M329="I",INDEX('완료 체험단'!$C$4:$C$2000,$N329),IF($M329="T",$L329&amp;"건",""))))</f>
        <v/>
      </c>
      <c r="D329" s="30" t="str">
        <f>IF($M329="C","방문일",IF($M329="I",INDEX('완료 체험단'!$D$4:$D$2000,$N329),""))</f>
        <v/>
      </c>
      <c r="E329" s="25" t="str">
        <f>IF($M329="H","제공금액 "&amp;TEXT(INDEX($U$5:$U$16,$J329),"#,##0")&amp;"원",IF($M329="C","제공금액",IF($M329="I",INDEX('완료 체험단'!$F$4:$F$2000,$N329),IF($M329="T",INDEX($U$5:$U$16,$J329),""))))</f>
        <v/>
      </c>
      <c r="F329" s="25" t="str">
        <f>IF($M329="H","결제금액 "&amp;TEXT(INDEX($V$5:$V$16,$J329),"#,##0")&amp;"원",IF($M329="C","결제금액",IF($M329="I",INDEX('완료 체험단'!$G$4:$G$2000,$N329),IF($M329="T",INDEX($V$5:$V$16,$J329),""))))</f>
        <v/>
      </c>
      <c r="G329" s="25" t="str">
        <f>IF($M329="H","실수익 "&amp;TEXT(INDEX($W$5:$W$16,$J329),"#,##0")&amp;"원",IF($M329="C","실수익",IF($M329="I",INDEX('완료 체험단'!$H$4:$H$2000,$N329),IF($M329="T",INDEX($W$5:$W$16,$J329),""))))</f>
        <v/>
      </c>
      <c r="I329" s="31">
        <f>ROWS(I$5:I329)</f>
        <v>325</v>
      </c>
      <c r="J329" t="str">
        <f t="shared" si="23"/>
        <v/>
      </c>
      <c r="K329" t="str">
        <f t="shared" si="24"/>
        <v/>
      </c>
      <c r="L329" t="str">
        <f t="shared" si="25"/>
        <v/>
      </c>
      <c r="M329" t="str">
        <f t="shared" si="26"/>
        <v/>
      </c>
      <c r="N329" t="str">
        <f>IF($M329="I",MATCH(SMALL('완료 체험단'!$K$4:$K$2000,INDEX($T$5:$T$16,$J329)+$K329-2),'완료 체험단'!$K$4:$K$2000,0),"")</f>
        <v/>
      </c>
    </row>
    <row r="330" spans="2:14">
      <c r="B330" s="23" t="str">
        <f>IF($M330="H",$J330&amp;"월",IF($M330="C","매장명",IF($M330="I",INDEX('완료 체험단'!$A$4:$A$2000,$N330),IF($M330="T","합계",""))))</f>
        <v/>
      </c>
      <c r="C330" s="29" t="str">
        <f>IF($M330="H",$L330&amp;"건",IF($M330="C","사이트",IF($M330="I",INDEX('완료 체험단'!$C$4:$C$2000,$N330),IF($M330="T",$L330&amp;"건",""))))</f>
        <v/>
      </c>
      <c r="D330" s="30" t="str">
        <f>IF($M330="C","방문일",IF($M330="I",INDEX('완료 체험단'!$D$4:$D$2000,$N330),""))</f>
        <v/>
      </c>
      <c r="E330" s="25" t="str">
        <f>IF($M330="H","제공금액 "&amp;TEXT(INDEX($U$5:$U$16,$J330),"#,##0")&amp;"원",IF($M330="C","제공금액",IF($M330="I",INDEX('완료 체험단'!$F$4:$F$2000,$N330),IF($M330="T",INDEX($U$5:$U$16,$J330),""))))</f>
        <v/>
      </c>
      <c r="F330" s="25" t="str">
        <f>IF($M330="H","결제금액 "&amp;TEXT(INDEX($V$5:$V$16,$J330),"#,##0")&amp;"원",IF($M330="C","결제금액",IF($M330="I",INDEX('완료 체험단'!$G$4:$G$2000,$N330),IF($M330="T",INDEX($V$5:$V$16,$J330),""))))</f>
        <v/>
      </c>
      <c r="G330" s="25" t="str">
        <f>IF($M330="H","실수익 "&amp;TEXT(INDEX($W$5:$W$16,$J330),"#,##0")&amp;"원",IF($M330="C","실수익",IF($M330="I",INDEX('완료 체험단'!$H$4:$H$2000,$N330),IF($M330="T",INDEX($W$5:$W$16,$J330),""))))</f>
        <v/>
      </c>
      <c r="I330" s="31">
        <f>ROWS(I$5:I330)</f>
        <v>326</v>
      </c>
      <c r="J330" t="str">
        <f t="shared" si="23"/>
        <v/>
      </c>
      <c r="K330" t="str">
        <f t="shared" si="24"/>
        <v/>
      </c>
      <c r="L330" t="str">
        <f t="shared" si="25"/>
        <v/>
      </c>
      <c r="M330" t="str">
        <f t="shared" si="26"/>
        <v/>
      </c>
      <c r="N330" t="str">
        <f>IF($M330="I",MATCH(SMALL('완료 체험단'!$K$4:$K$2000,INDEX($T$5:$T$16,$J330)+$K330-2),'완료 체험단'!$K$4:$K$2000,0),"")</f>
        <v/>
      </c>
    </row>
    <row r="331" spans="2:14">
      <c r="B331" s="23" t="str">
        <f>IF($M331="H",$J331&amp;"월",IF($M331="C","매장명",IF($M331="I",INDEX('완료 체험단'!$A$4:$A$2000,$N331),IF($M331="T","합계",""))))</f>
        <v/>
      </c>
      <c r="C331" s="29" t="str">
        <f>IF($M331="H",$L331&amp;"건",IF($M331="C","사이트",IF($M331="I",INDEX('완료 체험단'!$C$4:$C$2000,$N331),IF($M331="T",$L331&amp;"건",""))))</f>
        <v/>
      </c>
      <c r="D331" s="30" t="str">
        <f>IF($M331="C","방문일",IF($M331="I",INDEX('완료 체험단'!$D$4:$D$2000,$N331),""))</f>
        <v/>
      </c>
      <c r="E331" s="25" t="str">
        <f>IF($M331="H","제공금액 "&amp;TEXT(INDEX($U$5:$U$16,$J331),"#,##0")&amp;"원",IF($M331="C","제공금액",IF($M331="I",INDEX('완료 체험단'!$F$4:$F$2000,$N331),IF($M331="T",INDEX($U$5:$U$16,$J331),""))))</f>
        <v/>
      </c>
      <c r="F331" s="25" t="str">
        <f>IF($M331="H","결제금액 "&amp;TEXT(INDEX($V$5:$V$16,$J331),"#,##0")&amp;"원",IF($M331="C","결제금액",IF($M331="I",INDEX('완료 체험단'!$G$4:$G$2000,$N331),IF($M331="T",INDEX($V$5:$V$16,$J331),""))))</f>
        <v/>
      </c>
      <c r="G331" s="25" t="str">
        <f>IF($M331="H","실수익 "&amp;TEXT(INDEX($W$5:$W$16,$J331),"#,##0")&amp;"원",IF($M331="C","실수익",IF($M331="I",INDEX('완료 체험단'!$H$4:$H$2000,$N331),IF($M331="T",INDEX($W$5:$W$16,$J331),""))))</f>
        <v/>
      </c>
      <c r="I331" s="31">
        <f>ROWS(I$5:I331)</f>
        <v>327</v>
      </c>
      <c r="J331" t="str">
        <f t="shared" si="23"/>
        <v/>
      </c>
      <c r="K331" t="str">
        <f t="shared" si="24"/>
        <v/>
      </c>
      <c r="L331" t="str">
        <f t="shared" si="25"/>
        <v/>
      </c>
      <c r="M331" t="str">
        <f t="shared" si="26"/>
        <v/>
      </c>
      <c r="N331" t="str">
        <f>IF($M331="I",MATCH(SMALL('완료 체험단'!$K$4:$K$2000,INDEX($T$5:$T$16,$J331)+$K331-2),'완료 체험단'!$K$4:$K$2000,0),"")</f>
        <v/>
      </c>
    </row>
    <row r="332" spans="2:14">
      <c r="B332" s="23" t="str">
        <f>IF($M332="H",$J332&amp;"월",IF($M332="C","매장명",IF($M332="I",INDEX('완료 체험단'!$A$4:$A$2000,$N332),IF($M332="T","합계",""))))</f>
        <v/>
      </c>
      <c r="C332" s="29" t="str">
        <f>IF($M332="H",$L332&amp;"건",IF($M332="C","사이트",IF($M332="I",INDEX('완료 체험단'!$C$4:$C$2000,$N332),IF($M332="T",$L332&amp;"건",""))))</f>
        <v/>
      </c>
      <c r="D332" s="30" t="str">
        <f>IF($M332="C","방문일",IF($M332="I",INDEX('완료 체험단'!$D$4:$D$2000,$N332),""))</f>
        <v/>
      </c>
      <c r="E332" s="25" t="str">
        <f>IF($M332="H","제공금액 "&amp;TEXT(INDEX($U$5:$U$16,$J332),"#,##0")&amp;"원",IF($M332="C","제공금액",IF($M332="I",INDEX('완료 체험단'!$F$4:$F$2000,$N332),IF($M332="T",INDEX($U$5:$U$16,$J332),""))))</f>
        <v/>
      </c>
      <c r="F332" s="25" t="str">
        <f>IF($M332="H","결제금액 "&amp;TEXT(INDEX($V$5:$V$16,$J332),"#,##0")&amp;"원",IF($M332="C","결제금액",IF($M332="I",INDEX('완료 체험단'!$G$4:$G$2000,$N332),IF($M332="T",INDEX($V$5:$V$16,$J332),""))))</f>
        <v/>
      </c>
      <c r="G332" s="25" t="str">
        <f>IF($M332="H","실수익 "&amp;TEXT(INDEX($W$5:$W$16,$J332),"#,##0")&amp;"원",IF($M332="C","실수익",IF($M332="I",INDEX('완료 체험단'!$H$4:$H$2000,$N332),IF($M332="T",INDEX($W$5:$W$16,$J332),""))))</f>
        <v/>
      </c>
      <c r="I332" s="31">
        <f>ROWS(I$5:I332)</f>
        <v>328</v>
      </c>
      <c r="J332" t="str">
        <f t="shared" si="23"/>
        <v/>
      </c>
      <c r="K332" t="str">
        <f t="shared" si="24"/>
        <v/>
      </c>
      <c r="L332" t="str">
        <f t="shared" si="25"/>
        <v/>
      </c>
      <c r="M332" t="str">
        <f t="shared" si="26"/>
        <v/>
      </c>
      <c r="N332" t="str">
        <f>IF($M332="I",MATCH(SMALL('완료 체험단'!$K$4:$K$2000,INDEX($T$5:$T$16,$J332)+$K332-2),'완료 체험단'!$K$4:$K$2000,0),"")</f>
        <v/>
      </c>
    </row>
    <row r="333" spans="2:14">
      <c r="B333" s="23" t="str">
        <f>IF($M333="H",$J333&amp;"월",IF($M333="C","매장명",IF($M333="I",INDEX('완료 체험단'!$A$4:$A$2000,$N333),IF($M333="T","합계",""))))</f>
        <v/>
      </c>
      <c r="C333" s="29" t="str">
        <f>IF($M333="H",$L333&amp;"건",IF($M333="C","사이트",IF($M333="I",INDEX('완료 체험단'!$C$4:$C$2000,$N333),IF($M333="T",$L333&amp;"건",""))))</f>
        <v/>
      </c>
      <c r="D333" s="30" t="str">
        <f>IF($M333="C","방문일",IF($M333="I",INDEX('완료 체험단'!$D$4:$D$2000,$N333),""))</f>
        <v/>
      </c>
      <c r="E333" s="25" t="str">
        <f>IF($M333="H","제공금액 "&amp;TEXT(INDEX($U$5:$U$16,$J333),"#,##0")&amp;"원",IF($M333="C","제공금액",IF($M333="I",INDEX('완료 체험단'!$F$4:$F$2000,$N333),IF($M333="T",INDEX($U$5:$U$16,$J333),""))))</f>
        <v/>
      </c>
      <c r="F333" s="25" t="str">
        <f>IF($M333="H","결제금액 "&amp;TEXT(INDEX($V$5:$V$16,$J333),"#,##0")&amp;"원",IF($M333="C","결제금액",IF($M333="I",INDEX('완료 체험단'!$G$4:$G$2000,$N333),IF($M333="T",INDEX($V$5:$V$16,$J333),""))))</f>
        <v/>
      </c>
      <c r="G333" s="25" t="str">
        <f>IF($M333="H","실수익 "&amp;TEXT(INDEX($W$5:$W$16,$J333),"#,##0")&amp;"원",IF($M333="C","실수익",IF($M333="I",INDEX('완료 체험단'!$H$4:$H$2000,$N333),IF($M333="T",INDEX($W$5:$W$16,$J333),""))))</f>
        <v/>
      </c>
      <c r="I333" s="31">
        <f>ROWS(I$5:I333)</f>
        <v>329</v>
      </c>
      <c r="J333" t="str">
        <f t="shared" si="23"/>
        <v/>
      </c>
      <c r="K333" t="str">
        <f t="shared" si="24"/>
        <v/>
      </c>
      <c r="L333" t="str">
        <f t="shared" si="25"/>
        <v/>
      </c>
      <c r="M333" t="str">
        <f t="shared" si="26"/>
        <v/>
      </c>
      <c r="N333" t="str">
        <f>IF($M333="I",MATCH(SMALL('완료 체험단'!$K$4:$K$2000,INDEX($T$5:$T$16,$J333)+$K333-2),'완료 체험단'!$K$4:$K$2000,0),"")</f>
        <v/>
      </c>
    </row>
    <row r="334" spans="2:14">
      <c r="B334" s="23" t="str">
        <f>IF($M334="H",$J334&amp;"월",IF($M334="C","매장명",IF($M334="I",INDEX('완료 체험단'!$A$4:$A$2000,$N334),IF($M334="T","합계",""))))</f>
        <v/>
      </c>
      <c r="C334" s="29" t="str">
        <f>IF($M334="H",$L334&amp;"건",IF($M334="C","사이트",IF($M334="I",INDEX('완료 체험단'!$C$4:$C$2000,$N334),IF($M334="T",$L334&amp;"건",""))))</f>
        <v/>
      </c>
      <c r="D334" s="30" t="str">
        <f>IF($M334="C","방문일",IF($M334="I",INDEX('완료 체험단'!$D$4:$D$2000,$N334),""))</f>
        <v/>
      </c>
      <c r="E334" s="25" t="str">
        <f>IF($M334="H","제공금액 "&amp;TEXT(INDEX($U$5:$U$16,$J334),"#,##0")&amp;"원",IF($M334="C","제공금액",IF($M334="I",INDEX('완료 체험단'!$F$4:$F$2000,$N334),IF($M334="T",INDEX($U$5:$U$16,$J334),""))))</f>
        <v/>
      </c>
      <c r="F334" s="25" t="str">
        <f>IF($M334="H","결제금액 "&amp;TEXT(INDEX($V$5:$V$16,$J334),"#,##0")&amp;"원",IF($M334="C","결제금액",IF($M334="I",INDEX('완료 체험단'!$G$4:$G$2000,$N334),IF($M334="T",INDEX($V$5:$V$16,$J334),""))))</f>
        <v/>
      </c>
      <c r="G334" s="25" t="str">
        <f>IF($M334="H","실수익 "&amp;TEXT(INDEX($W$5:$W$16,$J334),"#,##0")&amp;"원",IF($M334="C","실수익",IF($M334="I",INDEX('완료 체험단'!$H$4:$H$2000,$N334),IF($M334="T",INDEX($W$5:$W$16,$J334),""))))</f>
        <v/>
      </c>
      <c r="I334" s="31">
        <f>ROWS(I$5:I334)</f>
        <v>330</v>
      </c>
      <c r="J334" t="str">
        <f t="shared" si="23"/>
        <v/>
      </c>
      <c r="K334" t="str">
        <f t="shared" si="24"/>
        <v/>
      </c>
      <c r="L334" t="str">
        <f t="shared" si="25"/>
        <v/>
      </c>
      <c r="M334" t="str">
        <f t="shared" si="26"/>
        <v/>
      </c>
      <c r="N334" t="str">
        <f>IF($M334="I",MATCH(SMALL('완료 체험단'!$K$4:$K$2000,INDEX($T$5:$T$16,$J334)+$K334-2),'완료 체험단'!$K$4:$K$2000,0),"")</f>
        <v/>
      </c>
    </row>
    <row r="335" spans="2:14">
      <c r="B335" s="23" t="str">
        <f>IF($M335="H",$J335&amp;"월",IF($M335="C","매장명",IF($M335="I",INDEX('완료 체험단'!$A$4:$A$2000,$N335),IF($M335="T","합계",""))))</f>
        <v/>
      </c>
      <c r="C335" s="29" t="str">
        <f>IF($M335="H",$L335&amp;"건",IF($M335="C","사이트",IF($M335="I",INDEX('완료 체험단'!$C$4:$C$2000,$N335),IF($M335="T",$L335&amp;"건",""))))</f>
        <v/>
      </c>
      <c r="D335" s="30" t="str">
        <f>IF($M335="C","방문일",IF($M335="I",INDEX('완료 체험단'!$D$4:$D$2000,$N335),""))</f>
        <v/>
      </c>
      <c r="E335" s="25" t="str">
        <f>IF($M335="H","제공금액 "&amp;TEXT(INDEX($U$5:$U$16,$J335),"#,##0")&amp;"원",IF($M335="C","제공금액",IF($M335="I",INDEX('완료 체험단'!$F$4:$F$2000,$N335),IF($M335="T",INDEX($U$5:$U$16,$J335),""))))</f>
        <v/>
      </c>
      <c r="F335" s="25" t="str">
        <f>IF($M335="H","결제금액 "&amp;TEXT(INDEX($V$5:$V$16,$J335),"#,##0")&amp;"원",IF($M335="C","결제금액",IF($M335="I",INDEX('완료 체험단'!$G$4:$G$2000,$N335),IF($M335="T",INDEX($V$5:$V$16,$J335),""))))</f>
        <v/>
      </c>
      <c r="G335" s="25" t="str">
        <f>IF($M335="H","실수익 "&amp;TEXT(INDEX($W$5:$W$16,$J335),"#,##0")&amp;"원",IF($M335="C","실수익",IF($M335="I",INDEX('완료 체험단'!$H$4:$H$2000,$N335),IF($M335="T",INDEX($W$5:$W$16,$J335),""))))</f>
        <v/>
      </c>
      <c r="I335" s="31">
        <f>ROWS(I$5:I335)</f>
        <v>331</v>
      </c>
      <c r="J335" t="str">
        <f t="shared" si="23"/>
        <v/>
      </c>
      <c r="K335" t="str">
        <f t="shared" si="24"/>
        <v/>
      </c>
      <c r="L335" t="str">
        <f t="shared" si="25"/>
        <v/>
      </c>
      <c r="M335" t="str">
        <f t="shared" si="26"/>
        <v/>
      </c>
      <c r="N335" t="str">
        <f>IF($M335="I",MATCH(SMALL('완료 체험단'!$K$4:$K$2000,INDEX($T$5:$T$16,$J335)+$K335-2),'완료 체험단'!$K$4:$K$2000,0),"")</f>
        <v/>
      </c>
    </row>
    <row r="336" spans="2:14">
      <c r="B336" s="23" t="str">
        <f>IF($M336="H",$J336&amp;"월",IF($M336="C","매장명",IF($M336="I",INDEX('완료 체험단'!$A$4:$A$2000,$N336),IF($M336="T","합계",""))))</f>
        <v/>
      </c>
      <c r="C336" s="29" t="str">
        <f>IF($M336="H",$L336&amp;"건",IF($M336="C","사이트",IF($M336="I",INDEX('완료 체험단'!$C$4:$C$2000,$N336),IF($M336="T",$L336&amp;"건",""))))</f>
        <v/>
      </c>
      <c r="D336" s="30" t="str">
        <f>IF($M336="C","방문일",IF($M336="I",INDEX('완료 체험단'!$D$4:$D$2000,$N336),""))</f>
        <v/>
      </c>
      <c r="E336" s="25" t="str">
        <f>IF($M336="H","제공금액 "&amp;TEXT(INDEX($U$5:$U$16,$J336),"#,##0")&amp;"원",IF($M336="C","제공금액",IF($M336="I",INDEX('완료 체험단'!$F$4:$F$2000,$N336),IF($M336="T",INDEX($U$5:$U$16,$J336),""))))</f>
        <v/>
      </c>
      <c r="F336" s="25" t="str">
        <f>IF($M336="H","결제금액 "&amp;TEXT(INDEX($V$5:$V$16,$J336),"#,##0")&amp;"원",IF($M336="C","결제금액",IF($M336="I",INDEX('완료 체험단'!$G$4:$G$2000,$N336),IF($M336="T",INDEX($V$5:$V$16,$J336),""))))</f>
        <v/>
      </c>
      <c r="G336" s="25" t="str">
        <f>IF($M336="H","실수익 "&amp;TEXT(INDEX($W$5:$W$16,$J336),"#,##0")&amp;"원",IF($M336="C","실수익",IF($M336="I",INDEX('완료 체험단'!$H$4:$H$2000,$N336),IF($M336="T",INDEX($W$5:$W$16,$J336),""))))</f>
        <v/>
      </c>
      <c r="I336" s="31">
        <f>ROWS(I$5:I336)</f>
        <v>332</v>
      </c>
      <c r="J336" t="str">
        <f t="shared" si="23"/>
        <v/>
      </c>
      <c r="K336" t="str">
        <f t="shared" si="24"/>
        <v/>
      </c>
      <c r="L336" t="str">
        <f t="shared" si="25"/>
        <v/>
      </c>
      <c r="M336" t="str">
        <f t="shared" si="26"/>
        <v/>
      </c>
      <c r="N336" t="str">
        <f>IF($M336="I",MATCH(SMALL('완료 체험단'!$K$4:$K$2000,INDEX($T$5:$T$16,$J336)+$K336-2),'완료 체험단'!$K$4:$K$2000,0),"")</f>
        <v/>
      </c>
    </row>
    <row r="337" spans="2:14">
      <c r="B337" s="23" t="str">
        <f>IF($M337="H",$J337&amp;"월",IF($M337="C","매장명",IF($M337="I",INDEX('완료 체험단'!$A$4:$A$2000,$N337),IF($M337="T","합계",""))))</f>
        <v/>
      </c>
      <c r="C337" s="29" t="str">
        <f>IF($M337="H",$L337&amp;"건",IF($M337="C","사이트",IF($M337="I",INDEX('완료 체험단'!$C$4:$C$2000,$N337),IF($M337="T",$L337&amp;"건",""))))</f>
        <v/>
      </c>
      <c r="D337" s="30" t="str">
        <f>IF($M337="C","방문일",IF($M337="I",INDEX('완료 체험단'!$D$4:$D$2000,$N337),""))</f>
        <v/>
      </c>
      <c r="E337" s="25" t="str">
        <f>IF($M337="H","제공금액 "&amp;TEXT(INDEX($U$5:$U$16,$J337),"#,##0")&amp;"원",IF($M337="C","제공금액",IF($M337="I",INDEX('완료 체험단'!$F$4:$F$2000,$N337),IF($M337="T",INDEX($U$5:$U$16,$J337),""))))</f>
        <v/>
      </c>
      <c r="F337" s="25" t="str">
        <f>IF($M337="H","결제금액 "&amp;TEXT(INDEX($V$5:$V$16,$J337),"#,##0")&amp;"원",IF($M337="C","결제금액",IF($M337="I",INDEX('완료 체험단'!$G$4:$G$2000,$N337),IF($M337="T",INDEX($V$5:$V$16,$J337),""))))</f>
        <v/>
      </c>
      <c r="G337" s="25" t="str">
        <f>IF($M337="H","실수익 "&amp;TEXT(INDEX($W$5:$W$16,$J337),"#,##0")&amp;"원",IF($M337="C","실수익",IF($M337="I",INDEX('완료 체험단'!$H$4:$H$2000,$N337),IF($M337="T",INDEX($W$5:$W$16,$J337),""))))</f>
        <v/>
      </c>
      <c r="I337" s="31">
        <f>ROWS(I$5:I337)</f>
        <v>333</v>
      </c>
      <c r="J337" t="str">
        <f t="shared" si="23"/>
        <v/>
      </c>
      <c r="K337" t="str">
        <f t="shared" si="24"/>
        <v/>
      </c>
      <c r="L337" t="str">
        <f t="shared" si="25"/>
        <v/>
      </c>
      <c r="M337" t="str">
        <f t="shared" si="26"/>
        <v/>
      </c>
      <c r="N337" t="str">
        <f>IF($M337="I",MATCH(SMALL('완료 체험단'!$K$4:$K$2000,INDEX($T$5:$T$16,$J337)+$K337-2),'완료 체험단'!$K$4:$K$2000,0),"")</f>
        <v/>
      </c>
    </row>
    <row r="338" spans="2:14">
      <c r="B338" s="23" t="str">
        <f>IF($M338="H",$J338&amp;"월",IF($M338="C","매장명",IF($M338="I",INDEX('완료 체험단'!$A$4:$A$2000,$N338),IF($M338="T","합계",""))))</f>
        <v/>
      </c>
      <c r="C338" s="29" t="str">
        <f>IF($M338="H",$L338&amp;"건",IF($M338="C","사이트",IF($M338="I",INDEX('완료 체험단'!$C$4:$C$2000,$N338),IF($M338="T",$L338&amp;"건",""))))</f>
        <v/>
      </c>
      <c r="D338" s="30" t="str">
        <f>IF($M338="C","방문일",IF($M338="I",INDEX('완료 체험단'!$D$4:$D$2000,$N338),""))</f>
        <v/>
      </c>
      <c r="E338" s="25" t="str">
        <f>IF($M338="H","제공금액 "&amp;TEXT(INDEX($U$5:$U$16,$J338),"#,##0")&amp;"원",IF($M338="C","제공금액",IF($M338="I",INDEX('완료 체험단'!$F$4:$F$2000,$N338),IF($M338="T",INDEX($U$5:$U$16,$J338),""))))</f>
        <v/>
      </c>
      <c r="F338" s="25" t="str">
        <f>IF($M338="H","결제금액 "&amp;TEXT(INDEX($V$5:$V$16,$J338),"#,##0")&amp;"원",IF($M338="C","결제금액",IF($M338="I",INDEX('완료 체험단'!$G$4:$G$2000,$N338),IF($M338="T",INDEX($V$5:$V$16,$J338),""))))</f>
        <v/>
      </c>
      <c r="G338" s="25" t="str">
        <f>IF($M338="H","실수익 "&amp;TEXT(INDEX($W$5:$W$16,$J338),"#,##0")&amp;"원",IF($M338="C","실수익",IF($M338="I",INDEX('완료 체험단'!$H$4:$H$2000,$N338),IF($M338="T",INDEX($W$5:$W$16,$J338),""))))</f>
        <v/>
      </c>
      <c r="I338" s="31">
        <f>ROWS(I$5:I338)</f>
        <v>334</v>
      </c>
      <c r="J338" t="str">
        <f t="shared" si="23"/>
        <v/>
      </c>
      <c r="K338" t="str">
        <f t="shared" si="24"/>
        <v/>
      </c>
      <c r="L338" t="str">
        <f t="shared" si="25"/>
        <v/>
      </c>
      <c r="M338" t="str">
        <f t="shared" si="26"/>
        <v/>
      </c>
      <c r="N338" t="str">
        <f>IF($M338="I",MATCH(SMALL('완료 체험단'!$K$4:$K$2000,INDEX($T$5:$T$16,$J338)+$K338-2),'완료 체험단'!$K$4:$K$2000,0),"")</f>
        <v/>
      </c>
    </row>
    <row r="339" spans="2:14">
      <c r="B339" s="23" t="str">
        <f>IF($M339="H",$J339&amp;"월",IF($M339="C","매장명",IF($M339="I",INDEX('완료 체험단'!$A$4:$A$2000,$N339),IF($M339="T","합계",""))))</f>
        <v/>
      </c>
      <c r="C339" s="29" t="str">
        <f>IF($M339="H",$L339&amp;"건",IF($M339="C","사이트",IF($M339="I",INDEX('완료 체험단'!$C$4:$C$2000,$N339),IF($M339="T",$L339&amp;"건",""))))</f>
        <v/>
      </c>
      <c r="D339" s="30" t="str">
        <f>IF($M339="C","방문일",IF($M339="I",INDEX('완료 체험단'!$D$4:$D$2000,$N339),""))</f>
        <v/>
      </c>
      <c r="E339" s="25" t="str">
        <f>IF($M339="H","제공금액 "&amp;TEXT(INDEX($U$5:$U$16,$J339),"#,##0")&amp;"원",IF($M339="C","제공금액",IF($M339="I",INDEX('완료 체험단'!$F$4:$F$2000,$N339),IF($M339="T",INDEX($U$5:$U$16,$J339),""))))</f>
        <v/>
      </c>
      <c r="F339" s="25" t="str">
        <f>IF($M339="H","결제금액 "&amp;TEXT(INDEX($V$5:$V$16,$J339),"#,##0")&amp;"원",IF($M339="C","결제금액",IF($M339="I",INDEX('완료 체험단'!$G$4:$G$2000,$N339),IF($M339="T",INDEX($V$5:$V$16,$J339),""))))</f>
        <v/>
      </c>
      <c r="G339" s="25" t="str">
        <f>IF($M339="H","실수익 "&amp;TEXT(INDEX($W$5:$W$16,$J339),"#,##0")&amp;"원",IF($M339="C","실수익",IF($M339="I",INDEX('완료 체험단'!$H$4:$H$2000,$N339),IF($M339="T",INDEX($W$5:$W$16,$J339),""))))</f>
        <v/>
      </c>
      <c r="I339" s="31">
        <f>ROWS(I$5:I339)</f>
        <v>335</v>
      </c>
      <c r="J339" t="str">
        <f t="shared" si="23"/>
        <v/>
      </c>
      <c r="K339" t="str">
        <f t="shared" si="24"/>
        <v/>
      </c>
      <c r="L339" t="str">
        <f t="shared" si="25"/>
        <v/>
      </c>
      <c r="M339" t="str">
        <f t="shared" si="26"/>
        <v/>
      </c>
      <c r="N339" t="str">
        <f>IF($M339="I",MATCH(SMALL('완료 체험단'!$K$4:$K$2000,INDEX($T$5:$T$16,$J339)+$K339-2),'완료 체험단'!$K$4:$K$2000,0),"")</f>
        <v/>
      </c>
    </row>
    <row r="340" spans="2:14">
      <c r="B340" s="23" t="str">
        <f>IF($M340="H",$J340&amp;"월",IF($M340="C","매장명",IF($M340="I",INDEX('완료 체험단'!$A$4:$A$2000,$N340),IF($M340="T","합계",""))))</f>
        <v/>
      </c>
      <c r="C340" s="29" t="str">
        <f>IF($M340="H",$L340&amp;"건",IF($M340="C","사이트",IF($M340="I",INDEX('완료 체험단'!$C$4:$C$2000,$N340),IF($M340="T",$L340&amp;"건",""))))</f>
        <v/>
      </c>
      <c r="D340" s="30" t="str">
        <f>IF($M340="C","방문일",IF($M340="I",INDEX('완료 체험단'!$D$4:$D$2000,$N340),""))</f>
        <v/>
      </c>
      <c r="E340" s="25" t="str">
        <f>IF($M340="H","제공금액 "&amp;TEXT(INDEX($U$5:$U$16,$J340),"#,##0")&amp;"원",IF($M340="C","제공금액",IF($M340="I",INDEX('완료 체험단'!$F$4:$F$2000,$N340),IF($M340="T",INDEX($U$5:$U$16,$J340),""))))</f>
        <v/>
      </c>
      <c r="F340" s="25" t="str">
        <f>IF($M340="H","결제금액 "&amp;TEXT(INDEX($V$5:$V$16,$J340),"#,##0")&amp;"원",IF($M340="C","결제금액",IF($M340="I",INDEX('완료 체험단'!$G$4:$G$2000,$N340),IF($M340="T",INDEX($V$5:$V$16,$J340),""))))</f>
        <v/>
      </c>
      <c r="G340" s="25" t="str">
        <f>IF($M340="H","실수익 "&amp;TEXT(INDEX($W$5:$W$16,$J340),"#,##0")&amp;"원",IF($M340="C","실수익",IF($M340="I",INDEX('완료 체험단'!$H$4:$H$2000,$N340),IF($M340="T",INDEX($W$5:$W$16,$J340),""))))</f>
        <v/>
      </c>
      <c r="I340" s="31">
        <f>ROWS(I$5:I340)</f>
        <v>336</v>
      </c>
      <c r="J340" t="str">
        <f t="shared" si="23"/>
        <v/>
      </c>
      <c r="K340" t="str">
        <f t="shared" si="24"/>
        <v/>
      </c>
      <c r="L340" t="str">
        <f t="shared" si="25"/>
        <v/>
      </c>
      <c r="M340" t="str">
        <f t="shared" si="26"/>
        <v/>
      </c>
      <c r="N340" t="str">
        <f>IF($M340="I",MATCH(SMALL('완료 체험단'!$K$4:$K$2000,INDEX($T$5:$T$16,$J340)+$K340-2),'완료 체험단'!$K$4:$K$2000,0),"")</f>
        <v/>
      </c>
    </row>
    <row r="341" spans="2:14">
      <c r="B341" s="23" t="str">
        <f>IF($M341="H",$J341&amp;"월",IF($M341="C","매장명",IF($M341="I",INDEX('완료 체험단'!$A$4:$A$2000,$N341),IF($M341="T","합계",""))))</f>
        <v/>
      </c>
      <c r="C341" s="29" t="str">
        <f>IF($M341="H",$L341&amp;"건",IF($M341="C","사이트",IF($M341="I",INDEX('완료 체험단'!$C$4:$C$2000,$N341),IF($M341="T",$L341&amp;"건",""))))</f>
        <v/>
      </c>
      <c r="D341" s="30" t="str">
        <f>IF($M341="C","방문일",IF($M341="I",INDEX('완료 체험단'!$D$4:$D$2000,$N341),""))</f>
        <v/>
      </c>
      <c r="E341" s="25" t="str">
        <f>IF($M341="H","제공금액 "&amp;TEXT(INDEX($U$5:$U$16,$J341),"#,##0")&amp;"원",IF($M341="C","제공금액",IF($M341="I",INDEX('완료 체험단'!$F$4:$F$2000,$N341),IF($M341="T",INDEX($U$5:$U$16,$J341),""))))</f>
        <v/>
      </c>
      <c r="F341" s="25" t="str">
        <f>IF($M341="H","결제금액 "&amp;TEXT(INDEX($V$5:$V$16,$J341),"#,##0")&amp;"원",IF($M341="C","결제금액",IF($M341="I",INDEX('완료 체험단'!$G$4:$G$2000,$N341),IF($M341="T",INDEX($V$5:$V$16,$J341),""))))</f>
        <v/>
      </c>
      <c r="G341" s="25" t="str">
        <f>IF($M341="H","실수익 "&amp;TEXT(INDEX($W$5:$W$16,$J341),"#,##0")&amp;"원",IF($M341="C","실수익",IF($M341="I",INDEX('완료 체험단'!$H$4:$H$2000,$N341),IF($M341="T",INDEX($W$5:$W$16,$J341),""))))</f>
        <v/>
      </c>
      <c r="I341" s="31">
        <f>ROWS(I$5:I341)</f>
        <v>337</v>
      </c>
      <c r="J341" t="str">
        <f t="shared" si="23"/>
        <v/>
      </c>
      <c r="K341" t="str">
        <f t="shared" si="24"/>
        <v/>
      </c>
      <c r="L341" t="str">
        <f t="shared" si="25"/>
        <v/>
      </c>
      <c r="M341" t="str">
        <f t="shared" si="26"/>
        <v/>
      </c>
      <c r="N341" t="str">
        <f>IF($M341="I",MATCH(SMALL('완료 체험단'!$K$4:$K$2000,INDEX($T$5:$T$16,$J341)+$K341-2),'완료 체험단'!$K$4:$K$2000,0),"")</f>
        <v/>
      </c>
    </row>
    <row r="342" spans="2:14">
      <c r="B342" s="23" t="str">
        <f>IF($M342="H",$J342&amp;"월",IF($M342="C","매장명",IF($M342="I",INDEX('완료 체험단'!$A$4:$A$2000,$N342),IF($M342="T","합계",""))))</f>
        <v/>
      </c>
      <c r="C342" s="29" t="str">
        <f>IF($M342="H",$L342&amp;"건",IF($M342="C","사이트",IF($M342="I",INDEX('완료 체험단'!$C$4:$C$2000,$N342),IF($M342="T",$L342&amp;"건",""))))</f>
        <v/>
      </c>
      <c r="D342" s="30" t="str">
        <f>IF($M342="C","방문일",IF($M342="I",INDEX('완료 체험단'!$D$4:$D$2000,$N342),""))</f>
        <v/>
      </c>
      <c r="E342" s="25" t="str">
        <f>IF($M342="H","제공금액 "&amp;TEXT(INDEX($U$5:$U$16,$J342),"#,##0")&amp;"원",IF($M342="C","제공금액",IF($M342="I",INDEX('완료 체험단'!$F$4:$F$2000,$N342),IF($M342="T",INDEX($U$5:$U$16,$J342),""))))</f>
        <v/>
      </c>
      <c r="F342" s="25" t="str">
        <f>IF($M342="H","결제금액 "&amp;TEXT(INDEX($V$5:$V$16,$J342),"#,##0")&amp;"원",IF($M342="C","결제금액",IF($M342="I",INDEX('완료 체험단'!$G$4:$G$2000,$N342),IF($M342="T",INDEX($V$5:$V$16,$J342),""))))</f>
        <v/>
      </c>
      <c r="G342" s="25" t="str">
        <f>IF($M342="H","실수익 "&amp;TEXT(INDEX($W$5:$W$16,$J342),"#,##0")&amp;"원",IF($M342="C","실수익",IF($M342="I",INDEX('완료 체험단'!$H$4:$H$2000,$N342),IF($M342="T",INDEX($W$5:$W$16,$J342),""))))</f>
        <v/>
      </c>
      <c r="I342" s="31">
        <f>ROWS(I$5:I342)</f>
        <v>338</v>
      </c>
      <c r="J342" t="str">
        <f t="shared" si="23"/>
        <v/>
      </c>
      <c r="K342" t="str">
        <f t="shared" si="24"/>
        <v/>
      </c>
      <c r="L342" t="str">
        <f t="shared" si="25"/>
        <v/>
      </c>
      <c r="M342" t="str">
        <f t="shared" si="26"/>
        <v/>
      </c>
      <c r="N342" t="str">
        <f>IF($M342="I",MATCH(SMALL('완료 체험단'!$K$4:$K$2000,INDEX($T$5:$T$16,$J342)+$K342-2),'완료 체험단'!$K$4:$K$2000,0),"")</f>
        <v/>
      </c>
    </row>
    <row r="343" spans="2:14">
      <c r="B343" s="23" t="str">
        <f>IF($M343="H",$J343&amp;"월",IF($M343="C","매장명",IF($M343="I",INDEX('완료 체험단'!$A$4:$A$2000,$N343),IF($M343="T","합계",""))))</f>
        <v/>
      </c>
      <c r="C343" s="29" t="str">
        <f>IF($M343="H",$L343&amp;"건",IF($M343="C","사이트",IF($M343="I",INDEX('완료 체험단'!$C$4:$C$2000,$N343),IF($M343="T",$L343&amp;"건",""))))</f>
        <v/>
      </c>
      <c r="D343" s="30" t="str">
        <f>IF($M343="C","방문일",IF($M343="I",INDEX('완료 체험단'!$D$4:$D$2000,$N343),""))</f>
        <v/>
      </c>
      <c r="E343" s="25" t="str">
        <f>IF($M343="H","제공금액 "&amp;TEXT(INDEX($U$5:$U$16,$J343),"#,##0")&amp;"원",IF($M343="C","제공금액",IF($M343="I",INDEX('완료 체험단'!$F$4:$F$2000,$N343),IF($M343="T",INDEX($U$5:$U$16,$J343),""))))</f>
        <v/>
      </c>
      <c r="F343" s="25" t="str">
        <f>IF($M343="H","결제금액 "&amp;TEXT(INDEX($V$5:$V$16,$J343),"#,##0")&amp;"원",IF($M343="C","결제금액",IF($M343="I",INDEX('완료 체험단'!$G$4:$G$2000,$N343),IF($M343="T",INDEX($V$5:$V$16,$J343),""))))</f>
        <v/>
      </c>
      <c r="G343" s="25" t="str">
        <f>IF($M343="H","실수익 "&amp;TEXT(INDEX($W$5:$W$16,$J343),"#,##0")&amp;"원",IF($M343="C","실수익",IF($M343="I",INDEX('완료 체험단'!$H$4:$H$2000,$N343),IF($M343="T",INDEX($W$5:$W$16,$J343),""))))</f>
        <v/>
      </c>
      <c r="I343" s="31">
        <f>ROWS(I$5:I343)</f>
        <v>339</v>
      </c>
      <c r="J343" t="str">
        <f t="shared" si="23"/>
        <v/>
      </c>
      <c r="K343" t="str">
        <f t="shared" si="24"/>
        <v/>
      </c>
      <c r="L343" t="str">
        <f t="shared" si="25"/>
        <v/>
      </c>
      <c r="M343" t="str">
        <f t="shared" si="26"/>
        <v/>
      </c>
      <c r="N343" t="str">
        <f>IF($M343="I",MATCH(SMALL('완료 체험단'!$K$4:$K$2000,INDEX($T$5:$T$16,$J343)+$K343-2),'완료 체험단'!$K$4:$K$2000,0),"")</f>
        <v/>
      </c>
    </row>
    <row r="344" spans="2:14">
      <c r="B344" s="23" t="str">
        <f>IF($M344="H",$J344&amp;"월",IF($M344="C","매장명",IF($M344="I",INDEX('완료 체험단'!$A$4:$A$2000,$N344),IF($M344="T","합계",""))))</f>
        <v/>
      </c>
      <c r="C344" s="29" t="str">
        <f>IF($M344="H",$L344&amp;"건",IF($M344="C","사이트",IF($M344="I",INDEX('완료 체험단'!$C$4:$C$2000,$N344),IF($M344="T",$L344&amp;"건",""))))</f>
        <v/>
      </c>
      <c r="D344" s="30" t="str">
        <f>IF($M344="C","방문일",IF($M344="I",INDEX('완료 체험단'!$D$4:$D$2000,$N344),""))</f>
        <v/>
      </c>
      <c r="E344" s="25" t="str">
        <f>IF($M344="H","제공금액 "&amp;TEXT(INDEX($U$5:$U$16,$J344),"#,##0")&amp;"원",IF($M344="C","제공금액",IF($M344="I",INDEX('완료 체험단'!$F$4:$F$2000,$N344),IF($M344="T",INDEX($U$5:$U$16,$J344),""))))</f>
        <v/>
      </c>
      <c r="F344" s="25" t="str">
        <f>IF($M344="H","결제금액 "&amp;TEXT(INDEX($V$5:$V$16,$J344),"#,##0")&amp;"원",IF($M344="C","결제금액",IF($M344="I",INDEX('완료 체험단'!$G$4:$G$2000,$N344),IF($M344="T",INDEX($V$5:$V$16,$J344),""))))</f>
        <v/>
      </c>
      <c r="G344" s="25" t="str">
        <f>IF($M344="H","실수익 "&amp;TEXT(INDEX($W$5:$W$16,$J344),"#,##0")&amp;"원",IF($M344="C","실수익",IF($M344="I",INDEX('완료 체험단'!$H$4:$H$2000,$N344),IF($M344="T",INDEX($W$5:$W$16,$J344),""))))</f>
        <v/>
      </c>
      <c r="I344" s="31">
        <f>ROWS(I$5:I344)</f>
        <v>340</v>
      </c>
      <c r="J344" t="str">
        <f t="shared" si="23"/>
        <v/>
      </c>
      <c r="K344" t="str">
        <f t="shared" si="24"/>
        <v/>
      </c>
      <c r="L344" t="str">
        <f t="shared" si="25"/>
        <v/>
      </c>
      <c r="M344" t="str">
        <f t="shared" si="26"/>
        <v/>
      </c>
      <c r="N344" t="str">
        <f>IF($M344="I",MATCH(SMALL('완료 체험단'!$K$4:$K$2000,INDEX($T$5:$T$16,$J344)+$K344-2),'완료 체험단'!$K$4:$K$2000,0),"")</f>
        <v/>
      </c>
    </row>
    <row r="345" spans="2:14">
      <c r="B345" s="23" t="str">
        <f>IF($M345="H",$J345&amp;"월",IF($M345="C","매장명",IF($M345="I",INDEX('완료 체험단'!$A$4:$A$2000,$N345),IF($M345="T","합계",""))))</f>
        <v/>
      </c>
      <c r="C345" s="29" t="str">
        <f>IF($M345="H",$L345&amp;"건",IF($M345="C","사이트",IF($M345="I",INDEX('완료 체험단'!$C$4:$C$2000,$N345),IF($M345="T",$L345&amp;"건",""))))</f>
        <v/>
      </c>
      <c r="D345" s="30" t="str">
        <f>IF($M345="C","방문일",IF($M345="I",INDEX('완료 체험단'!$D$4:$D$2000,$N345),""))</f>
        <v/>
      </c>
      <c r="E345" s="25" t="str">
        <f>IF($M345="H","제공금액 "&amp;TEXT(INDEX($U$5:$U$16,$J345),"#,##0")&amp;"원",IF($M345="C","제공금액",IF($M345="I",INDEX('완료 체험단'!$F$4:$F$2000,$N345),IF($M345="T",INDEX($U$5:$U$16,$J345),""))))</f>
        <v/>
      </c>
      <c r="F345" s="25" t="str">
        <f>IF($M345="H","결제금액 "&amp;TEXT(INDEX($V$5:$V$16,$J345),"#,##0")&amp;"원",IF($M345="C","결제금액",IF($M345="I",INDEX('완료 체험단'!$G$4:$G$2000,$N345),IF($M345="T",INDEX($V$5:$V$16,$J345),""))))</f>
        <v/>
      </c>
      <c r="G345" s="25" t="str">
        <f>IF($M345="H","실수익 "&amp;TEXT(INDEX($W$5:$W$16,$J345),"#,##0")&amp;"원",IF($M345="C","실수익",IF($M345="I",INDEX('완료 체험단'!$H$4:$H$2000,$N345),IF($M345="T",INDEX($W$5:$W$16,$J345),""))))</f>
        <v/>
      </c>
      <c r="I345" s="31">
        <f>ROWS(I$5:I345)</f>
        <v>341</v>
      </c>
      <c r="J345" t="str">
        <f t="shared" si="23"/>
        <v/>
      </c>
      <c r="K345" t="str">
        <f t="shared" si="24"/>
        <v/>
      </c>
      <c r="L345" t="str">
        <f t="shared" si="25"/>
        <v/>
      </c>
      <c r="M345" t="str">
        <f t="shared" si="26"/>
        <v/>
      </c>
      <c r="N345" t="str">
        <f>IF($M345="I",MATCH(SMALL('완료 체험단'!$K$4:$K$2000,INDEX($T$5:$T$16,$J345)+$K345-2),'완료 체험단'!$K$4:$K$2000,0),"")</f>
        <v/>
      </c>
    </row>
    <row r="346" spans="2:14">
      <c r="B346" s="23" t="str">
        <f>IF($M346="H",$J346&amp;"월",IF($M346="C","매장명",IF($M346="I",INDEX('완료 체험단'!$A$4:$A$2000,$N346),IF($M346="T","합계",""))))</f>
        <v/>
      </c>
      <c r="C346" s="29" t="str">
        <f>IF($M346="H",$L346&amp;"건",IF($M346="C","사이트",IF($M346="I",INDEX('완료 체험단'!$C$4:$C$2000,$N346),IF($M346="T",$L346&amp;"건",""))))</f>
        <v/>
      </c>
      <c r="D346" s="30" t="str">
        <f>IF($M346="C","방문일",IF($M346="I",INDEX('완료 체험단'!$D$4:$D$2000,$N346),""))</f>
        <v/>
      </c>
      <c r="E346" s="25" t="str">
        <f>IF($M346="H","제공금액 "&amp;TEXT(INDEX($U$5:$U$16,$J346),"#,##0")&amp;"원",IF($M346="C","제공금액",IF($M346="I",INDEX('완료 체험단'!$F$4:$F$2000,$N346),IF($M346="T",INDEX($U$5:$U$16,$J346),""))))</f>
        <v/>
      </c>
      <c r="F346" s="25" t="str">
        <f>IF($M346="H","결제금액 "&amp;TEXT(INDEX($V$5:$V$16,$J346),"#,##0")&amp;"원",IF($M346="C","결제금액",IF($M346="I",INDEX('완료 체험단'!$G$4:$G$2000,$N346),IF($M346="T",INDEX($V$5:$V$16,$J346),""))))</f>
        <v/>
      </c>
      <c r="G346" s="25" t="str">
        <f>IF($M346="H","실수익 "&amp;TEXT(INDEX($W$5:$W$16,$J346),"#,##0")&amp;"원",IF($M346="C","실수익",IF($M346="I",INDEX('완료 체험단'!$H$4:$H$2000,$N346),IF($M346="T",INDEX($W$5:$W$16,$J346),""))))</f>
        <v/>
      </c>
      <c r="I346" s="31">
        <f>ROWS(I$5:I346)</f>
        <v>342</v>
      </c>
      <c r="J346" t="str">
        <f t="shared" si="23"/>
        <v/>
      </c>
      <c r="K346" t="str">
        <f t="shared" si="24"/>
        <v/>
      </c>
      <c r="L346" t="str">
        <f t="shared" si="25"/>
        <v/>
      </c>
      <c r="M346" t="str">
        <f t="shared" si="26"/>
        <v/>
      </c>
      <c r="N346" t="str">
        <f>IF($M346="I",MATCH(SMALL('완료 체험단'!$K$4:$K$2000,INDEX($T$5:$T$16,$J346)+$K346-2),'완료 체험단'!$K$4:$K$2000,0),"")</f>
        <v/>
      </c>
    </row>
    <row r="347" spans="2:14">
      <c r="B347" s="23" t="str">
        <f>IF($M347="H",$J347&amp;"월",IF($M347="C","매장명",IF($M347="I",INDEX('완료 체험단'!$A$4:$A$2000,$N347),IF($M347="T","합계",""))))</f>
        <v/>
      </c>
      <c r="C347" s="29" t="str">
        <f>IF($M347="H",$L347&amp;"건",IF($M347="C","사이트",IF($M347="I",INDEX('완료 체험단'!$C$4:$C$2000,$N347),IF($M347="T",$L347&amp;"건",""))))</f>
        <v/>
      </c>
      <c r="D347" s="30" t="str">
        <f>IF($M347="C","방문일",IF($M347="I",INDEX('완료 체험단'!$D$4:$D$2000,$N347),""))</f>
        <v/>
      </c>
      <c r="E347" s="25" t="str">
        <f>IF($M347="H","제공금액 "&amp;TEXT(INDEX($U$5:$U$16,$J347),"#,##0")&amp;"원",IF($M347="C","제공금액",IF($M347="I",INDEX('완료 체험단'!$F$4:$F$2000,$N347),IF($M347="T",INDEX($U$5:$U$16,$J347),""))))</f>
        <v/>
      </c>
      <c r="F347" s="25" t="str">
        <f>IF($M347="H","결제금액 "&amp;TEXT(INDEX($V$5:$V$16,$J347),"#,##0")&amp;"원",IF($M347="C","결제금액",IF($M347="I",INDEX('완료 체험단'!$G$4:$G$2000,$N347),IF($M347="T",INDEX($V$5:$V$16,$J347),""))))</f>
        <v/>
      </c>
      <c r="G347" s="25" t="str">
        <f>IF($M347="H","실수익 "&amp;TEXT(INDEX($W$5:$W$16,$J347),"#,##0")&amp;"원",IF($M347="C","실수익",IF($M347="I",INDEX('완료 체험단'!$H$4:$H$2000,$N347),IF($M347="T",INDEX($W$5:$W$16,$J347),""))))</f>
        <v/>
      </c>
      <c r="I347" s="31">
        <f>ROWS(I$5:I347)</f>
        <v>343</v>
      </c>
      <c r="J347" t="str">
        <f t="shared" si="23"/>
        <v/>
      </c>
      <c r="K347" t="str">
        <f t="shared" si="24"/>
        <v/>
      </c>
      <c r="L347" t="str">
        <f t="shared" si="25"/>
        <v/>
      </c>
      <c r="M347" t="str">
        <f t="shared" si="26"/>
        <v/>
      </c>
      <c r="N347" t="str">
        <f>IF($M347="I",MATCH(SMALL('완료 체험단'!$K$4:$K$2000,INDEX($T$5:$T$16,$J347)+$K347-2),'완료 체험단'!$K$4:$K$2000,0),"")</f>
        <v/>
      </c>
    </row>
    <row r="348" spans="2:14">
      <c r="B348" s="23" t="str">
        <f>IF($M348="H",$J348&amp;"월",IF($M348="C","매장명",IF($M348="I",INDEX('완료 체험단'!$A$4:$A$2000,$N348),IF($M348="T","합계",""))))</f>
        <v/>
      </c>
      <c r="C348" s="29" t="str">
        <f>IF($M348="H",$L348&amp;"건",IF($M348="C","사이트",IF($M348="I",INDEX('완료 체험단'!$C$4:$C$2000,$N348),IF($M348="T",$L348&amp;"건",""))))</f>
        <v/>
      </c>
      <c r="D348" s="30" t="str">
        <f>IF($M348="C","방문일",IF($M348="I",INDEX('완료 체험단'!$D$4:$D$2000,$N348),""))</f>
        <v/>
      </c>
      <c r="E348" s="25" t="str">
        <f>IF($M348="H","제공금액 "&amp;TEXT(INDEX($U$5:$U$16,$J348),"#,##0")&amp;"원",IF($M348="C","제공금액",IF($M348="I",INDEX('완료 체험단'!$F$4:$F$2000,$N348),IF($M348="T",INDEX($U$5:$U$16,$J348),""))))</f>
        <v/>
      </c>
      <c r="F348" s="25" t="str">
        <f>IF($M348="H","결제금액 "&amp;TEXT(INDEX($V$5:$V$16,$J348),"#,##0")&amp;"원",IF($M348="C","결제금액",IF($M348="I",INDEX('완료 체험단'!$G$4:$G$2000,$N348),IF($M348="T",INDEX($V$5:$V$16,$J348),""))))</f>
        <v/>
      </c>
      <c r="G348" s="25" t="str">
        <f>IF($M348="H","실수익 "&amp;TEXT(INDEX($W$5:$W$16,$J348),"#,##0")&amp;"원",IF($M348="C","실수익",IF($M348="I",INDEX('완료 체험단'!$H$4:$H$2000,$N348),IF($M348="T",INDEX($W$5:$W$16,$J348),""))))</f>
        <v/>
      </c>
      <c r="I348" s="31">
        <f>ROWS(I$5:I348)</f>
        <v>344</v>
      </c>
      <c r="J348" t="str">
        <f t="shared" si="23"/>
        <v/>
      </c>
      <c r="K348" t="str">
        <f t="shared" si="24"/>
        <v/>
      </c>
      <c r="L348" t="str">
        <f t="shared" si="25"/>
        <v/>
      </c>
      <c r="M348" t="str">
        <f t="shared" si="26"/>
        <v/>
      </c>
      <c r="N348" t="str">
        <f>IF($M348="I",MATCH(SMALL('완료 체험단'!$K$4:$K$2000,INDEX($T$5:$T$16,$J348)+$K348-2),'완료 체험단'!$K$4:$K$2000,0),"")</f>
        <v/>
      </c>
    </row>
    <row r="349" spans="2:14">
      <c r="B349" s="23" t="str">
        <f>IF($M349="H",$J349&amp;"월",IF($M349="C","매장명",IF($M349="I",INDEX('완료 체험단'!$A$4:$A$2000,$N349),IF($M349="T","합계",""))))</f>
        <v/>
      </c>
      <c r="C349" s="29" t="str">
        <f>IF($M349="H",$L349&amp;"건",IF($M349="C","사이트",IF($M349="I",INDEX('완료 체험단'!$C$4:$C$2000,$N349),IF($M349="T",$L349&amp;"건",""))))</f>
        <v/>
      </c>
      <c r="D349" s="30" t="str">
        <f>IF($M349="C","방문일",IF($M349="I",INDEX('완료 체험단'!$D$4:$D$2000,$N349),""))</f>
        <v/>
      </c>
      <c r="E349" s="25" t="str">
        <f>IF($M349="H","제공금액 "&amp;TEXT(INDEX($U$5:$U$16,$J349),"#,##0")&amp;"원",IF($M349="C","제공금액",IF($M349="I",INDEX('완료 체험단'!$F$4:$F$2000,$N349),IF($M349="T",INDEX($U$5:$U$16,$J349),""))))</f>
        <v/>
      </c>
      <c r="F349" s="25" t="str">
        <f>IF($M349="H","결제금액 "&amp;TEXT(INDEX($V$5:$V$16,$J349),"#,##0")&amp;"원",IF($M349="C","결제금액",IF($M349="I",INDEX('완료 체험단'!$G$4:$G$2000,$N349),IF($M349="T",INDEX($V$5:$V$16,$J349),""))))</f>
        <v/>
      </c>
      <c r="G349" s="25" t="str">
        <f>IF($M349="H","실수익 "&amp;TEXT(INDEX($W$5:$W$16,$J349),"#,##0")&amp;"원",IF($M349="C","실수익",IF($M349="I",INDEX('완료 체험단'!$H$4:$H$2000,$N349),IF($M349="T",INDEX($W$5:$W$16,$J349),""))))</f>
        <v/>
      </c>
      <c r="I349" s="31">
        <f>ROWS(I$5:I349)</f>
        <v>345</v>
      </c>
      <c r="J349" t="str">
        <f t="shared" si="23"/>
        <v/>
      </c>
      <c r="K349" t="str">
        <f t="shared" si="24"/>
        <v/>
      </c>
      <c r="L349" t="str">
        <f t="shared" si="25"/>
        <v/>
      </c>
      <c r="M349" t="str">
        <f t="shared" si="26"/>
        <v/>
      </c>
      <c r="N349" t="str">
        <f>IF($M349="I",MATCH(SMALL('완료 체험단'!$K$4:$K$2000,INDEX($T$5:$T$16,$J349)+$K349-2),'완료 체험단'!$K$4:$K$2000,0),"")</f>
        <v/>
      </c>
    </row>
    <row r="350" spans="2:14">
      <c r="B350" s="23" t="str">
        <f>IF($M350="H",$J350&amp;"월",IF($M350="C","매장명",IF($M350="I",INDEX('완료 체험단'!$A$4:$A$2000,$N350),IF($M350="T","합계",""))))</f>
        <v/>
      </c>
      <c r="C350" s="29" t="str">
        <f>IF($M350="H",$L350&amp;"건",IF($M350="C","사이트",IF($M350="I",INDEX('완료 체험단'!$C$4:$C$2000,$N350),IF($M350="T",$L350&amp;"건",""))))</f>
        <v/>
      </c>
      <c r="D350" s="30" t="str">
        <f>IF($M350="C","방문일",IF($M350="I",INDEX('완료 체험단'!$D$4:$D$2000,$N350),""))</f>
        <v/>
      </c>
      <c r="E350" s="25" t="str">
        <f>IF($M350="H","제공금액 "&amp;TEXT(INDEX($U$5:$U$16,$J350),"#,##0")&amp;"원",IF($M350="C","제공금액",IF($M350="I",INDEX('완료 체험단'!$F$4:$F$2000,$N350),IF($M350="T",INDEX($U$5:$U$16,$J350),""))))</f>
        <v/>
      </c>
      <c r="F350" s="25" t="str">
        <f>IF($M350="H","결제금액 "&amp;TEXT(INDEX($V$5:$V$16,$J350),"#,##0")&amp;"원",IF($M350="C","결제금액",IF($M350="I",INDEX('완료 체험단'!$G$4:$G$2000,$N350),IF($M350="T",INDEX($V$5:$V$16,$J350),""))))</f>
        <v/>
      </c>
      <c r="G350" s="25" t="str">
        <f>IF($M350="H","실수익 "&amp;TEXT(INDEX($W$5:$W$16,$J350),"#,##0")&amp;"원",IF($M350="C","실수익",IF($M350="I",INDEX('완료 체험단'!$H$4:$H$2000,$N350),IF($M350="T",INDEX($W$5:$W$16,$J350),""))))</f>
        <v/>
      </c>
      <c r="I350" s="31">
        <f>ROWS(I$5:I350)</f>
        <v>346</v>
      </c>
      <c r="J350" t="str">
        <f t="shared" si="23"/>
        <v/>
      </c>
      <c r="K350" t="str">
        <f t="shared" si="24"/>
        <v/>
      </c>
      <c r="L350" t="str">
        <f t="shared" si="25"/>
        <v/>
      </c>
      <c r="M350" t="str">
        <f t="shared" si="26"/>
        <v/>
      </c>
      <c r="N350" t="str">
        <f>IF($M350="I",MATCH(SMALL('완료 체험단'!$K$4:$K$2000,INDEX($T$5:$T$16,$J350)+$K350-2),'완료 체험단'!$K$4:$K$2000,0),"")</f>
        <v/>
      </c>
    </row>
    <row r="351" spans="2:14">
      <c r="B351" s="23" t="str">
        <f>IF($M351="H",$J351&amp;"월",IF($M351="C","매장명",IF($M351="I",INDEX('완료 체험단'!$A$4:$A$2000,$N351),IF($M351="T","합계",""))))</f>
        <v/>
      </c>
      <c r="C351" s="29" t="str">
        <f>IF($M351="H",$L351&amp;"건",IF($M351="C","사이트",IF($M351="I",INDEX('완료 체험단'!$C$4:$C$2000,$N351),IF($M351="T",$L351&amp;"건",""))))</f>
        <v/>
      </c>
      <c r="D351" s="30" t="str">
        <f>IF($M351="C","방문일",IF($M351="I",INDEX('완료 체험단'!$D$4:$D$2000,$N351),""))</f>
        <v/>
      </c>
      <c r="E351" s="25" t="str">
        <f>IF($M351="H","제공금액 "&amp;TEXT(INDEX($U$5:$U$16,$J351),"#,##0")&amp;"원",IF($M351="C","제공금액",IF($M351="I",INDEX('완료 체험단'!$F$4:$F$2000,$N351),IF($M351="T",INDEX($U$5:$U$16,$J351),""))))</f>
        <v/>
      </c>
      <c r="F351" s="25" t="str">
        <f>IF($M351="H","결제금액 "&amp;TEXT(INDEX($V$5:$V$16,$J351),"#,##0")&amp;"원",IF($M351="C","결제금액",IF($M351="I",INDEX('완료 체험단'!$G$4:$G$2000,$N351),IF($M351="T",INDEX($V$5:$V$16,$J351),""))))</f>
        <v/>
      </c>
      <c r="G351" s="25" t="str">
        <f>IF($M351="H","실수익 "&amp;TEXT(INDEX($W$5:$W$16,$J351),"#,##0")&amp;"원",IF($M351="C","실수익",IF($M351="I",INDEX('완료 체험단'!$H$4:$H$2000,$N351),IF($M351="T",INDEX($W$5:$W$16,$J351),""))))</f>
        <v/>
      </c>
      <c r="I351" s="31">
        <f>ROWS(I$5:I351)</f>
        <v>347</v>
      </c>
      <c r="J351" t="str">
        <f t="shared" si="23"/>
        <v/>
      </c>
      <c r="K351" t="str">
        <f t="shared" si="24"/>
        <v/>
      </c>
      <c r="L351" t="str">
        <f t="shared" si="25"/>
        <v/>
      </c>
      <c r="M351" t="str">
        <f t="shared" si="26"/>
        <v/>
      </c>
      <c r="N351" t="str">
        <f>IF($M351="I",MATCH(SMALL('완료 체험단'!$K$4:$K$2000,INDEX($T$5:$T$16,$J351)+$K351-2),'완료 체험단'!$K$4:$K$2000,0),"")</f>
        <v/>
      </c>
    </row>
    <row r="352" spans="2:14">
      <c r="B352" s="23" t="str">
        <f>IF($M352="H",$J352&amp;"월",IF($M352="C","매장명",IF($M352="I",INDEX('완료 체험단'!$A$4:$A$2000,$N352),IF($M352="T","합계",""))))</f>
        <v/>
      </c>
      <c r="C352" s="29" t="str">
        <f>IF($M352="H",$L352&amp;"건",IF($M352="C","사이트",IF($M352="I",INDEX('완료 체험단'!$C$4:$C$2000,$N352),IF($M352="T",$L352&amp;"건",""))))</f>
        <v/>
      </c>
      <c r="D352" s="30" t="str">
        <f>IF($M352="C","방문일",IF($M352="I",INDEX('완료 체험단'!$D$4:$D$2000,$N352),""))</f>
        <v/>
      </c>
      <c r="E352" s="25" t="str">
        <f>IF($M352="H","제공금액 "&amp;TEXT(INDEX($U$5:$U$16,$J352),"#,##0")&amp;"원",IF($M352="C","제공금액",IF($M352="I",INDEX('완료 체험단'!$F$4:$F$2000,$N352),IF($M352="T",INDEX($U$5:$U$16,$J352),""))))</f>
        <v/>
      </c>
      <c r="F352" s="25" t="str">
        <f>IF($M352="H","결제금액 "&amp;TEXT(INDEX($V$5:$V$16,$J352),"#,##0")&amp;"원",IF($M352="C","결제금액",IF($M352="I",INDEX('완료 체험단'!$G$4:$G$2000,$N352),IF($M352="T",INDEX($V$5:$V$16,$J352),""))))</f>
        <v/>
      </c>
      <c r="G352" s="25" t="str">
        <f>IF($M352="H","실수익 "&amp;TEXT(INDEX($W$5:$W$16,$J352),"#,##0")&amp;"원",IF($M352="C","실수익",IF($M352="I",INDEX('완료 체험단'!$H$4:$H$2000,$N352),IF($M352="T",INDEX($W$5:$W$16,$J352),""))))</f>
        <v/>
      </c>
      <c r="I352" s="31">
        <f>ROWS(I$5:I352)</f>
        <v>348</v>
      </c>
      <c r="J352" t="str">
        <f t="shared" si="23"/>
        <v/>
      </c>
      <c r="K352" t="str">
        <f t="shared" si="24"/>
        <v/>
      </c>
      <c r="L352" t="str">
        <f t="shared" si="25"/>
        <v/>
      </c>
      <c r="M352" t="str">
        <f t="shared" si="26"/>
        <v/>
      </c>
      <c r="N352" t="str">
        <f>IF($M352="I",MATCH(SMALL('완료 체험단'!$K$4:$K$2000,INDEX($T$5:$T$16,$J352)+$K352-2),'완료 체험단'!$K$4:$K$2000,0),"")</f>
        <v/>
      </c>
    </row>
    <row r="353" spans="2:14">
      <c r="B353" s="23" t="str">
        <f>IF($M353="H",$J353&amp;"월",IF($M353="C","매장명",IF($M353="I",INDEX('완료 체험단'!$A$4:$A$2000,$N353),IF($M353="T","합계",""))))</f>
        <v/>
      </c>
      <c r="C353" s="29" t="str">
        <f>IF($M353="H",$L353&amp;"건",IF($M353="C","사이트",IF($M353="I",INDEX('완료 체험단'!$C$4:$C$2000,$N353),IF($M353="T",$L353&amp;"건",""))))</f>
        <v/>
      </c>
      <c r="D353" s="30" t="str">
        <f>IF($M353="C","방문일",IF($M353="I",INDEX('완료 체험단'!$D$4:$D$2000,$N353),""))</f>
        <v/>
      </c>
      <c r="E353" s="25" t="str">
        <f>IF($M353="H","제공금액 "&amp;TEXT(INDEX($U$5:$U$16,$J353),"#,##0")&amp;"원",IF($M353="C","제공금액",IF($M353="I",INDEX('완료 체험단'!$F$4:$F$2000,$N353),IF($M353="T",INDEX($U$5:$U$16,$J353),""))))</f>
        <v/>
      </c>
      <c r="F353" s="25" t="str">
        <f>IF($M353="H","결제금액 "&amp;TEXT(INDEX($V$5:$V$16,$J353),"#,##0")&amp;"원",IF($M353="C","결제금액",IF($M353="I",INDEX('완료 체험단'!$G$4:$G$2000,$N353),IF($M353="T",INDEX($V$5:$V$16,$J353),""))))</f>
        <v/>
      </c>
      <c r="G353" s="25" t="str">
        <f>IF($M353="H","실수익 "&amp;TEXT(INDEX($W$5:$W$16,$J353),"#,##0")&amp;"원",IF($M353="C","실수익",IF($M353="I",INDEX('완료 체험단'!$H$4:$H$2000,$N353),IF($M353="T",INDEX($W$5:$W$16,$J353),""))))</f>
        <v/>
      </c>
      <c r="I353" s="31">
        <f>ROWS(I$5:I353)</f>
        <v>349</v>
      </c>
      <c r="J353" t="str">
        <f t="shared" si="23"/>
        <v/>
      </c>
      <c r="K353" t="str">
        <f t="shared" si="24"/>
        <v/>
      </c>
      <c r="L353" t="str">
        <f t="shared" si="25"/>
        <v/>
      </c>
      <c r="M353" t="str">
        <f t="shared" si="26"/>
        <v/>
      </c>
      <c r="N353" t="str">
        <f>IF($M353="I",MATCH(SMALL('완료 체험단'!$K$4:$K$2000,INDEX($T$5:$T$16,$J353)+$K353-2),'완료 체험단'!$K$4:$K$2000,0),"")</f>
        <v/>
      </c>
    </row>
    <row r="354" spans="2:14">
      <c r="B354" s="23" t="str">
        <f>IF($M354="H",$J354&amp;"월",IF($M354="C","매장명",IF($M354="I",INDEX('완료 체험단'!$A$4:$A$2000,$N354),IF($M354="T","합계",""))))</f>
        <v/>
      </c>
      <c r="C354" s="29" t="str">
        <f>IF($M354="H",$L354&amp;"건",IF($M354="C","사이트",IF($M354="I",INDEX('완료 체험단'!$C$4:$C$2000,$N354),IF($M354="T",$L354&amp;"건",""))))</f>
        <v/>
      </c>
      <c r="D354" s="30" t="str">
        <f>IF($M354="C","방문일",IF($M354="I",INDEX('완료 체험단'!$D$4:$D$2000,$N354),""))</f>
        <v/>
      </c>
      <c r="E354" s="25" t="str">
        <f>IF($M354="H","제공금액 "&amp;TEXT(INDEX($U$5:$U$16,$J354),"#,##0")&amp;"원",IF($M354="C","제공금액",IF($M354="I",INDEX('완료 체험단'!$F$4:$F$2000,$N354),IF($M354="T",INDEX($U$5:$U$16,$J354),""))))</f>
        <v/>
      </c>
      <c r="F354" s="25" t="str">
        <f>IF($M354="H","결제금액 "&amp;TEXT(INDEX($V$5:$V$16,$J354),"#,##0")&amp;"원",IF($M354="C","결제금액",IF($M354="I",INDEX('완료 체험단'!$G$4:$G$2000,$N354),IF($M354="T",INDEX($V$5:$V$16,$J354),""))))</f>
        <v/>
      </c>
      <c r="G354" s="25" t="str">
        <f>IF($M354="H","실수익 "&amp;TEXT(INDEX($W$5:$W$16,$J354),"#,##0")&amp;"원",IF($M354="C","실수익",IF($M354="I",INDEX('완료 체험단'!$H$4:$H$2000,$N354),IF($M354="T",INDEX($W$5:$W$16,$J354),""))))</f>
        <v/>
      </c>
      <c r="I354" s="31">
        <f>ROWS(I$5:I354)</f>
        <v>350</v>
      </c>
      <c r="J354" t="str">
        <f t="shared" si="23"/>
        <v/>
      </c>
      <c r="K354" t="str">
        <f t="shared" si="24"/>
        <v/>
      </c>
      <c r="L354" t="str">
        <f t="shared" si="25"/>
        <v/>
      </c>
      <c r="M354" t="str">
        <f t="shared" si="26"/>
        <v/>
      </c>
      <c r="N354" t="str">
        <f>IF($M354="I",MATCH(SMALL('완료 체험단'!$K$4:$K$2000,INDEX($T$5:$T$16,$J354)+$K354-2),'완료 체험단'!$K$4:$K$2000,0),"")</f>
        <v/>
      </c>
    </row>
    <row r="355" spans="2:14">
      <c r="B355" s="23" t="str">
        <f>IF($M355="H",$J355&amp;"월",IF($M355="C","매장명",IF($M355="I",INDEX('완료 체험단'!$A$4:$A$2000,$N355),IF($M355="T","합계",""))))</f>
        <v/>
      </c>
      <c r="C355" s="29" t="str">
        <f>IF($M355="H",$L355&amp;"건",IF($M355="C","사이트",IF($M355="I",INDEX('완료 체험단'!$C$4:$C$2000,$N355),IF($M355="T",$L355&amp;"건",""))))</f>
        <v/>
      </c>
      <c r="D355" s="30" t="str">
        <f>IF($M355="C","방문일",IF($M355="I",INDEX('완료 체험단'!$D$4:$D$2000,$N355),""))</f>
        <v/>
      </c>
      <c r="E355" s="25" t="str">
        <f>IF($M355="H","제공금액 "&amp;TEXT(INDEX($U$5:$U$16,$J355),"#,##0")&amp;"원",IF($M355="C","제공금액",IF($M355="I",INDEX('완료 체험단'!$F$4:$F$2000,$N355),IF($M355="T",INDEX($U$5:$U$16,$J355),""))))</f>
        <v/>
      </c>
      <c r="F355" s="25" t="str">
        <f>IF($M355="H","결제금액 "&amp;TEXT(INDEX($V$5:$V$16,$J355),"#,##0")&amp;"원",IF($M355="C","결제금액",IF($M355="I",INDEX('완료 체험단'!$G$4:$G$2000,$N355),IF($M355="T",INDEX($V$5:$V$16,$J355),""))))</f>
        <v/>
      </c>
      <c r="G355" s="25" t="str">
        <f>IF($M355="H","실수익 "&amp;TEXT(INDEX($W$5:$W$16,$J355),"#,##0")&amp;"원",IF($M355="C","실수익",IF($M355="I",INDEX('완료 체험단'!$H$4:$H$2000,$N355),IF($M355="T",INDEX($W$5:$W$16,$J355),""))))</f>
        <v/>
      </c>
      <c r="I355" s="31">
        <f>ROWS(I$5:I355)</f>
        <v>351</v>
      </c>
      <c r="J355" t="str">
        <f t="shared" si="23"/>
        <v/>
      </c>
      <c r="K355" t="str">
        <f t="shared" si="24"/>
        <v/>
      </c>
      <c r="L355" t="str">
        <f t="shared" si="25"/>
        <v/>
      </c>
      <c r="M355" t="str">
        <f t="shared" si="26"/>
        <v/>
      </c>
      <c r="N355" t="str">
        <f>IF($M355="I",MATCH(SMALL('완료 체험단'!$K$4:$K$2000,INDEX($T$5:$T$16,$J355)+$K355-2),'완료 체험단'!$K$4:$K$2000,0),"")</f>
        <v/>
      </c>
    </row>
    <row r="356" spans="2:14">
      <c r="B356" s="23" t="str">
        <f>IF($M356="H",$J356&amp;"월",IF($M356="C","매장명",IF($M356="I",INDEX('완료 체험단'!$A$4:$A$2000,$N356),IF($M356="T","합계",""))))</f>
        <v/>
      </c>
      <c r="C356" s="29" t="str">
        <f>IF($M356="H",$L356&amp;"건",IF($M356="C","사이트",IF($M356="I",INDEX('완료 체험단'!$C$4:$C$2000,$N356),IF($M356="T",$L356&amp;"건",""))))</f>
        <v/>
      </c>
      <c r="D356" s="30" t="str">
        <f>IF($M356="C","방문일",IF($M356="I",INDEX('완료 체험단'!$D$4:$D$2000,$N356),""))</f>
        <v/>
      </c>
      <c r="E356" s="25" t="str">
        <f>IF($M356="H","제공금액 "&amp;TEXT(INDEX($U$5:$U$16,$J356),"#,##0")&amp;"원",IF($M356="C","제공금액",IF($M356="I",INDEX('완료 체험단'!$F$4:$F$2000,$N356),IF($M356="T",INDEX($U$5:$U$16,$J356),""))))</f>
        <v/>
      </c>
      <c r="F356" s="25" t="str">
        <f>IF($M356="H","결제금액 "&amp;TEXT(INDEX($V$5:$V$16,$J356),"#,##0")&amp;"원",IF($M356="C","결제금액",IF($M356="I",INDEX('완료 체험단'!$G$4:$G$2000,$N356),IF($M356="T",INDEX($V$5:$V$16,$J356),""))))</f>
        <v/>
      </c>
      <c r="G356" s="25" t="str">
        <f>IF($M356="H","실수익 "&amp;TEXT(INDEX($W$5:$W$16,$J356),"#,##0")&amp;"원",IF($M356="C","실수익",IF($M356="I",INDEX('완료 체험단'!$H$4:$H$2000,$N356),IF($M356="T",INDEX($W$5:$W$16,$J356),""))))</f>
        <v/>
      </c>
      <c r="I356" s="31">
        <f>ROWS(I$5:I356)</f>
        <v>352</v>
      </c>
      <c r="J356" t="str">
        <f t="shared" si="23"/>
        <v/>
      </c>
      <c r="K356" t="str">
        <f t="shared" si="24"/>
        <v/>
      </c>
      <c r="L356" t="str">
        <f t="shared" si="25"/>
        <v/>
      </c>
      <c r="M356" t="str">
        <f t="shared" si="26"/>
        <v/>
      </c>
      <c r="N356" t="str">
        <f>IF($M356="I",MATCH(SMALL('완료 체험단'!$K$4:$K$2000,INDEX($T$5:$T$16,$J356)+$K356-2),'완료 체험단'!$K$4:$K$2000,0),"")</f>
        <v/>
      </c>
    </row>
    <row r="357" spans="2:14">
      <c r="B357" s="23" t="str">
        <f>IF($M357="H",$J357&amp;"월",IF($M357="C","매장명",IF($M357="I",INDEX('완료 체험단'!$A$4:$A$2000,$N357),IF($M357="T","합계",""))))</f>
        <v/>
      </c>
      <c r="C357" s="29" t="str">
        <f>IF($M357="H",$L357&amp;"건",IF($M357="C","사이트",IF($M357="I",INDEX('완료 체험단'!$C$4:$C$2000,$N357),IF($M357="T",$L357&amp;"건",""))))</f>
        <v/>
      </c>
      <c r="D357" s="30" t="str">
        <f>IF($M357="C","방문일",IF($M357="I",INDEX('완료 체험단'!$D$4:$D$2000,$N357),""))</f>
        <v/>
      </c>
      <c r="E357" s="25" t="str">
        <f>IF($M357="H","제공금액 "&amp;TEXT(INDEX($U$5:$U$16,$J357),"#,##0")&amp;"원",IF($M357="C","제공금액",IF($M357="I",INDEX('완료 체험단'!$F$4:$F$2000,$N357),IF($M357="T",INDEX($U$5:$U$16,$J357),""))))</f>
        <v/>
      </c>
      <c r="F357" s="25" t="str">
        <f>IF($M357="H","결제금액 "&amp;TEXT(INDEX($V$5:$V$16,$J357),"#,##0")&amp;"원",IF($M357="C","결제금액",IF($M357="I",INDEX('완료 체험단'!$G$4:$G$2000,$N357),IF($M357="T",INDEX($V$5:$V$16,$J357),""))))</f>
        <v/>
      </c>
      <c r="G357" s="25" t="str">
        <f>IF($M357="H","실수익 "&amp;TEXT(INDEX($W$5:$W$16,$J357),"#,##0")&amp;"원",IF($M357="C","실수익",IF($M357="I",INDEX('완료 체험단'!$H$4:$H$2000,$N357),IF($M357="T",INDEX($W$5:$W$16,$J357),""))))</f>
        <v/>
      </c>
      <c r="I357" s="31">
        <f>ROWS(I$5:I357)</f>
        <v>353</v>
      </c>
      <c r="J357" t="str">
        <f t="shared" si="23"/>
        <v/>
      </c>
      <c r="K357" t="str">
        <f t="shared" si="24"/>
        <v/>
      </c>
      <c r="L357" t="str">
        <f t="shared" si="25"/>
        <v/>
      </c>
      <c r="M357" t="str">
        <f t="shared" si="26"/>
        <v/>
      </c>
      <c r="N357" t="str">
        <f>IF($M357="I",MATCH(SMALL('완료 체험단'!$K$4:$K$2000,INDEX($T$5:$T$16,$J357)+$K357-2),'완료 체험단'!$K$4:$K$2000,0),"")</f>
        <v/>
      </c>
    </row>
    <row r="358" spans="2:14">
      <c r="B358" s="23" t="str">
        <f>IF($M358="H",$J358&amp;"월",IF($M358="C","매장명",IF($M358="I",INDEX('완료 체험단'!$A$4:$A$2000,$N358),IF($M358="T","합계",""))))</f>
        <v/>
      </c>
      <c r="C358" s="29" t="str">
        <f>IF($M358="H",$L358&amp;"건",IF($M358="C","사이트",IF($M358="I",INDEX('완료 체험단'!$C$4:$C$2000,$N358),IF($M358="T",$L358&amp;"건",""))))</f>
        <v/>
      </c>
      <c r="D358" s="30" t="str">
        <f>IF($M358="C","방문일",IF($M358="I",INDEX('완료 체험단'!$D$4:$D$2000,$N358),""))</f>
        <v/>
      </c>
      <c r="E358" s="25" t="str">
        <f>IF($M358="H","제공금액 "&amp;TEXT(INDEX($U$5:$U$16,$J358),"#,##0")&amp;"원",IF($M358="C","제공금액",IF($M358="I",INDEX('완료 체험단'!$F$4:$F$2000,$N358),IF($M358="T",INDEX($U$5:$U$16,$J358),""))))</f>
        <v/>
      </c>
      <c r="F358" s="25" t="str">
        <f>IF($M358="H","결제금액 "&amp;TEXT(INDEX($V$5:$V$16,$J358),"#,##0")&amp;"원",IF($M358="C","결제금액",IF($M358="I",INDEX('완료 체험단'!$G$4:$G$2000,$N358),IF($M358="T",INDEX($V$5:$V$16,$J358),""))))</f>
        <v/>
      </c>
      <c r="G358" s="25" t="str">
        <f>IF($M358="H","실수익 "&amp;TEXT(INDEX($W$5:$W$16,$J358),"#,##0")&amp;"원",IF($M358="C","실수익",IF($M358="I",INDEX('완료 체험단'!$H$4:$H$2000,$N358),IF($M358="T",INDEX($W$5:$W$16,$J358),""))))</f>
        <v/>
      </c>
      <c r="I358" s="31">
        <f>ROWS(I$5:I358)</f>
        <v>354</v>
      </c>
      <c r="J358" t="str">
        <f t="shared" si="23"/>
        <v/>
      </c>
      <c r="K358" t="str">
        <f t="shared" si="24"/>
        <v/>
      </c>
      <c r="L358" t="str">
        <f t="shared" si="25"/>
        <v/>
      </c>
      <c r="M358" t="str">
        <f t="shared" si="26"/>
        <v/>
      </c>
      <c r="N358" t="str">
        <f>IF($M358="I",MATCH(SMALL('완료 체험단'!$K$4:$K$2000,INDEX($T$5:$T$16,$J358)+$K358-2),'완료 체험단'!$K$4:$K$2000,0),"")</f>
        <v/>
      </c>
    </row>
    <row r="359" spans="2:14">
      <c r="B359" s="23" t="str">
        <f>IF($M359="H",$J359&amp;"월",IF($M359="C","매장명",IF($M359="I",INDEX('완료 체험단'!$A$4:$A$2000,$N359),IF($M359="T","합계",""))))</f>
        <v/>
      </c>
      <c r="C359" s="29" t="str">
        <f>IF($M359="H",$L359&amp;"건",IF($M359="C","사이트",IF($M359="I",INDEX('완료 체험단'!$C$4:$C$2000,$N359),IF($M359="T",$L359&amp;"건",""))))</f>
        <v/>
      </c>
      <c r="D359" s="30" t="str">
        <f>IF($M359="C","방문일",IF($M359="I",INDEX('완료 체험단'!$D$4:$D$2000,$N359),""))</f>
        <v/>
      </c>
      <c r="E359" s="25" t="str">
        <f>IF($M359="H","제공금액 "&amp;TEXT(INDEX($U$5:$U$16,$J359),"#,##0")&amp;"원",IF($M359="C","제공금액",IF($M359="I",INDEX('완료 체험단'!$F$4:$F$2000,$N359),IF($M359="T",INDEX($U$5:$U$16,$J359),""))))</f>
        <v/>
      </c>
      <c r="F359" s="25" t="str">
        <f>IF($M359="H","결제금액 "&amp;TEXT(INDEX($V$5:$V$16,$J359),"#,##0")&amp;"원",IF($M359="C","결제금액",IF($M359="I",INDEX('완료 체험단'!$G$4:$G$2000,$N359),IF($M359="T",INDEX($V$5:$V$16,$J359),""))))</f>
        <v/>
      </c>
      <c r="G359" s="25" t="str">
        <f>IF($M359="H","실수익 "&amp;TEXT(INDEX($W$5:$W$16,$J359),"#,##0")&amp;"원",IF($M359="C","실수익",IF($M359="I",INDEX('완료 체험단'!$H$4:$H$2000,$N359),IF($M359="T",INDEX($W$5:$W$16,$J359),""))))</f>
        <v/>
      </c>
      <c r="I359" s="31">
        <f>ROWS(I$5:I359)</f>
        <v>355</v>
      </c>
      <c r="J359" t="str">
        <f t="shared" si="23"/>
        <v/>
      </c>
      <c r="K359" t="str">
        <f t="shared" si="24"/>
        <v/>
      </c>
      <c r="L359" t="str">
        <f t="shared" si="25"/>
        <v/>
      </c>
      <c r="M359" t="str">
        <f t="shared" si="26"/>
        <v/>
      </c>
      <c r="N359" t="str">
        <f>IF($M359="I",MATCH(SMALL('완료 체험단'!$K$4:$K$2000,INDEX($T$5:$T$16,$J359)+$K359-2),'완료 체험단'!$K$4:$K$2000,0),"")</f>
        <v/>
      </c>
    </row>
    <row r="360" spans="2:14">
      <c r="B360" s="23" t="str">
        <f>IF($M360="H",$J360&amp;"월",IF($M360="C","매장명",IF($M360="I",INDEX('완료 체험단'!$A$4:$A$2000,$N360),IF($M360="T","합계",""))))</f>
        <v/>
      </c>
      <c r="C360" s="29" t="str">
        <f>IF($M360="H",$L360&amp;"건",IF($M360="C","사이트",IF($M360="I",INDEX('완료 체험단'!$C$4:$C$2000,$N360),IF($M360="T",$L360&amp;"건",""))))</f>
        <v/>
      </c>
      <c r="D360" s="30" t="str">
        <f>IF($M360="C","방문일",IF($M360="I",INDEX('완료 체험단'!$D$4:$D$2000,$N360),""))</f>
        <v/>
      </c>
      <c r="E360" s="25" t="str">
        <f>IF($M360="H","제공금액 "&amp;TEXT(INDEX($U$5:$U$16,$J360),"#,##0")&amp;"원",IF($M360="C","제공금액",IF($M360="I",INDEX('완료 체험단'!$F$4:$F$2000,$N360),IF($M360="T",INDEX($U$5:$U$16,$J360),""))))</f>
        <v/>
      </c>
      <c r="F360" s="25" t="str">
        <f>IF($M360="H","결제금액 "&amp;TEXT(INDEX($V$5:$V$16,$J360),"#,##0")&amp;"원",IF($M360="C","결제금액",IF($M360="I",INDEX('완료 체험단'!$G$4:$G$2000,$N360),IF($M360="T",INDEX($V$5:$V$16,$J360),""))))</f>
        <v/>
      </c>
      <c r="G360" s="25" t="str">
        <f>IF($M360="H","실수익 "&amp;TEXT(INDEX($W$5:$W$16,$J360),"#,##0")&amp;"원",IF($M360="C","실수익",IF($M360="I",INDEX('완료 체험단'!$H$4:$H$2000,$N360),IF($M360="T",INDEX($W$5:$W$16,$J360),""))))</f>
        <v/>
      </c>
      <c r="I360" s="31">
        <f>ROWS(I$5:I360)</f>
        <v>356</v>
      </c>
      <c r="J360" t="str">
        <f t="shared" si="23"/>
        <v/>
      </c>
      <c r="K360" t="str">
        <f t="shared" si="24"/>
        <v/>
      </c>
      <c r="L360" t="str">
        <f t="shared" si="25"/>
        <v/>
      </c>
      <c r="M360" t="str">
        <f t="shared" si="26"/>
        <v/>
      </c>
      <c r="N360" t="str">
        <f>IF($M360="I",MATCH(SMALL('완료 체험단'!$K$4:$K$2000,INDEX($T$5:$T$16,$J360)+$K360-2),'완료 체험단'!$K$4:$K$2000,0),"")</f>
        <v/>
      </c>
    </row>
    <row r="361" spans="2:14">
      <c r="B361" s="23" t="str">
        <f>IF($M361="H",$J361&amp;"월",IF($M361="C","매장명",IF($M361="I",INDEX('완료 체험단'!$A$4:$A$2000,$N361),IF($M361="T","합계",""))))</f>
        <v/>
      </c>
      <c r="C361" s="29" t="str">
        <f>IF($M361="H",$L361&amp;"건",IF($M361="C","사이트",IF($M361="I",INDEX('완료 체험단'!$C$4:$C$2000,$N361),IF($M361="T",$L361&amp;"건",""))))</f>
        <v/>
      </c>
      <c r="D361" s="30" t="str">
        <f>IF($M361="C","방문일",IF($M361="I",INDEX('완료 체험단'!$D$4:$D$2000,$N361),""))</f>
        <v/>
      </c>
      <c r="E361" s="25" t="str">
        <f>IF($M361="H","제공금액 "&amp;TEXT(INDEX($U$5:$U$16,$J361),"#,##0")&amp;"원",IF($M361="C","제공금액",IF($M361="I",INDEX('완료 체험단'!$F$4:$F$2000,$N361),IF($M361="T",INDEX($U$5:$U$16,$J361),""))))</f>
        <v/>
      </c>
      <c r="F361" s="25" t="str">
        <f>IF($M361="H","결제금액 "&amp;TEXT(INDEX($V$5:$V$16,$J361),"#,##0")&amp;"원",IF($M361="C","결제금액",IF($M361="I",INDEX('완료 체험단'!$G$4:$G$2000,$N361),IF($M361="T",INDEX($V$5:$V$16,$J361),""))))</f>
        <v/>
      </c>
      <c r="G361" s="25" t="str">
        <f>IF($M361="H","실수익 "&amp;TEXT(INDEX($W$5:$W$16,$J361),"#,##0")&amp;"원",IF($M361="C","실수익",IF($M361="I",INDEX('완료 체험단'!$H$4:$H$2000,$N361),IF($M361="T",INDEX($W$5:$W$16,$J361),""))))</f>
        <v/>
      </c>
      <c r="I361" s="31">
        <f>ROWS(I$5:I361)</f>
        <v>357</v>
      </c>
      <c r="J361" t="str">
        <f t="shared" si="23"/>
        <v/>
      </c>
      <c r="K361" t="str">
        <f t="shared" si="24"/>
        <v/>
      </c>
      <c r="L361" t="str">
        <f t="shared" si="25"/>
        <v/>
      </c>
      <c r="M361" t="str">
        <f t="shared" si="26"/>
        <v/>
      </c>
      <c r="N361" t="str">
        <f>IF($M361="I",MATCH(SMALL('완료 체험단'!$K$4:$K$2000,INDEX($T$5:$T$16,$J361)+$K361-2),'완료 체험단'!$K$4:$K$2000,0),"")</f>
        <v/>
      </c>
    </row>
    <row r="362" spans="2:14">
      <c r="B362" s="23" t="str">
        <f>IF($M362="H",$J362&amp;"월",IF($M362="C","매장명",IF($M362="I",INDEX('완료 체험단'!$A$4:$A$2000,$N362),IF($M362="T","합계",""))))</f>
        <v/>
      </c>
      <c r="C362" s="29" t="str">
        <f>IF($M362="H",$L362&amp;"건",IF($M362="C","사이트",IF($M362="I",INDEX('완료 체험단'!$C$4:$C$2000,$N362),IF($M362="T",$L362&amp;"건",""))))</f>
        <v/>
      </c>
      <c r="D362" s="30" t="str">
        <f>IF($M362="C","방문일",IF($M362="I",INDEX('완료 체험단'!$D$4:$D$2000,$N362),""))</f>
        <v/>
      </c>
      <c r="E362" s="25" t="str">
        <f>IF($M362="H","제공금액 "&amp;TEXT(INDEX($U$5:$U$16,$J362),"#,##0")&amp;"원",IF($M362="C","제공금액",IF($M362="I",INDEX('완료 체험단'!$F$4:$F$2000,$N362),IF($M362="T",INDEX($U$5:$U$16,$J362),""))))</f>
        <v/>
      </c>
      <c r="F362" s="25" t="str">
        <f>IF($M362="H","결제금액 "&amp;TEXT(INDEX($V$5:$V$16,$J362),"#,##0")&amp;"원",IF($M362="C","결제금액",IF($M362="I",INDEX('완료 체험단'!$G$4:$G$2000,$N362),IF($M362="T",INDEX($V$5:$V$16,$J362),""))))</f>
        <v/>
      </c>
      <c r="G362" s="25" t="str">
        <f>IF($M362="H","실수익 "&amp;TEXT(INDEX($W$5:$W$16,$J362),"#,##0")&amp;"원",IF($M362="C","실수익",IF($M362="I",INDEX('완료 체험단'!$H$4:$H$2000,$N362),IF($M362="T",INDEX($W$5:$W$16,$J362),""))))</f>
        <v/>
      </c>
      <c r="I362" s="31">
        <f>ROWS(I$5:I362)</f>
        <v>358</v>
      </c>
      <c r="J362" t="str">
        <f t="shared" si="23"/>
        <v/>
      </c>
      <c r="K362" t="str">
        <f t="shared" si="24"/>
        <v/>
      </c>
      <c r="L362" t="str">
        <f t="shared" si="25"/>
        <v/>
      </c>
      <c r="M362" t="str">
        <f t="shared" si="26"/>
        <v/>
      </c>
      <c r="N362" t="str">
        <f>IF($M362="I",MATCH(SMALL('완료 체험단'!$K$4:$K$2000,INDEX($T$5:$T$16,$J362)+$K362-2),'완료 체험단'!$K$4:$K$2000,0),"")</f>
        <v/>
      </c>
    </row>
    <row r="363" spans="2:14">
      <c r="B363" s="23" t="str">
        <f>IF($M363="H",$J363&amp;"월",IF($M363="C","매장명",IF($M363="I",INDEX('완료 체험단'!$A$4:$A$2000,$N363),IF($M363="T","합계",""))))</f>
        <v/>
      </c>
      <c r="C363" s="29" t="str">
        <f>IF($M363="H",$L363&amp;"건",IF($M363="C","사이트",IF($M363="I",INDEX('완료 체험단'!$C$4:$C$2000,$N363),IF($M363="T",$L363&amp;"건",""))))</f>
        <v/>
      </c>
      <c r="D363" s="30" t="str">
        <f>IF($M363="C","방문일",IF($M363="I",INDEX('완료 체험단'!$D$4:$D$2000,$N363),""))</f>
        <v/>
      </c>
      <c r="E363" s="25" t="str">
        <f>IF($M363="H","제공금액 "&amp;TEXT(INDEX($U$5:$U$16,$J363),"#,##0")&amp;"원",IF($M363="C","제공금액",IF($M363="I",INDEX('완료 체험단'!$F$4:$F$2000,$N363),IF($M363="T",INDEX($U$5:$U$16,$J363),""))))</f>
        <v/>
      </c>
      <c r="F363" s="25" t="str">
        <f>IF($M363="H","결제금액 "&amp;TEXT(INDEX($V$5:$V$16,$J363),"#,##0")&amp;"원",IF($M363="C","결제금액",IF($M363="I",INDEX('완료 체험단'!$G$4:$G$2000,$N363),IF($M363="T",INDEX($V$5:$V$16,$J363),""))))</f>
        <v/>
      </c>
      <c r="G363" s="25" t="str">
        <f>IF($M363="H","실수익 "&amp;TEXT(INDEX($W$5:$W$16,$J363),"#,##0")&amp;"원",IF($M363="C","실수익",IF($M363="I",INDEX('완료 체험단'!$H$4:$H$2000,$N363),IF($M363="T",INDEX($W$5:$W$16,$J363),""))))</f>
        <v/>
      </c>
      <c r="I363" s="31">
        <f>ROWS(I$5:I363)</f>
        <v>359</v>
      </c>
      <c r="J363" t="str">
        <f t="shared" si="23"/>
        <v/>
      </c>
      <c r="K363" t="str">
        <f t="shared" si="24"/>
        <v/>
      </c>
      <c r="L363" t="str">
        <f t="shared" si="25"/>
        <v/>
      </c>
      <c r="M363" t="str">
        <f t="shared" si="26"/>
        <v/>
      </c>
      <c r="N363" t="str">
        <f>IF($M363="I",MATCH(SMALL('완료 체험단'!$K$4:$K$2000,INDEX($T$5:$T$16,$J363)+$K363-2),'완료 체험단'!$K$4:$K$2000,0),"")</f>
        <v/>
      </c>
    </row>
    <row r="364" spans="2:14">
      <c r="B364" s="23" t="str">
        <f>IF($M364="H",$J364&amp;"월",IF($M364="C","매장명",IF($M364="I",INDEX('완료 체험단'!$A$4:$A$2000,$N364),IF($M364="T","합계",""))))</f>
        <v/>
      </c>
      <c r="C364" s="29" t="str">
        <f>IF($M364="H",$L364&amp;"건",IF($M364="C","사이트",IF($M364="I",INDEX('완료 체험단'!$C$4:$C$2000,$N364),IF($M364="T",$L364&amp;"건",""))))</f>
        <v/>
      </c>
      <c r="D364" s="30" t="str">
        <f>IF($M364="C","방문일",IF($M364="I",INDEX('완료 체험단'!$D$4:$D$2000,$N364),""))</f>
        <v/>
      </c>
      <c r="E364" s="25" t="str">
        <f>IF($M364="H","제공금액 "&amp;TEXT(INDEX($U$5:$U$16,$J364),"#,##0")&amp;"원",IF($M364="C","제공금액",IF($M364="I",INDEX('완료 체험단'!$F$4:$F$2000,$N364),IF($M364="T",INDEX($U$5:$U$16,$J364),""))))</f>
        <v/>
      </c>
      <c r="F364" s="25" t="str">
        <f>IF($M364="H","결제금액 "&amp;TEXT(INDEX($V$5:$V$16,$J364),"#,##0")&amp;"원",IF($M364="C","결제금액",IF($M364="I",INDEX('완료 체험단'!$G$4:$G$2000,$N364),IF($M364="T",INDEX($V$5:$V$16,$J364),""))))</f>
        <v/>
      </c>
      <c r="G364" s="25" t="str">
        <f>IF($M364="H","실수익 "&amp;TEXT(INDEX($W$5:$W$16,$J364),"#,##0")&amp;"원",IF($M364="C","실수익",IF($M364="I",INDEX('완료 체험단'!$H$4:$H$2000,$N364),IF($M364="T",INDEX($W$5:$W$16,$J364),""))))</f>
        <v/>
      </c>
      <c r="I364" s="31">
        <f>ROWS(I$5:I364)</f>
        <v>360</v>
      </c>
      <c r="J364" t="str">
        <f t="shared" si="23"/>
        <v/>
      </c>
      <c r="K364" t="str">
        <f t="shared" si="24"/>
        <v/>
      </c>
      <c r="L364" t="str">
        <f t="shared" si="25"/>
        <v/>
      </c>
      <c r="M364" t="str">
        <f t="shared" si="26"/>
        <v/>
      </c>
      <c r="N364" t="str">
        <f>IF($M364="I",MATCH(SMALL('완료 체험단'!$K$4:$K$2000,INDEX($T$5:$T$16,$J364)+$K364-2),'완료 체험단'!$K$4:$K$2000,0),"")</f>
        <v/>
      </c>
    </row>
    <row r="365" spans="2:14">
      <c r="B365" s="23" t="str">
        <f>IF($M365="H",$J365&amp;"월",IF($M365="C","매장명",IF($M365="I",INDEX('완료 체험단'!$A$4:$A$2000,$N365),IF($M365="T","합계",""))))</f>
        <v/>
      </c>
      <c r="C365" s="29" t="str">
        <f>IF($M365="H",$L365&amp;"건",IF($M365="C","사이트",IF($M365="I",INDEX('완료 체험단'!$C$4:$C$2000,$N365),IF($M365="T",$L365&amp;"건",""))))</f>
        <v/>
      </c>
      <c r="D365" s="30" t="str">
        <f>IF($M365="C","방문일",IF($M365="I",INDEX('완료 체험단'!$D$4:$D$2000,$N365),""))</f>
        <v/>
      </c>
      <c r="E365" s="25" t="str">
        <f>IF($M365="H","제공금액 "&amp;TEXT(INDEX($U$5:$U$16,$J365),"#,##0")&amp;"원",IF($M365="C","제공금액",IF($M365="I",INDEX('완료 체험단'!$F$4:$F$2000,$N365),IF($M365="T",INDEX($U$5:$U$16,$J365),""))))</f>
        <v/>
      </c>
      <c r="F365" s="25" t="str">
        <f>IF($M365="H","결제금액 "&amp;TEXT(INDEX($V$5:$V$16,$J365),"#,##0")&amp;"원",IF($M365="C","결제금액",IF($M365="I",INDEX('완료 체험단'!$G$4:$G$2000,$N365),IF($M365="T",INDEX($V$5:$V$16,$J365),""))))</f>
        <v/>
      </c>
      <c r="G365" s="25" t="str">
        <f>IF($M365="H","실수익 "&amp;TEXT(INDEX($W$5:$W$16,$J365),"#,##0")&amp;"원",IF($M365="C","실수익",IF($M365="I",INDEX('완료 체험단'!$H$4:$H$2000,$N365),IF($M365="T",INDEX($W$5:$W$16,$J365),""))))</f>
        <v/>
      </c>
      <c r="I365" s="31">
        <f>ROWS(I$5:I365)</f>
        <v>361</v>
      </c>
      <c r="J365" t="str">
        <f t="shared" si="23"/>
        <v/>
      </c>
      <c r="K365" t="str">
        <f t="shared" si="24"/>
        <v/>
      </c>
      <c r="L365" t="str">
        <f t="shared" si="25"/>
        <v/>
      </c>
      <c r="M365" t="str">
        <f t="shared" si="26"/>
        <v/>
      </c>
      <c r="N365" t="str">
        <f>IF($M365="I",MATCH(SMALL('완료 체험단'!$K$4:$K$2000,INDEX($T$5:$T$16,$J365)+$K365-2),'완료 체험단'!$K$4:$K$2000,0),"")</f>
        <v/>
      </c>
    </row>
    <row r="366" spans="2:14">
      <c r="B366" s="23" t="str">
        <f>IF($M366="H",$J366&amp;"월",IF($M366="C","매장명",IF($M366="I",INDEX('완료 체험단'!$A$4:$A$2000,$N366),IF($M366="T","합계",""))))</f>
        <v/>
      </c>
      <c r="C366" s="29" t="str">
        <f>IF($M366="H",$L366&amp;"건",IF($M366="C","사이트",IF($M366="I",INDEX('완료 체험단'!$C$4:$C$2000,$N366),IF($M366="T",$L366&amp;"건",""))))</f>
        <v/>
      </c>
      <c r="D366" s="30" t="str">
        <f>IF($M366="C","방문일",IF($M366="I",INDEX('완료 체험단'!$D$4:$D$2000,$N366),""))</f>
        <v/>
      </c>
      <c r="E366" s="25" t="str">
        <f>IF($M366="H","제공금액 "&amp;TEXT(INDEX($U$5:$U$16,$J366),"#,##0")&amp;"원",IF($M366="C","제공금액",IF($M366="I",INDEX('완료 체험단'!$F$4:$F$2000,$N366),IF($M366="T",INDEX($U$5:$U$16,$J366),""))))</f>
        <v/>
      </c>
      <c r="F366" s="25" t="str">
        <f>IF($M366="H","결제금액 "&amp;TEXT(INDEX($V$5:$V$16,$J366),"#,##0")&amp;"원",IF($M366="C","결제금액",IF($M366="I",INDEX('완료 체험단'!$G$4:$G$2000,$N366),IF($M366="T",INDEX($V$5:$V$16,$J366),""))))</f>
        <v/>
      </c>
      <c r="G366" s="25" t="str">
        <f>IF($M366="H","실수익 "&amp;TEXT(INDEX($W$5:$W$16,$J366),"#,##0")&amp;"원",IF($M366="C","실수익",IF($M366="I",INDEX('완료 체험단'!$H$4:$H$2000,$N366),IF($M366="T",INDEX($W$5:$W$16,$J366),""))))</f>
        <v/>
      </c>
      <c r="I366" s="31">
        <f>ROWS(I$5:I366)</f>
        <v>362</v>
      </c>
      <c r="J366" t="str">
        <f t="shared" si="23"/>
        <v/>
      </c>
      <c r="K366" t="str">
        <f t="shared" si="24"/>
        <v/>
      </c>
      <c r="L366" t="str">
        <f t="shared" si="25"/>
        <v/>
      </c>
      <c r="M366" t="str">
        <f t="shared" si="26"/>
        <v/>
      </c>
      <c r="N366" t="str">
        <f>IF($M366="I",MATCH(SMALL('완료 체험단'!$K$4:$K$2000,INDEX($T$5:$T$16,$J366)+$K366-2),'완료 체험단'!$K$4:$K$2000,0),"")</f>
        <v/>
      </c>
    </row>
    <row r="367" spans="2:14">
      <c r="B367" s="23" t="str">
        <f>IF($M367="H",$J367&amp;"월",IF($M367="C","매장명",IF($M367="I",INDEX('완료 체험단'!$A$4:$A$2000,$N367),IF($M367="T","합계",""))))</f>
        <v/>
      </c>
      <c r="C367" s="29" t="str">
        <f>IF($M367="H",$L367&amp;"건",IF($M367="C","사이트",IF($M367="I",INDEX('완료 체험단'!$C$4:$C$2000,$N367),IF($M367="T",$L367&amp;"건",""))))</f>
        <v/>
      </c>
      <c r="D367" s="30" t="str">
        <f>IF($M367="C","방문일",IF($M367="I",INDEX('완료 체험단'!$D$4:$D$2000,$N367),""))</f>
        <v/>
      </c>
      <c r="E367" s="25" t="str">
        <f>IF($M367="H","제공금액 "&amp;TEXT(INDEX($U$5:$U$16,$J367),"#,##0")&amp;"원",IF($M367="C","제공금액",IF($M367="I",INDEX('완료 체험단'!$F$4:$F$2000,$N367),IF($M367="T",INDEX($U$5:$U$16,$J367),""))))</f>
        <v/>
      </c>
      <c r="F367" s="25" t="str">
        <f>IF($M367="H","결제금액 "&amp;TEXT(INDEX($V$5:$V$16,$J367),"#,##0")&amp;"원",IF($M367="C","결제금액",IF($M367="I",INDEX('완료 체험단'!$G$4:$G$2000,$N367),IF($M367="T",INDEX($V$5:$V$16,$J367),""))))</f>
        <v/>
      </c>
      <c r="G367" s="25" t="str">
        <f>IF($M367="H","실수익 "&amp;TEXT(INDEX($W$5:$W$16,$J367),"#,##0")&amp;"원",IF($M367="C","실수익",IF($M367="I",INDEX('완료 체험단'!$H$4:$H$2000,$N367),IF($M367="T",INDEX($W$5:$W$16,$J367),""))))</f>
        <v/>
      </c>
      <c r="I367" s="31">
        <f>ROWS(I$5:I367)</f>
        <v>363</v>
      </c>
      <c r="J367" t="str">
        <f t="shared" si="23"/>
        <v/>
      </c>
      <c r="K367" t="str">
        <f t="shared" si="24"/>
        <v/>
      </c>
      <c r="L367" t="str">
        <f t="shared" si="25"/>
        <v/>
      </c>
      <c r="M367" t="str">
        <f t="shared" si="26"/>
        <v/>
      </c>
      <c r="N367" t="str">
        <f>IF($M367="I",MATCH(SMALL('완료 체험단'!$K$4:$K$2000,INDEX($T$5:$T$16,$J367)+$K367-2),'완료 체험단'!$K$4:$K$2000,0),"")</f>
        <v/>
      </c>
    </row>
    <row r="368" spans="2:14">
      <c r="B368" s="23" t="str">
        <f>IF($M368="H",$J368&amp;"월",IF($M368="C","매장명",IF($M368="I",INDEX('완료 체험단'!$A$4:$A$2000,$N368),IF($M368="T","합계",""))))</f>
        <v/>
      </c>
      <c r="C368" s="29" t="str">
        <f>IF($M368="H",$L368&amp;"건",IF($M368="C","사이트",IF($M368="I",INDEX('완료 체험단'!$C$4:$C$2000,$N368),IF($M368="T",$L368&amp;"건",""))))</f>
        <v/>
      </c>
      <c r="D368" s="30" t="str">
        <f>IF($M368="C","방문일",IF($M368="I",INDEX('완료 체험단'!$D$4:$D$2000,$N368),""))</f>
        <v/>
      </c>
      <c r="E368" s="25" t="str">
        <f>IF($M368="H","제공금액 "&amp;TEXT(INDEX($U$5:$U$16,$J368),"#,##0")&amp;"원",IF($M368="C","제공금액",IF($M368="I",INDEX('완료 체험단'!$F$4:$F$2000,$N368),IF($M368="T",INDEX($U$5:$U$16,$J368),""))))</f>
        <v/>
      </c>
      <c r="F368" s="25" t="str">
        <f>IF($M368="H","결제금액 "&amp;TEXT(INDEX($V$5:$V$16,$J368),"#,##0")&amp;"원",IF($M368="C","결제금액",IF($M368="I",INDEX('완료 체험단'!$G$4:$G$2000,$N368),IF($M368="T",INDEX($V$5:$V$16,$J368),""))))</f>
        <v/>
      </c>
      <c r="G368" s="25" t="str">
        <f>IF($M368="H","실수익 "&amp;TEXT(INDEX($W$5:$W$16,$J368),"#,##0")&amp;"원",IF($M368="C","실수익",IF($M368="I",INDEX('완료 체험단'!$H$4:$H$2000,$N368),IF($M368="T",INDEX($W$5:$W$16,$J368),""))))</f>
        <v/>
      </c>
      <c r="I368" s="31">
        <f>ROWS(I$5:I368)</f>
        <v>364</v>
      </c>
      <c r="J368" t="str">
        <f t="shared" si="23"/>
        <v/>
      </c>
      <c r="K368" t="str">
        <f t="shared" si="24"/>
        <v/>
      </c>
      <c r="L368" t="str">
        <f t="shared" si="25"/>
        <v/>
      </c>
      <c r="M368" t="str">
        <f t="shared" si="26"/>
        <v/>
      </c>
      <c r="N368" t="str">
        <f>IF($M368="I",MATCH(SMALL('완료 체험단'!$K$4:$K$2000,INDEX($T$5:$T$16,$J368)+$K368-2),'완료 체험단'!$K$4:$K$2000,0),"")</f>
        <v/>
      </c>
    </row>
    <row r="369" spans="2:14">
      <c r="B369" s="23" t="str">
        <f>IF($M369="H",$J369&amp;"월",IF($M369="C","매장명",IF($M369="I",INDEX('완료 체험단'!$A$4:$A$2000,$N369),IF($M369="T","합계",""))))</f>
        <v/>
      </c>
      <c r="C369" s="29" t="str">
        <f>IF($M369="H",$L369&amp;"건",IF($M369="C","사이트",IF($M369="I",INDEX('완료 체험단'!$C$4:$C$2000,$N369),IF($M369="T",$L369&amp;"건",""))))</f>
        <v/>
      </c>
      <c r="D369" s="30" t="str">
        <f>IF($M369="C","방문일",IF($M369="I",INDEX('완료 체험단'!$D$4:$D$2000,$N369),""))</f>
        <v/>
      </c>
      <c r="E369" s="25" t="str">
        <f>IF($M369="H","제공금액 "&amp;TEXT(INDEX($U$5:$U$16,$J369),"#,##0")&amp;"원",IF($M369="C","제공금액",IF($M369="I",INDEX('완료 체험단'!$F$4:$F$2000,$N369),IF($M369="T",INDEX($U$5:$U$16,$J369),""))))</f>
        <v/>
      </c>
      <c r="F369" s="25" t="str">
        <f>IF($M369="H","결제금액 "&amp;TEXT(INDEX($V$5:$V$16,$J369),"#,##0")&amp;"원",IF($M369="C","결제금액",IF($M369="I",INDEX('완료 체험단'!$G$4:$G$2000,$N369),IF($M369="T",INDEX($V$5:$V$16,$J369),""))))</f>
        <v/>
      </c>
      <c r="G369" s="25" t="str">
        <f>IF($M369="H","실수익 "&amp;TEXT(INDEX($W$5:$W$16,$J369),"#,##0")&amp;"원",IF($M369="C","실수익",IF($M369="I",INDEX('완료 체험단'!$H$4:$H$2000,$N369),IF($M369="T",INDEX($W$5:$W$16,$J369),""))))</f>
        <v/>
      </c>
      <c r="I369" s="31">
        <f>ROWS(I$5:I369)</f>
        <v>365</v>
      </c>
      <c r="J369" t="str">
        <f t="shared" si="23"/>
        <v/>
      </c>
      <c r="K369" t="str">
        <f t="shared" si="24"/>
        <v/>
      </c>
      <c r="L369" t="str">
        <f t="shared" si="25"/>
        <v/>
      </c>
      <c r="M369" t="str">
        <f t="shared" si="26"/>
        <v/>
      </c>
      <c r="N369" t="str">
        <f>IF($M369="I",MATCH(SMALL('완료 체험단'!$K$4:$K$2000,INDEX($T$5:$T$16,$J369)+$K369-2),'완료 체험단'!$K$4:$K$2000,0),"")</f>
        <v/>
      </c>
    </row>
    <row r="370" spans="2:14">
      <c r="B370" s="23" t="str">
        <f>IF($M370="H",$J370&amp;"월",IF($M370="C","매장명",IF($M370="I",INDEX('완료 체험단'!$A$4:$A$2000,$N370),IF($M370="T","합계",""))))</f>
        <v/>
      </c>
      <c r="C370" s="29" t="str">
        <f>IF($M370="H",$L370&amp;"건",IF($M370="C","사이트",IF($M370="I",INDEX('완료 체험단'!$C$4:$C$2000,$N370),IF($M370="T",$L370&amp;"건",""))))</f>
        <v/>
      </c>
      <c r="D370" s="30" t="str">
        <f>IF($M370="C","방문일",IF($M370="I",INDEX('완료 체험단'!$D$4:$D$2000,$N370),""))</f>
        <v/>
      </c>
      <c r="E370" s="25" t="str">
        <f>IF($M370="H","제공금액 "&amp;TEXT(INDEX($U$5:$U$16,$J370),"#,##0")&amp;"원",IF($M370="C","제공금액",IF($M370="I",INDEX('완료 체험단'!$F$4:$F$2000,$N370),IF($M370="T",INDEX($U$5:$U$16,$J370),""))))</f>
        <v/>
      </c>
      <c r="F370" s="25" t="str">
        <f>IF($M370="H","결제금액 "&amp;TEXT(INDEX($V$5:$V$16,$J370),"#,##0")&amp;"원",IF($M370="C","결제금액",IF($M370="I",INDEX('완료 체험단'!$G$4:$G$2000,$N370),IF($M370="T",INDEX($V$5:$V$16,$J370),""))))</f>
        <v/>
      </c>
      <c r="G370" s="25" t="str">
        <f>IF($M370="H","실수익 "&amp;TEXT(INDEX($W$5:$W$16,$J370),"#,##0")&amp;"원",IF($M370="C","실수익",IF($M370="I",INDEX('완료 체험단'!$H$4:$H$2000,$N370),IF($M370="T",INDEX($W$5:$W$16,$J370),""))))</f>
        <v/>
      </c>
      <c r="I370" s="31">
        <f>ROWS(I$5:I370)</f>
        <v>366</v>
      </c>
      <c r="J370" t="str">
        <f t="shared" si="23"/>
        <v/>
      </c>
      <c r="K370" t="str">
        <f t="shared" si="24"/>
        <v/>
      </c>
      <c r="L370" t="str">
        <f t="shared" si="25"/>
        <v/>
      </c>
      <c r="M370" t="str">
        <f t="shared" si="26"/>
        <v/>
      </c>
      <c r="N370" t="str">
        <f>IF($M370="I",MATCH(SMALL('완료 체험단'!$K$4:$K$2000,INDEX($T$5:$T$16,$J370)+$K370-2),'완료 체험단'!$K$4:$K$2000,0),"")</f>
        <v/>
      </c>
    </row>
    <row r="371" spans="2:14">
      <c r="B371" s="23" t="str">
        <f>IF($M371="H",$J371&amp;"월",IF($M371="C","매장명",IF($M371="I",INDEX('완료 체험단'!$A$4:$A$2000,$N371),IF($M371="T","합계",""))))</f>
        <v/>
      </c>
      <c r="C371" s="29" t="str">
        <f>IF($M371="H",$L371&amp;"건",IF($M371="C","사이트",IF($M371="I",INDEX('완료 체험단'!$C$4:$C$2000,$N371),IF($M371="T",$L371&amp;"건",""))))</f>
        <v/>
      </c>
      <c r="D371" s="30" t="str">
        <f>IF($M371="C","방문일",IF($M371="I",INDEX('완료 체험단'!$D$4:$D$2000,$N371),""))</f>
        <v/>
      </c>
      <c r="E371" s="25" t="str">
        <f>IF($M371="H","제공금액 "&amp;TEXT(INDEX($U$5:$U$16,$J371),"#,##0")&amp;"원",IF($M371="C","제공금액",IF($M371="I",INDEX('완료 체험단'!$F$4:$F$2000,$N371),IF($M371="T",INDEX($U$5:$U$16,$J371),""))))</f>
        <v/>
      </c>
      <c r="F371" s="25" t="str">
        <f>IF($M371="H","결제금액 "&amp;TEXT(INDEX($V$5:$V$16,$J371),"#,##0")&amp;"원",IF($M371="C","결제금액",IF($M371="I",INDEX('완료 체험단'!$G$4:$G$2000,$N371),IF($M371="T",INDEX($V$5:$V$16,$J371),""))))</f>
        <v/>
      </c>
      <c r="G371" s="25" t="str">
        <f>IF($M371="H","실수익 "&amp;TEXT(INDEX($W$5:$W$16,$J371),"#,##0")&amp;"원",IF($M371="C","실수익",IF($M371="I",INDEX('완료 체험단'!$H$4:$H$2000,$N371),IF($M371="T",INDEX($W$5:$W$16,$J371),""))))</f>
        <v/>
      </c>
      <c r="I371" s="31">
        <f>ROWS(I$5:I371)</f>
        <v>367</v>
      </c>
      <c r="J371" t="str">
        <f t="shared" si="23"/>
        <v/>
      </c>
      <c r="K371" t="str">
        <f t="shared" si="24"/>
        <v/>
      </c>
      <c r="L371" t="str">
        <f t="shared" si="25"/>
        <v/>
      </c>
      <c r="M371" t="str">
        <f t="shared" si="26"/>
        <v/>
      </c>
      <c r="N371" t="str">
        <f>IF($M371="I",MATCH(SMALL('완료 체험단'!$K$4:$K$2000,INDEX($T$5:$T$16,$J371)+$K371-2),'완료 체험단'!$K$4:$K$2000,0),"")</f>
        <v/>
      </c>
    </row>
    <row r="372" spans="2:14">
      <c r="B372" s="23" t="str">
        <f>IF($M372="H",$J372&amp;"월",IF($M372="C","매장명",IF($M372="I",INDEX('완료 체험단'!$A$4:$A$2000,$N372),IF($M372="T","합계",""))))</f>
        <v/>
      </c>
      <c r="C372" s="29" t="str">
        <f>IF($M372="H",$L372&amp;"건",IF($M372="C","사이트",IF($M372="I",INDEX('완료 체험단'!$C$4:$C$2000,$N372),IF($M372="T",$L372&amp;"건",""))))</f>
        <v/>
      </c>
      <c r="D372" s="30" t="str">
        <f>IF($M372="C","방문일",IF($M372="I",INDEX('완료 체험단'!$D$4:$D$2000,$N372),""))</f>
        <v/>
      </c>
      <c r="E372" s="25" t="str">
        <f>IF($M372="H","제공금액 "&amp;TEXT(INDEX($U$5:$U$16,$J372),"#,##0")&amp;"원",IF($M372="C","제공금액",IF($M372="I",INDEX('완료 체험단'!$F$4:$F$2000,$N372),IF($M372="T",INDEX($U$5:$U$16,$J372),""))))</f>
        <v/>
      </c>
      <c r="F372" s="25" t="str">
        <f>IF($M372="H","결제금액 "&amp;TEXT(INDEX($V$5:$V$16,$J372),"#,##0")&amp;"원",IF($M372="C","결제금액",IF($M372="I",INDEX('완료 체험단'!$G$4:$G$2000,$N372),IF($M372="T",INDEX($V$5:$V$16,$J372),""))))</f>
        <v/>
      </c>
      <c r="G372" s="25" t="str">
        <f>IF($M372="H","실수익 "&amp;TEXT(INDEX($W$5:$W$16,$J372),"#,##0")&amp;"원",IF($M372="C","실수익",IF($M372="I",INDEX('완료 체험단'!$H$4:$H$2000,$N372),IF($M372="T",INDEX($W$5:$W$16,$J372),""))))</f>
        <v/>
      </c>
      <c r="I372" s="31">
        <f>ROWS(I$5:I372)</f>
        <v>368</v>
      </c>
      <c r="J372" t="str">
        <f t="shared" si="23"/>
        <v/>
      </c>
      <c r="K372" t="str">
        <f t="shared" si="24"/>
        <v/>
      </c>
      <c r="L372" t="str">
        <f t="shared" si="25"/>
        <v/>
      </c>
      <c r="M372" t="str">
        <f t="shared" si="26"/>
        <v/>
      </c>
      <c r="N372" t="str">
        <f>IF($M372="I",MATCH(SMALL('완료 체험단'!$K$4:$K$2000,INDEX($T$5:$T$16,$J372)+$K372-2),'완료 체험단'!$K$4:$K$2000,0),"")</f>
        <v/>
      </c>
    </row>
    <row r="373" spans="2:14">
      <c r="B373" s="23" t="str">
        <f>IF($M373="H",$J373&amp;"월",IF($M373="C","매장명",IF($M373="I",INDEX('완료 체험단'!$A$4:$A$2000,$N373),IF($M373="T","합계",""))))</f>
        <v/>
      </c>
      <c r="C373" s="29" t="str">
        <f>IF($M373="H",$L373&amp;"건",IF($M373="C","사이트",IF($M373="I",INDEX('완료 체험단'!$C$4:$C$2000,$N373),IF($M373="T",$L373&amp;"건",""))))</f>
        <v/>
      </c>
      <c r="D373" s="30" t="str">
        <f>IF($M373="C","방문일",IF($M373="I",INDEX('완료 체험단'!$D$4:$D$2000,$N373),""))</f>
        <v/>
      </c>
      <c r="E373" s="25" t="str">
        <f>IF($M373="H","제공금액 "&amp;TEXT(INDEX($U$5:$U$16,$J373),"#,##0")&amp;"원",IF($M373="C","제공금액",IF($M373="I",INDEX('완료 체험단'!$F$4:$F$2000,$N373),IF($M373="T",INDEX($U$5:$U$16,$J373),""))))</f>
        <v/>
      </c>
      <c r="F373" s="25" t="str">
        <f>IF($M373="H","결제금액 "&amp;TEXT(INDEX($V$5:$V$16,$J373),"#,##0")&amp;"원",IF($M373="C","결제금액",IF($M373="I",INDEX('완료 체험단'!$G$4:$G$2000,$N373),IF($M373="T",INDEX($V$5:$V$16,$J373),""))))</f>
        <v/>
      </c>
      <c r="G373" s="25" t="str">
        <f>IF($M373="H","실수익 "&amp;TEXT(INDEX($W$5:$W$16,$J373),"#,##0")&amp;"원",IF($M373="C","실수익",IF($M373="I",INDEX('완료 체험단'!$H$4:$H$2000,$N373),IF($M373="T",INDEX($W$5:$W$16,$J373),""))))</f>
        <v/>
      </c>
      <c r="I373" s="31">
        <f>ROWS(I$5:I373)</f>
        <v>369</v>
      </c>
      <c r="J373" t="str">
        <f t="shared" si="23"/>
        <v/>
      </c>
      <c r="K373" t="str">
        <f t="shared" si="24"/>
        <v/>
      </c>
      <c r="L373" t="str">
        <f t="shared" si="25"/>
        <v/>
      </c>
      <c r="M373" t="str">
        <f t="shared" si="26"/>
        <v/>
      </c>
      <c r="N373" t="str">
        <f>IF($M373="I",MATCH(SMALL('완료 체험단'!$K$4:$K$2000,INDEX($T$5:$T$16,$J373)+$K373-2),'완료 체험단'!$K$4:$K$2000,0),"")</f>
        <v/>
      </c>
    </row>
    <row r="374" spans="2:14">
      <c r="B374" s="23" t="str">
        <f>IF($M374="H",$J374&amp;"월",IF($M374="C","매장명",IF($M374="I",INDEX('완료 체험단'!$A$4:$A$2000,$N374),IF($M374="T","합계",""))))</f>
        <v/>
      </c>
      <c r="C374" s="29" t="str">
        <f>IF($M374="H",$L374&amp;"건",IF($M374="C","사이트",IF($M374="I",INDEX('완료 체험단'!$C$4:$C$2000,$N374),IF($M374="T",$L374&amp;"건",""))))</f>
        <v/>
      </c>
      <c r="D374" s="30" t="str">
        <f>IF($M374="C","방문일",IF($M374="I",INDEX('완료 체험단'!$D$4:$D$2000,$N374),""))</f>
        <v/>
      </c>
      <c r="E374" s="25" t="str">
        <f>IF($M374="H","제공금액 "&amp;TEXT(INDEX($U$5:$U$16,$J374),"#,##0")&amp;"원",IF($M374="C","제공금액",IF($M374="I",INDEX('완료 체험단'!$F$4:$F$2000,$N374),IF($M374="T",INDEX($U$5:$U$16,$J374),""))))</f>
        <v/>
      </c>
      <c r="F374" s="25" t="str">
        <f>IF($M374="H","결제금액 "&amp;TEXT(INDEX($V$5:$V$16,$J374),"#,##0")&amp;"원",IF($M374="C","결제금액",IF($M374="I",INDEX('완료 체험단'!$G$4:$G$2000,$N374),IF($M374="T",INDEX($V$5:$V$16,$J374),""))))</f>
        <v/>
      </c>
      <c r="G374" s="25" t="str">
        <f>IF($M374="H","실수익 "&amp;TEXT(INDEX($W$5:$W$16,$J374),"#,##0")&amp;"원",IF($M374="C","실수익",IF($M374="I",INDEX('완료 체험단'!$H$4:$H$2000,$N374),IF($M374="T",INDEX($W$5:$W$16,$J374),""))))</f>
        <v/>
      </c>
      <c r="I374" s="31">
        <f>ROWS(I$5:I374)</f>
        <v>370</v>
      </c>
      <c r="J374" t="str">
        <f t="shared" si="23"/>
        <v/>
      </c>
      <c r="K374" t="str">
        <f t="shared" si="24"/>
        <v/>
      </c>
      <c r="L374" t="str">
        <f t="shared" si="25"/>
        <v/>
      </c>
      <c r="M374" t="str">
        <f t="shared" si="26"/>
        <v/>
      </c>
      <c r="N374" t="str">
        <f>IF($M374="I",MATCH(SMALL('완료 체험단'!$K$4:$K$2000,INDEX($T$5:$T$16,$J374)+$K374-2),'완료 체험단'!$K$4:$K$2000,0),"")</f>
        <v/>
      </c>
    </row>
    <row r="375" spans="2:14">
      <c r="B375" s="23" t="str">
        <f>IF($M375="H",$J375&amp;"월",IF($M375="C","매장명",IF($M375="I",INDEX('완료 체험단'!$A$4:$A$2000,$N375),IF($M375="T","합계",""))))</f>
        <v/>
      </c>
      <c r="C375" s="29" t="str">
        <f>IF($M375="H",$L375&amp;"건",IF($M375="C","사이트",IF($M375="I",INDEX('완료 체험단'!$C$4:$C$2000,$N375),IF($M375="T",$L375&amp;"건",""))))</f>
        <v/>
      </c>
      <c r="D375" s="30" t="str">
        <f>IF($M375="C","방문일",IF($M375="I",INDEX('완료 체험단'!$D$4:$D$2000,$N375),""))</f>
        <v/>
      </c>
      <c r="E375" s="25" t="str">
        <f>IF($M375="H","제공금액 "&amp;TEXT(INDEX($U$5:$U$16,$J375),"#,##0")&amp;"원",IF($M375="C","제공금액",IF($M375="I",INDEX('완료 체험단'!$F$4:$F$2000,$N375),IF($M375="T",INDEX($U$5:$U$16,$J375),""))))</f>
        <v/>
      </c>
      <c r="F375" s="25" t="str">
        <f>IF($M375="H","결제금액 "&amp;TEXT(INDEX($V$5:$V$16,$J375),"#,##0")&amp;"원",IF($M375="C","결제금액",IF($M375="I",INDEX('완료 체험단'!$G$4:$G$2000,$N375),IF($M375="T",INDEX($V$5:$V$16,$J375),""))))</f>
        <v/>
      </c>
      <c r="G375" s="25" t="str">
        <f>IF($M375="H","실수익 "&amp;TEXT(INDEX($W$5:$W$16,$J375),"#,##0")&amp;"원",IF($M375="C","실수익",IF($M375="I",INDEX('완료 체험단'!$H$4:$H$2000,$N375),IF($M375="T",INDEX($W$5:$W$16,$J375),""))))</f>
        <v/>
      </c>
      <c r="I375" s="31">
        <f>ROWS(I$5:I375)</f>
        <v>371</v>
      </c>
      <c r="J375" t="str">
        <f t="shared" si="23"/>
        <v/>
      </c>
      <c r="K375" t="str">
        <f t="shared" si="24"/>
        <v/>
      </c>
      <c r="L375" t="str">
        <f t="shared" si="25"/>
        <v/>
      </c>
      <c r="M375" t="str">
        <f t="shared" si="26"/>
        <v/>
      </c>
      <c r="N375" t="str">
        <f>IF($M375="I",MATCH(SMALL('완료 체험단'!$K$4:$K$2000,INDEX($T$5:$T$16,$J375)+$K375-2),'완료 체험단'!$K$4:$K$2000,0),"")</f>
        <v/>
      </c>
    </row>
    <row r="376" spans="2:14">
      <c r="B376" s="23" t="str">
        <f>IF($M376="H",$J376&amp;"월",IF($M376="C","매장명",IF($M376="I",INDEX('완료 체험단'!$A$4:$A$2000,$N376),IF($M376="T","합계",""))))</f>
        <v/>
      </c>
      <c r="C376" s="29" t="str">
        <f>IF($M376="H",$L376&amp;"건",IF($M376="C","사이트",IF($M376="I",INDEX('완료 체험단'!$C$4:$C$2000,$N376),IF($M376="T",$L376&amp;"건",""))))</f>
        <v/>
      </c>
      <c r="D376" s="30" t="str">
        <f>IF($M376="C","방문일",IF($M376="I",INDEX('완료 체험단'!$D$4:$D$2000,$N376),""))</f>
        <v/>
      </c>
      <c r="E376" s="25" t="str">
        <f>IF($M376="H","제공금액 "&amp;TEXT(INDEX($U$5:$U$16,$J376),"#,##0")&amp;"원",IF($M376="C","제공금액",IF($M376="I",INDEX('완료 체험단'!$F$4:$F$2000,$N376),IF($M376="T",INDEX($U$5:$U$16,$J376),""))))</f>
        <v/>
      </c>
      <c r="F376" s="25" t="str">
        <f>IF($M376="H","결제금액 "&amp;TEXT(INDEX($V$5:$V$16,$J376),"#,##0")&amp;"원",IF($M376="C","결제금액",IF($M376="I",INDEX('완료 체험단'!$G$4:$G$2000,$N376),IF($M376="T",INDEX($V$5:$V$16,$J376),""))))</f>
        <v/>
      </c>
      <c r="G376" s="25" t="str">
        <f>IF($M376="H","실수익 "&amp;TEXT(INDEX($W$5:$W$16,$J376),"#,##0")&amp;"원",IF($M376="C","실수익",IF($M376="I",INDEX('완료 체험단'!$H$4:$H$2000,$N376),IF($M376="T",INDEX($W$5:$W$16,$J376),""))))</f>
        <v/>
      </c>
      <c r="I376" s="31">
        <f>ROWS(I$5:I376)</f>
        <v>372</v>
      </c>
      <c r="J376" t="str">
        <f t="shared" si="23"/>
        <v/>
      </c>
      <c r="K376" t="str">
        <f t="shared" si="24"/>
        <v/>
      </c>
      <c r="L376" t="str">
        <f t="shared" si="25"/>
        <v/>
      </c>
      <c r="M376" t="str">
        <f t="shared" si="26"/>
        <v/>
      </c>
      <c r="N376" t="str">
        <f>IF($M376="I",MATCH(SMALL('완료 체험단'!$K$4:$K$2000,INDEX($T$5:$T$16,$J376)+$K376-2),'완료 체험단'!$K$4:$K$2000,0),"")</f>
        <v/>
      </c>
    </row>
    <row r="377" spans="2:14">
      <c r="B377" s="23" t="str">
        <f>IF($M377="H",$J377&amp;"월",IF($M377="C","매장명",IF($M377="I",INDEX('완료 체험단'!$A$4:$A$2000,$N377),IF($M377="T","합계",""))))</f>
        <v/>
      </c>
      <c r="C377" s="29" t="str">
        <f>IF($M377="H",$L377&amp;"건",IF($M377="C","사이트",IF($M377="I",INDEX('완료 체험단'!$C$4:$C$2000,$N377),IF($M377="T",$L377&amp;"건",""))))</f>
        <v/>
      </c>
      <c r="D377" s="30" t="str">
        <f>IF($M377="C","방문일",IF($M377="I",INDEX('완료 체험단'!$D$4:$D$2000,$N377),""))</f>
        <v/>
      </c>
      <c r="E377" s="25" t="str">
        <f>IF($M377="H","제공금액 "&amp;TEXT(INDEX($U$5:$U$16,$J377),"#,##0")&amp;"원",IF($M377="C","제공금액",IF($M377="I",INDEX('완료 체험단'!$F$4:$F$2000,$N377),IF($M377="T",INDEX($U$5:$U$16,$J377),""))))</f>
        <v/>
      </c>
      <c r="F377" s="25" t="str">
        <f>IF($M377="H","결제금액 "&amp;TEXT(INDEX($V$5:$V$16,$J377),"#,##0")&amp;"원",IF($M377="C","결제금액",IF($M377="I",INDEX('완료 체험단'!$G$4:$G$2000,$N377),IF($M377="T",INDEX($V$5:$V$16,$J377),""))))</f>
        <v/>
      </c>
      <c r="G377" s="25" t="str">
        <f>IF($M377="H","실수익 "&amp;TEXT(INDEX($W$5:$W$16,$J377),"#,##0")&amp;"원",IF($M377="C","실수익",IF($M377="I",INDEX('완료 체험단'!$H$4:$H$2000,$N377),IF($M377="T",INDEX($W$5:$W$16,$J377),""))))</f>
        <v/>
      </c>
      <c r="I377" s="31">
        <f>ROWS(I$5:I377)</f>
        <v>373</v>
      </c>
      <c r="J377" t="str">
        <f t="shared" si="23"/>
        <v/>
      </c>
      <c r="K377" t="str">
        <f t="shared" si="24"/>
        <v/>
      </c>
      <c r="L377" t="str">
        <f t="shared" si="25"/>
        <v/>
      </c>
      <c r="M377" t="str">
        <f t="shared" si="26"/>
        <v/>
      </c>
      <c r="N377" t="str">
        <f>IF($M377="I",MATCH(SMALL('완료 체험단'!$K$4:$K$2000,INDEX($T$5:$T$16,$J377)+$K377-2),'완료 체험단'!$K$4:$K$2000,0),"")</f>
        <v/>
      </c>
    </row>
    <row r="378" spans="2:14">
      <c r="B378" s="23" t="str">
        <f>IF($M378="H",$J378&amp;"월",IF($M378="C","매장명",IF($M378="I",INDEX('완료 체험단'!$A$4:$A$2000,$N378),IF($M378="T","합계",""))))</f>
        <v/>
      </c>
      <c r="C378" s="29" t="str">
        <f>IF($M378="H",$L378&amp;"건",IF($M378="C","사이트",IF($M378="I",INDEX('완료 체험단'!$C$4:$C$2000,$N378),IF($M378="T",$L378&amp;"건",""))))</f>
        <v/>
      </c>
      <c r="D378" s="30" t="str">
        <f>IF($M378="C","방문일",IF($M378="I",INDEX('완료 체험단'!$D$4:$D$2000,$N378),""))</f>
        <v/>
      </c>
      <c r="E378" s="25" t="str">
        <f>IF($M378="H","제공금액 "&amp;TEXT(INDEX($U$5:$U$16,$J378),"#,##0")&amp;"원",IF($M378="C","제공금액",IF($M378="I",INDEX('완료 체험단'!$F$4:$F$2000,$N378),IF($M378="T",INDEX($U$5:$U$16,$J378),""))))</f>
        <v/>
      </c>
      <c r="F378" s="25" t="str">
        <f>IF($M378="H","결제금액 "&amp;TEXT(INDEX($V$5:$V$16,$J378),"#,##0")&amp;"원",IF($M378="C","결제금액",IF($M378="I",INDEX('완료 체험단'!$G$4:$G$2000,$N378),IF($M378="T",INDEX($V$5:$V$16,$J378),""))))</f>
        <v/>
      </c>
      <c r="G378" s="25" t="str">
        <f>IF($M378="H","실수익 "&amp;TEXT(INDEX($W$5:$W$16,$J378),"#,##0")&amp;"원",IF($M378="C","실수익",IF($M378="I",INDEX('완료 체험단'!$H$4:$H$2000,$N378),IF($M378="T",INDEX($W$5:$W$16,$J378),""))))</f>
        <v/>
      </c>
      <c r="I378" s="31">
        <f>ROWS(I$5:I378)</f>
        <v>374</v>
      </c>
      <c r="J378" t="str">
        <f t="shared" si="23"/>
        <v/>
      </c>
      <c r="K378" t="str">
        <f t="shared" si="24"/>
        <v/>
      </c>
      <c r="L378" t="str">
        <f t="shared" si="25"/>
        <v/>
      </c>
      <c r="M378" t="str">
        <f t="shared" si="26"/>
        <v/>
      </c>
      <c r="N378" t="str">
        <f>IF($M378="I",MATCH(SMALL('완료 체험단'!$K$4:$K$2000,INDEX($T$5:$T$16,$J378)+$K378-2),'완료 체험단'!$K$4:$K$2000,0),"")</f>
        <v/>
      </c>
    </row>
    <row r="379" spans="2:14">
      <c r="B379" s="23" t="str">
        <f>IF($M379="H",$J379&amp;"월",IF($M379="C","매장명",IF($M379="I",INDEX('완료 체험단'!$A$4:$A$2000,$N379),IF($M379="T","합계",""))))</f>
        <v/>
      </c>
      <c r="C379" s="29" t="str">
        <f>IF($M379="H",$L379&amp;"건",IF($M379="C","사이트",IF($M379="I",INDEX('완료 체험단'!$C$4:$C$2000,$N379),IF($M379="T",$L379&amp;"건",""))))</f>
        <v/>
      </c>
      <c r="D379" s="30" t="str">
        <f>IF($M379="C","방문일",IF($M379="I",INDEX('완료 체험단'!$D$4:$D$2000,$N379),""))</f>
        <v/>
      </c>
      <c r="E379" s="25" t="str">
        <f>IF($M379="H","제공금액 "&amp;TEXT(INDEX($U$5:$U$16,$J379),"#,##0")&amp;"원",IF($M379="C","제공금액",IF($M379="I",INDEX('완료 체험단'!$F$4:$F$2000,$N379),IF($M379="T",INDEX($U$5:$U$16,$J379),""))))</f>
        <v/>
      </c>
      <c r="F379" s="25" t="str">
        <f>IF($M379="H","결제금액 "&amp;TEXT(INDEX($V$5:$V$16,$J379),"#,##0")&amp;"원",IF($M379="C","결제금액",IF($M379="I",INDEX('완료 체험단'!$G$4:$G$2000,$N379),IF($M379="T",INDEX($V$5:$V$16,$J379),""))))</f>
        <v/>
      </c>
      <c r="G379" s="25" t="str">
        <f>IF($M379="H","실수익 "&amp;TEXT(INDEX($W$5:$W$16,$J379),"#,##0")&amp;"원",IF($M379="C","실수익",IF($M379="I",INDEX('완료 체험단'!$H$4:$H$2000,$N379),IF($M379="T",INDEX($W$5:$W$16,$J379),""))))</f>
        <v/>
      </c>
      <c r="I379" s="31">
        <f>ROWS(I$5:I379)</f>
        <v>375</v>
      </c>
      <c r="J379" t="str">
        <f t="shared" si="23"/>
        <v/>
      </c>
      <c r="K379" t="str">
        <f t="shared" si="24"/>
        <v/>
      </c>
      <c r="L379" t="str">
        <f t="shared" si="25"/>
        <v/>
      </c>
      <c r="M379" t="str">
        <f t="shared" si="26"/>
        <v/>
      </c>
      <c r="N379" t="str">
        <f>IF($M379="I",MATCH(SMALL('완료 체험단'!$K$4:$K$2000,INDEX($T$5:$T$16,$J379)+$K379-2),'완료 체험단'!$K$4:$K$2000,0),"")</f>
        <v/>
      </c>
    </row>
    <row r="380" spans="2:14">
      <c r="B380" s="23" t="str">
        <f>IF($M380="H",$J380&amp;"월",IF($M380="C","매장명",IF($M380="I",INDEX('완료 체험단'!$A$4:$A$2000,$N380),IF($M380="T","합계",""))))</f>
        <v/>
      </c>
      <c r="C380" s="29" t="str">
        <f>IF($M380="H",$L380&amp;"건",IF($M380="C","사이트",IF($M380="I",INDEX('완료 체험단'!$C$4:$C$2000,$N380),IF($M380="T",$L380&amp;"건",""))))</f>
        <v/>
      </c>
      <c r="D380" s="30" t="str">
        <f>IF($M380="C","방문일",IF($M380="I",INDEX('완료 체험단'!$D$4:$D$2000,$N380),""))</f>
        <v/>
      </c>
      <c r="E380" s="25" t="str">
        <f>IF($M380="H","제공금액 "&amp;TEXT(INDEX($U$5:$U$16,$J380),"#,##0")&amp;"원",IF($M380="C","제공금액",IF($M380="I",INDEX('완료 체험단'!$F$4:$F$2000,$N380),IF($M380="T",INDEX($U$5:$U$16,$J380),""))))</f>
        <v/>
      </c>
      <c r="F380" s="25" t="str">
        <f>IF($M380="H","결제금액 "&amp;TEXT(INDEX($V$5:$V$16,$J380),"#,##0")&amp;"원",IF($M380="C","결제금액",IF($M380="I",INDEX('완료 체험단'!$G$4:$G$2000,$N380),IF($M380="T",INDEX($V$5:$V$16,$J380),""))))</f>
        <v/>
      </c>
      <c r="G380" s="25" t="str">
        <f>IF($M380="H","실수익 "&amp;TEXT(INDEX($W$5:$W$16,$J380),"#,##0")&amp;"원",IF($M380="C","실수익",IF($M380="I",INDEX('완료 체험단'!$H$4:$H$2000,$N380),IF($M380="T",INDEX($W$5:$W$16,$J380),""))))</f>
        <v/>
      </c>
      <c r="I380" s="31">
        <f>ROWS(I$5:I380)</f>
        <v>376</v>
      </c>
      <c r="J380" t="str">
        <f t="shared" si="23"/>
        <v/>
      </c>
      <c r="K380" t="str">
        <f t="shared" si="24"/>
        <v/>
      </c>
      <c r="L380" t="str">
        <f t="shared" si="25"/>
        <v/>
      </c>
      <c r="M380" t="str">
        <f t="shared" si="26"/>
        <v/>
      </c>
      <c r="N380" t="str">
        <f>IF($M380="I",MATCH(SMALL('완료 체험단'!$K$4:$K$2000,INDEX($T$5:$T$16,$J380)+$K380-2),'완료 체험단'!$K$4:$K$2000,0),"")</f>
        <v/>
      </c>
    </row>
    <row r="381" spans="2:14">
      <c r="B381" s="23" t="str">
        <f>IF($M381="H",$J381&amp;"월",IF($M381="C","매장명",IF($M381="I",INDEX('완료 체험단'!$A$4:$A$2000,$N381),IF($M381="T","합계",""))))</f>
        <v/>
      </c>
      <c r="C381" s="29" t="str">
        <f>IF($M381="H",$L381&amp;"건",IF($M381="C","사이트",IF($M381="I",INDEX('완료 체험단'!$C$4:$C$2000,$N381),IF($M381="T",$L381&amp;"건",""))))</f>
        <v/>
      </c>
      <c r="D381" s="30" t="str">
        <f>IF($M381="C","방문일",IF($M381="I",INDEX('완료 체험단'!$D$4:$D$2000,$N381),""))</f>
        <v/>
      </c>
      <c r="E381" s="25" t="str">
        <f>IF($M381="H","제공금액 "&amp;TEXT(INDEX($U$5:$U$16,$J381),"#,##0")&amp;"원",IF($M381="C","제공금액",IF($M381="I",INDEX('완료 체험단'!$F$4:$F$2000,$N381),IF($M381="T",INDEX($U$5:$U$16,$J381),""))))</f>
        <v/>
      </c>
      <c r="F381" s="25" t="str">
        <f>IF($M381="H","결제금액 "&amp;TEXT(INDEX($V$5:$V$16,$J381),"#,##0")&amp;"원",IF($M381="C","결제금액",IF($M381="I",INDEX('완료 체험단'!$G$4:$G$2000,$N381),IF($M381="T",INDEX($V$5:$V$16,$J381),""))))</f>
        <v/>
      </c>
      <c r="G381" s="25" t="str">
        <f>IF($M381="H","실수익 "&amp;TEXT(INDEX($W$5:$W$16,$J381),"#,##0")&amp;"원",IF($M381="C","실수익",IF($M381="I",INDEX('완료 체험단'!$H$4:$H$2000,$N381),IF($M381="T",INDEX($W$5:$W$16,$J381),""))))</f>
        <v/>
      </c>
      <c r="I381" s="31">
        <f>ROWS(I$5:I381)</f>
        <v>377</v>
      </c>
      <c r="J381" t="str">
        <f t="shared" si="23"/>
        <v/>
      </c>
      <c r="K381" t="str">
        <f t="shared" si="24"/>
        <v/>
      </c>
      <c r="L381" t="str">
        <f t="shared" si="25"/>
        <v/>
      </c>
      <c r="M381" t="str">
        <f t="shared" si="26"/>
        <v/>
      </c>
      <c r="N381" t="str">
        <f>IF($M381="I",MATCH(SMALL('완료 체험단'!$K$4:$K$2000,INDEX($T$5:$T$16,$J381)+$K381-2),'완료 체험단'!$K$4:$K$2000,0),"")</f>
        <v/>
      </c>
    </row>
    <row r="382" spans="2:14">
      <c r="B382" s="23" t="str">
        <f>IF($M382="H",$J382&amp;"월",IF($M382="C","매장명",IF($M382="I",INDEX('완료 체험단'!$A$4:$A$2000,$N382),IF($M382="T","합계",""))))</f>
        <v/>
      </c>
      <c r="C382" s="29" t="str">
        <f>IF($M382="H",$L382&amp;"건",IF($M382="C","사이트",IF($M382="I",INDEX('완료 체험단'!$C$4:$C$2000,$N382),IF($M382="T",$L382&amp;"건",""))))</f>
        <v/>
      </c>
      <c r="D382" s="30" t="str">
        <f>IF($M382="C","방문일",IF($M382="I",INDEX('완료 체험단'!$D$4:$D$2000,$N382),""))</f>
        <v/>
      </c>
      <c r="E382" s="25" t="str">
        <f>IF($M382="H","제공금액 "&amp;TEXT(INDEX($U$5:$U$16,$J382),"#,##0")&amp;"원",IF($M382="C","제공금액",IF($M382="I",INDEX('완료 체험단'!$F$4:$F$2000,$N382),IF($M382="T",INDEX($U$5:$U$16,$J382),""))))</f>
        <v/>
      </c>
      <c r="F382" s="25" t="str">
        <f>IF($M382="H","결제금액 "&amp;TEXT(INDEX($V$5:$V$16,$J382),"#,##0")&amp;"원",IF($M382="C","결제금액",IF($M382="I",INDEX('완료 체험단'!$G$4:$G$2000,$N382),IF($M382="T",INDEX($V$5:$V$16,$J382),""))))</f>
        <v/>
      </c>
      <c r="G382" s="25" t="str">
        <f>IF($M382="H","실수익 "&amp;TEXT(INDEX($W$5:$W$16,$J382),"#,##0")&amp;"원",IF($M382="C","실수익",IF($M382="I",INDEX('완료 체험단'!$H$4:$H$2000,$N382),IF($M382="T",INDEX($W$5:$W$16,$J382),""))))</f>
        <v/>
      </c>
      <c r="I382" s="31">
        <f>ROWS(I$5:I382)</f>
        <v>378</v>
      </c>
      <c r="J382" t="str">
        <f t="shared" si="23"/>
        <v/>
      </c>
      <c r="K382" t="str">
        <f t="shared" si="24"/>
        <v/>
      </c>
      <c r="L382" t="str">
        <f t="shared" si="25"/>
        <v/>
      </c>
      <c r="M382" t="str">
        <f t="shared" si="26"/>
        <v/>
      </c>
      <c r="N382" t="str">
        <f>IF($M382="I",MATCH(SMALL('완료 체험단'!$K$4:$K$2000,INDEX($T$5:$T$16,$J382)+$K382-2),'완료 체험단'!$K$4:$K$2000,0),"")</f>
        <v/>
      </c>
    </row>
    <row r="383" spans="2:14">
      <c r="B383" s="23" t="str">
        <f>IF($M383="H",$J383&amp;"월",IF($M383="C","매장명",IF($M383="I",INDEX('완료 체험단'!$A$4:$A$2000,$N383),IF($M383="T","합계",""))))</f>
        <v/>
      </c>
      <c r="C383" s="29" t="str">
        <f>IF($M383="H",$L383&amp;"건",IF($M383="C","사이트",IF($M383="I",INDEX('완료 체험단'!$C$4:$C$2000,$N383),IF($M383="T",$L383&amp;"건",""))))</f>
        <v/>
      </c>
      <c r="D383" s="30" t="str">
        <f>IF($M383="C","방문일",IF($M383="I",INDEX('완료 체험단'!$D$4:$D$2000,$N383),""))</f>
        <v/>
      </c>
      <c r="E383" s="25" t="str">
        <f>IF($M383="H","제공금액 "&amp;TEXT(INDEX($U$5:$U$16,$J383),"#,##0")&amp;"원",IF($M383="C","제공금액",IF($M383="I",INDEX('완료 체험단'!$F$4:$F$2000,$N383),IF($M383="T",INDEX($U$5:$U$16,$J383),""))))</f>
        <v/>
      </c>
      <c r="F383" s="25" t="str">
        <f>IF($M383="H","결제금액 "&amp;TEXT(INDEX($V$5:$V$16,$J383),"#,##0")&amp;"원",IF($M383="C","결제금액",IF($M383="I",INDEX('완료 체험단'!$G$4:$G$2000,$N383),IF($M383="T",INDEX($V$5:$V$16,$J383),""))))</f>
        <v/>
      </c>
      <c r="G383" s="25" t="str">
        <f>IF($M383="H","실수익 "&amp;TEXT(INDEX($W$5:$W$16,$J383),"#,##0")&amp;"원",IF($M383="C","실수익",IF($M383="I",INDEX('완료 체험단'!$H$4:$H$2000,$N383),IF($M383="T",INDEX($W$5:$W$16,$J383),""))))</f>
        <v/>
      </c>
      <c r="I383" s="31">
        <f>ROWS(I$5:I383)</f>
        <v>379</v>
      </c>
      <c r="J383" t="str">
        <f t="shared" si="23"/>
        <v/>
      </c>
      <c r="K383" t="str">
        <f t="shared" si="24"/>
        <v/>
      </c>
      <c r="L383" t="str">
        <f t="shared" si="25"/>
        <v/>
      </c>
      <c r="M383" t="str">
        <f t="shared" si="26"/>
        <v/>
      </c>
      <c r="N383" t="str">
        <f>IF($M383="I",MATCH(SMALL('완료 체험단'!$K$4:$K$2000,INDEX($T$5:$T$16,$J383)+$K383-2),'완료 체험단'!$K$4:$K$2000,0),"")</f>
        <v/>
      </c>
    </row>
    <row r="384" spans="2:14">
      <c r="B384" s="23" t="str">
        <f>IF($M384="H",$J384&amp;"월",IF($M384="C","매장명",IF($M384="I",INDEX('완료 체험단'!$A$4:$A$2000,$N384),IF($M384="T","합계",""))))</f>
        <v/>
      </c>
      <c r="C384" s="29" t="str">
        <f>IF($M384="H",$L384&amp;"건",IF($M384="C","사이트",IF($M384="I",INDEX('완료 체험단'!$C$4:$C$2000,$N384),IF($M384="T",$L384&amp;"건",""))))</f>
        <v/>
      </c>
      <c r="D384" s="30" t="str">
        <f>IF($M384="C","방문일",IF($M384="I",INDEX('완료 체험단'!$D$4:$D$2000,$N384),""))</f>
        <v/>
      </c>
      <c r="E384" s="25" t="str">
        <f>IF($M384="H","제공금액 "&amp;TEXT(INDEX($U$5:$U$16,$J384),"#,##0")&amp;"원",IF($M384="C","제공금액",IF($M384="I",INDEX('완료 체험단'!$F$4:$F$2000,$N384),IF($M384="T",INDEX($U$5:$U$16,$J384),""))))</f>
        <v/>
      </c>
      <c r="F384" s="25" t="str">
        <f>IF($M384="H","결제금액 "&amp;TEXT(INDEX($V$5:$V$16,$J384),"#,##0")&amp;"원",IF($M384="C","결제금액",IF($M384="I",INDEX('완료 체험단'!$G$4:$G$2000,$N384),IF($M384="T",INDEX($V$5:$V$16,$J384),""))))</f>
        <v/>
      </c>
      <c r="G384" s="25" t="str">
        <f>IF($M384="H","실수익 "&amp;TEXT(INDEX($W$5:$W$16,$J384),"#,##0")&amp;"원",IF($M384="C","실수익",IF($M384="I",INDEX('완료 체험단'!$H$4:$H$2000,$N384),IF($M384="T",INDEX($W$5:$W$16,$J384),""))))</f>
        <v/>
      </c>
      <c r="I384" s="31">
        <f>ROWS(I$5:I384)</f>
        <v>380</v>
      </c>
      <c r="J384" t="str">
        <f t="shared" si="23"/>
        <v/>
      </c>
      <c r="K384" t="str">
        <f t="shared" si="24"/>
        <v/>
      </c>
      <c r="L384" t="str">
        <f t="shared" si="25"/>
        <v/>
      </c>
      <c r="M384" t="str">
        <f t="shared" si="26"/>
        <v/>
      </c>
      <c r="N384" t="str">
        <f>IF($M384="I",MATCH(SMALL('완료 체험단'!$K$4:$K$2000,INDEX($T$5:$T$16,$J384)+$K384-2),'완료 체험단'!$K$4:$K$2000,0),"")</f>
        <v/>
      </c>
    </row>
    <row r="385" spans="2:14">
      <c r="B385" s="23" t="str">
        <f>IF($M385="H",$J385&amp;"월",IF($M385="C","매장명",IF($M385="I",INDEX('완료 체험단'!$A$4:$A$2000,$N385),IF($M385="T","합계",""))))</f>
        <v/>
      </c>
      <c r="C385" s="29" t="str">
        <f>IF($M385="H",$L385&amp;"건",IF($M385="C","사이트",IF($M385="I",INDEX('완료 체험단'!$C$4:$C$2000,$N385),IF($M385="T",$L385&amp;"건",""))))</f>
        <v/>
      </c>
      <c r="D385" s="30" t="str">
        <f>IF($M385="C","방문일",IF($M385="I",INDEX('완료 체험단'!$D$4:$D$2000,$N385),""))</f>
        <v/>
      </c>
      <c r="E385" s="25" t="str">
        <f>IF($M385="H","제공금액 "&amp;TEXT(INDEX($U$5:$U$16,$J385),"#,##0")&amp;"원",IF($M385="C","제공금액",IF($M385="I",INDEX('완료 체험단'!$F$4:$F$2000,$N385),IF($M385="T",INDEX($U$5:$U$16,$J385),""))))</f>
        <v/>
      </c>
      <c r="F385" s="25" t="str">
        <f>IF($M385="H","결제금액 "&amp;TEXT(INDEX($V$5:$V$16,$J385),"#,##0")&amp;"원",IF($M385="C","결제금액",IF($M385="I",INDEX('완료 체험단'!$G$4:$G$2000,$N385),IF($M385="T",INDEX($V$5:$V$16,$J385),""))))</f>
        <v/>
      </c>
      <c r="G385" s="25" t="str">
        <f>IF($M385="H","실수익 "&amp;TEXT(INDEX($W$5:$W$16,$J385),"#,##0")&amp;"원",IF($M385="C","실수익",IF($M385="I",INDEX('완료 체험단'!$H$4:$H$2000,$N385),IF($M385="T",INDEX($W$5:$W$16,$J385),""))))</f>
        <v/>
      </c>
      <c r="I385" s="31">
        <f>ROWS(I$5:I385)</f>
        <v>381</v>
      </c>
      <c r="J385" t="str">
        <f t="shared" si="23"/>
        <v/>
      </c>
      <c r="K385" t="str">
        <f t="shared" si="24"/>
        <v/>
      </c>
      <c r="L385" t="str">
        <f t="shared" si="25"/>
        <v/>
      </c>
      <c r="M385" t="str">
        <f t="shared" si="26"/>
        <v/>
      </c>
      <c r="N385" t="str">
        <f>IF($M385="I",MATCH(SMALL('완료 체험단'!$K$4:$K$2000,INDEX($T$5:$T$16,$J385)+$K385-2),'완료 체험단'!$K$4:$K$2000,0),"")</f>
        <v/>
      </c>
    </row>
    <row r="386" spans="2:14">
      <c r="B386" s="23" t="str">
        <f>IF($M386="H",$J386&amp;"월",IF($M386="C","매장명",IF($M386="I",INDEX('완료 체험단'!$A$4:$A$2000,$N386),IF($M386="T","합계",""))))</f>
        <v/>
      </c>
      <c r="C386" s="29" t="str">
        <f>IF($M386="H",$L386&amp;"건",IF($M386="C","사이트",IF($M386="I",INDEX('완료 체험단'!$C$4:$C$2000,$N386),IF($M386="T",$L386&amp;"건",""))))</f>
        <v/>
      </c>
      <c r="D386" s="30" t="str">
        <f>IF($M386="C","방문일",IF($M386="I",INDEX('완료 체험단'!$D$4:$D$2000,$N386),""))</f>
        <v/>
      </c>
      <c r="E386" s="25" t="str">
        <f>IF($M386="H","제공금액 "&amp;TEXT(INDEX($U$5:$U$16,$J386),"#,##0")&amp;"원",IF($M386="C","제공금액",IF($M386="I",INDEX('완료 체험단'!$F$4:$F$2000,$N386),IF($M386="T",INDEX($U$5:$U$16,$J386),""))))</f>
        <v/>
      </c>
      <c r="F386" s="25" t="str">
        <f>IF($M386="H","결제금액 "&amp;TEXT(INDEX($V$5:$V$16,$J386),"#,##0")&amp;"원",IF($M386="C","결제금액",IF($M386="I",INDEX('완료 체험단'!$G$4:$G$2000,$N386),IF($M386="T",INDEX($V$5:$V$16,$J386),""))))</f>
        <v/>
      </c>
      <c r="G386" s="25" t="str">
        <f>IF($M386="H","실수익 "&amp;TEXT(INDEX($W$5:$W$16,$J386),"#,##0")&amp;"원",IF($M386="C","실수익",IF($M386="I",INDEX('완료 체험단'!$H$4:$H$2000,$N386),IF($M386="T",INDEX($W$5:$W$16,$J386),""))))</f>
        <v/>
      </c>
      <c r="I386" s="31">
        <f>ROWS(I$5:I386)</f>
        <v>382</v>
      </c>
      <c r="J386" t="str">
        <f t="shared" si="23"/>
        <v/>
      </c>
      <c r="K386" t="str">
        <f t="shared" si="24"/>
        <v/>
      </c>
      <c r="L386" t="str">
        <f t="shared" si="25"/>
        <v/>
      </c>
      <c r="M386" t="str">
        <f t="shared" si="26"/>
        <v/>
      </c>
      <c r="N386" t="str">
        <f>IF($M386="I",MATCH(SMALL('완료 체험단'!$K$4:$K$2000,INDEX($T$5:$T$16,$J386)+$K386-2),'완료 체험단'!$K$4:$K$2000,0),"")</f>
        <v/>
      </c>
    </row>
    <row r="387" spans="2:14">
      <c r="B387" s="23" t="str">
        <f>IF($M387="H",$J387&amp;"월",IF($M387="C","매장명",IF($M387="I",INDEX('완료 체험단'!$A$4:$A$2000,$N387),IF($M387="T","합계",""))))</f>
        <v/>
      </c>
      <c r="C387" s="29" t="str">
        <f>IF($M387="H",$L387&amp;"건",IF($M387="C","사이트",IF($M387="I",INDEX('완료 체험단'!$C$4:$C$2000,$N387),IF($M387="T",$L387&amp;"건",""))))</f>
        <v/>
      </c>
      <c r="D387" s="30" t="str">
        <f>IF($M387="C","방문일",IF($M387="I",INDEX('완료 체험단'!$D$4:$D$2000,$N387),""))</f>
        <v/>
      </c>
      <c r="E387" s="25" t="str">
        <f>IF($M387="H","제공금액 "&amp;TEXT(INDEX($U$5:$U$16,$J387),"#,##0")&amp;"원",IF($M387="C","제공금액",IF($M387="I",INDEX('완료 체험단'!$F$4:$F$2000,$N387),IF($M387="T",INDEX($U$5:$U$16,$J387),""))))</f>
        <v/>
      </c>
      <c r="F387" s="25" t="str">
        <f>IF($M387="H","결제금액 "&amp;TEXT(INDEX($V$5:$V$16,$J387),"#,##0")&amp;"원",IF($M387="C","결제금액",IF($M387="I",INDEX('완료 체험단'!$G$4:$G$2000,$N387),IF($M387="T",INDEX($V$5:$V$16,$J387),""))))</f>
        <v/>
      </c>
      <c r="G387" s="25" t="str">
        <f>IF($M387="H","실수익 "&amp;TEXT(INDEX($W$5:$W$16,$J387),"#,##0")&amp;"원",IF($M387="C","실수익",IF($M387="I",INDEX('완료 체험단'!$H$4:$H$2000,$N387),IF($M387="T",INDEX($W$5:$W$16,$J387),""))))</f>
        <v/>
      </c>
      <c r="I387" s="31">
        <f>ROWS(I$5:I387)</f>
        <v>383</v>
      </c>
      <c r="J387" t="str">
        <f t="shared" si="23"/>
        <v/>
      </c>
      <c r="K387" t="str">
        <f t="shared" si="24"/>
        <v/>
      </c>
      <c r="L387" t="str">
        <f t="shared" si="25"/>
        <v/>
      </c>
      <c r="M387" t="str">
        <f t="shared" si="26"/>
        <v/>
      </c>
      <c r="N387" t="str">
        <f>IF($M387="I",MATCH(SMALL('완료 체험단'!$K$4:$K$2000,INDEX($T$5:$T$16,$J387)+$K387-2),'완료 체험단'!$K$4:$K$2000,0),"")</f>
        <v/>
      </c>
    </row>
    <row r="388" spans="2:14">
      <c r="B388" s="23" t="str">
        <f>IF($M388="H",$J388&amp;"월",IF($M388="C","매장명",IF($M388="I",INDEX('완료 체험단'!$A$4:$A$2000,$N388),IF($M388="T","합계",""))))</f>
        <v/>
      </c>
      <c r="C388" s="29" t="str">
        <f>IF($M388="H",$L388&amp;"건",IF($M388="C","사이트",IF($M388="I",INDEX('완료 체험단'!$C$4:$C$2000,$N388),IF($M388="T",$L388&amp;"건",""))))</f>
        <v/>
      </c>
      <c r="D388" s="30" t="str">
        <f>IF($M388="C","방문일",IF($M388="I",INDEX('완료 체험단'!$D$4:$D$2000,$N388),""))</f>
        <v/>
      </c>
      <c r="E388" s="25" t="str">
        <f>IF($M388="H","제공금액 "&amp;TEXT(INDEX($U$5:$U$16,$J388),"#,##0")&amp;"원",IF($M388="C","제공금액",IF($M388="I",INDEX('완료 체험단'!$F$4:$F$2000,$N388),IF($M388="T",INDEX($U$5:$U$16,$J388),""))))</f>
        <v/>
      </c>
      <c r="F388" s="25" t="str">
        <f>IF($M388="H","결제금액 "&amp;TEXT(INDEX($V$5:$V$16,$J388),"#,##0")&amp;"원",IF($M388="C","결제금액",IF($M388="I",INDEX('완료 체험단'!$G$4:$G$2000,$N388),IF($M388="T",INDEX($V$5:$V$16,$J388),""))))</f>
        <v/>
      </c>
      <c r="G388" s="25" t="str">
        <f>IF($M388="H","실수익 "&amp;TEXT(INDEX($W$5:$W$16,$J388),"#,##0")&amp;"원",IF($M388="C","실수익",IF($M388="I",INDEX('완료 체험단'!$H$4:$H$2000,$N388),IF($M388="T",INDEX($W$5:$W$16,$J388),""))))</f>
        <v/>
      </c>
      <c r="I388" s="31">
        <f>ROWS(I$5:I388)</f>
        <v>384</v>
      </c>
      <c r="J388" t="str">
        <f t="shared" si="23"/>
        <v/>
      </c>
      <c r="K388" t="str">
        <f t="shared" si="24"/>
        <v/>
      </c>
      <c r="L388" t="str">
        <f t="shared" si="25"/>
        <v/>
      </c>
      <c r="M388" t="str">
        <f t="shared" si="26"/>
        <v/>
      </c>
      <c r="N388" t="str">
        <f>IF($M388="I",MATCH(SMALL('완료 체험단'!$K$4:$K$2000,INDEX($T$5:$T$16,$J388)+$K388-2),'완료 체험단'!$K$4:$K$2000,0),"")</f>
        <v/>
      </c>
    </row>
    <row r="389" spans="2:14">
      <c r="B389" s="23" t="str">
        <f>IF($M389="H",$J389&amp;"월",IF($M389="C","매장명",IF($M389="I",INDEX('완료 체험단'!$A$4:$A$2000,$N389),IF($M389="T","합계",""))))</f>
        <v/>
      </c>
      <c r="C389" s="29" t="str">
        <f>IF($M389="H",$L389&amp;"건",IF($M389="C","사이트",IF($M389="I",INDEX('완료 체험단'!$C$4:$C$2000,$N389),IF($M389="T",$L389&amp;"건",""))))</f>
        <v/>
      </c>
      <c r="D389" s="30" t="str">
        <f>IF($M389="C","방문일",IF($M389="I",INDEX('완료 체험단'!$D$4:$D$2000,$N389),""))</f>
        <v/>
      </c>
      <c r="E389" s="25" t="str">
        <f>IF($M389="H","제공금액 "&amp;TEXT(INDEX($U$5:$U$16,$J389),"#,##0")&amp;"원",IF($M389="C","제공금액",IF($M389="I",INDEX('완료 체험단'!$F$4:$F$2000,$N389),IF($M389="T",INDEX($U$5:$U$16,$J389),""))))</f>
        <v/>
      </c>
      <c r="F389" s="25" t="str">
        <f>IF($M389="H","결제금액 "&amp;TEXT(INDEX($V$5:$V$16,$J389),"#,##0")&amp;"원",IF($M389="C","결제금액",IF($M389="I",INDEX('완료 체험단'!$G$4:$G$2000,$N389),IF($M389="T",INDEX($V$5:$V$16,$J389),""))))</f>
        <v/>
      </c>
      <c r="G389" s="25" t="str">
        <f>IF($M389="H","실수익 "&amp;TEXT(INDEX($W$5:$W$16,$J389),"#,##0")&amp;"원",IF($M389="C","실수익",IF($M389="I",INDEX('완료 체험단'!$H$4:$H$2000,$N389),IF($M389="T",INDEX($W$5:$W$16,$J389),""))))</f>
        <v/>
      </c>
      <c r="I389" s="31">
        <f>ROWS(I$5:I389)</f>
        <v>385</v>
      </c>
      <c r="J389" t="str">
        <f t="shared" ref="J389:J452" si="27">IF($I389&gt;$S$17,"",MATCH($I389-1,$S$5:$S$16,1))</f>
        <v/>
      </c>
      <c r="K389" t="str">
        <f t="shared" ref="K389:K452" si="28">IF($J389="","",$I389-INDEX($S$5:$S$16,$J389))</f>
        <v/>
      </c>
      <c r="L389" t="str">
        <f t="shared" ref="L389:L452" si="29">IF($J389="","",INDEX($Q$5:$Q$16,$J389))</f>
        <v/>
      </c>
      <c r="M389" t="str">
        <f t="shared" ref="M389:M452" si="30">IF($J389="","",IF($K389=1,"H",IF($L389=0,"S",IF($K389=2,"C",IF($K389&lt;=$L389+2,"I",IF($K389=$L389+3,"T","S"))))))</f>
        <v/>
      </c>
      <c r="N389" t="str">
        <f>IF($M389="I",MATCH(SMALL('완료 체험단'!$K$4:$K$2000,INDEX($T$5:$T$16,$J389)+$K389-2),'완료 체험단'!$K$4:$K$2000,0),"")</f>
        <v/>
      </c>
    </row>
    <row r="390" spans="2:14">
      <c r="B390" s="23" t="str">
        <f>IF($M390="H",$J390&amp;"월",IF($M390="C","매장명",IF($M390="I",INDEX('완료 체험단'!$A$4:$A$2000,$N390),IF($M390="T","합계",""))))</f>
        <v/>
      </c>
      <c r="C390" s="29" t="str">
        <f>IF($M390="H",$L390&amp;"건",IF($M390="C","사이트",IF($M390="I",INDEX('완료 체험단'!$C$4:$C$2000,$N390),IF($M390="T",$L390&amp;"건",""))))</f>
        <v/>
      </c>
      <c r="D390" s="30" t="str">
        <f>IF($M390="C","방문일",IF($M390="I",INDEX('완료 체험단'!$D$4:$D$2000,$N390),""))</f>
        <v/>
      </c>
      <c r="E390" s="25" t="str">
        <f>IF($M390="H","제공금액 "&amp;TEXT(INDEX($U$5:$U$16,$J390),"#,##0")&amp;"원",IF($M390="C","제공금액",IF($M390="I",INDEX('완료 체험단'!$F$4:$F$2000,$N390),IF($M390="T",INDEX($U$5:$U$16,$J390),""))))</f>
        <v/>
      </c>
      <c r="F390" s="25" t="str">
        <f>IF($M390="H","결제금액 "&amp;TEXT(INDEX($V$5:$V$16,$J390),"#,##0")&amp;"원",IF($M390="C","결제금액",IF($M390="I",INDEX('완료 체험단'!$G$4:$G$2000,$N390),IF($M390="T",INDEX($V$5:$V$16,$J390),""))))</f>
        <v/>
      </c>
      <c r="G390" s="25" t="str">
        <f>IF($M390="H","실수익 "&amp;TEXT(INDEX($W$5:$W$16,$J390),"#,##0")&amp;"원",IF($M390="C","실수익",IF($M390="I",INDEX('완료 체험단'!$H$4:$H$2000,$N390),IF($M390="T",INDEX($W$5:$W$16,$J390),""))))</f>
        <v/>
      </c>
      <c r="I390" s="31">
        <f>ROWS(I$5:I390)</f>
        <v>386</v>
      </c>
      <c r="J390" t="str">
        <f t="shared" si="27"/>
        <v/>
      </c>
      <c r="K390" t="str">
        <f t="shared" si="28"/>
        <v/>
      </c>
      <c r="L390" t="str">
        <f t="shared" si="29"/>
        <v/>
      </c>
      <c r="M390" t="str">
        <f t="shared" si="30"/>
        <v/>
      </c>
      <c r="N390" t="str">
        <f>IF($M390="I",MATCH(SMALL('완료 체험단'!$K$4:$K$2000,INDEX($T$5:$T$16,$J390)+$K390-2),'완료 체험단'!$K$4:$K$2000,0),"")</f>
        <v/>
      </c>
    </row>
    <row r="391" spans="2:14">
      <c r="B391" s="23" t="str">
        <f>IF($M391="H",$J391&amp;"월",IF($M391="C","매장명",IF($M391="I",INDEX('완료 체험단'!$A$4:$A$2000,$N391),IF($M391="T","합계",""))))</f>
        <v/>
      </c>
      <c r="C391" s="29" t="str">
        <f>IF($M391="H",$L391&amp;"건",IF($M391="C","사이트",IF($M391="I",INDEX('완료 체험단'!$C$4:$C$2000,$N391),IF($M391="T",$L391&amp;"건",""))))</f>
        <v/>
      </c>
      <c r="D391" s="30" t="str">
        <f>IF($M391="C","방문일",IF($M391="I",INDEX('완료 체험단'!$D$4:$D$2000,$N391),""))</f>
        <v/>
      </c>
      <c r="E391" s="25" t="str">
        <f>IF($M391="H","제공금액 "&amp;TEXT(INDEX($U$5:$U$16,$J391),"#,##0")&amp;"원",IF($M391="C","제공금액",IF($M391="I",INDEX('완료 체험단'!$F$4:$F$2000,$N391),IF($M391="T",INDEX($U$5:$U$16,$J391),""))))</f>
        <v/>
      </c>
      <c r="F391" s="25" t="str">
        <f>IF($M391="H","결제금액 "&amp;TEXT(INDEX($V$5:$V$16,$J391),"#,##0")&amp;"원",IF($M391="C","결제금액",IF($M391="I",INDEX('완료 체험단'!$G$4:$G$2000,$N391),IF($M391="T",INDEX($V$5:$V$16,$J391),""))))</f>
        <v/>
      </c>
      <c r="G391" s="25" t="str">
        <f>IF($M391="H","실수익 "&amp;TEXT(INDEX($W$5:$W$16,$J391),"#,##0")&amp;"원",IF($M391="C","실수익",IF($M391="I",INDEX('완료 체험단'!$H$4:$H$2000,$N391),IF($M391="T",INDEX($W$5:$W$16,$J391),""))))</f>
        <v/>
      </c>
      <c r="I391" s="31">
        <f>ROWS(I$5:I391)</f>
        <v>387</v>
      </c>
      <c r="J391" t="str">
        <f t="shared" si="27"/>
        <v/>
      </c>
      <c r="K391" t="str">
        <f t="shared" si="28"/>
        <v/>
      </c>
      <c r="L391" t="str">
        <f t="shared" si="29"/>
        <v/>
      </c>
      <c r="M391" t="str">
        <f t="shared" si="30"/>
        <v/>
      </c>
      <c r="N391" t="str">
        <f>IF($M391="I",MATCH(SMALL('완료 체험단'!$K$4:$K$2000,INDEX($T$5:$T$16,$J391)+$K391-2),'완료 체험단'!$K$4:$K$2000,0),"")</f>
        <v/>
      </c>
    </row>
    <row r="392" spans="2:14">
      <c r="B392" s="23" t="str">
        <f>IF($M392="H",$J392&amp;"월",IF($M392="C","매장명",IF($M392="I",INDEX('완료 체험단'!$A$4:$A$2000,$N392),IF($M392="T","합계",""))))</f>
        <v/>
      </c>
      <c r="C392" s="29" t="str">
        <f>IF($M392="H",$L392&amp;"건",IF($M392="C","사이트",IF($M392="I",INDEX('완료 체험단'!$C$4:$C$2000,$N392),IF($M392="T",$L392&amp;"건",""))))</f>
        <v/>
      </c>
      <c r="D392" s="30" t="str">
        <f>IF($M392="C","방문일",IF($M392="I",INDEX('완료 체험단'!$D$4:$D$2000,$N392),""))</f>
        <v/>
      </c>
      <c r="E392" s="25" t="str">
        <f>IF($M392="H","제공금액 "&amp;TEXT(INDEX($U$5:$U$16,$J392),"#,##0")&amp;"원",IF($M392="C","제공금액",IF($M392="I",INDEX('완료 체험단'!$F$4:$F$2000,$N392),IF($M392="T",INDEX($U$5:$U$16,$J392),""))))</f>
        <v/>
      </c>
      <c r="F392" s="25" t="str">
        <f>IF($M392="H","결제금액 "&amp;TEXT(INDEX($V$5:$V$16,$J392),"#,##0")&amp;"원",IF($M392="C","결제금액",IF($M392="I",INDEX('완료 체험단'!$G$4:$G$2000,$N392),IF($M392="T",INDEX($V$5:$V$16,$J392),""))))</f>
        <v/>
      </c>
      <c r="G392" s="25" t="str">
        <f>IF($M392="H","실수익 "&amp;TEXT(INDEX($W$5:$W$16,$J392),"#,##0")&amp;"원",IF($M392="C","실수익",IF($M392="I",INDEX('완료 체험단'!$H$4:$H$2000,$N392),IF($M392="T",INDEX($W$5:$W$16,$J392),""))))</f>
        <v/>
      </c>
      <c r="I392" s="31">
        <f>ROWS(I$5:I392)</f>
        <v>388</v>
      </c>
      <c r="J392" t="str">
        <f t="shared" si="27"/>
        <v/>
      </c>
      <c r="K392" t="str">
        <f t="shared" si="28"/>
        <v/>
      </c>
      <c r="L392" t="str">
        <f t="shared" si="29"/>
        <v/>
      </c>
      <c r="M392" t="str">
        <f t="shared" si="30"/>
        <v/>
      </c>
      <c r="N392" t="str">
        <f>IF($M392="I",MATCH(SMALL('완료 체험단'!$K$4:$K$2000,INDEX($T$5:$T$16,$J392)+$K392-2),'완료 체험단'!$K$4:$K$2000,0),"")</f>
        <v/>
      </c>
    </row>
    <row r="393" spans="2:14">
      <c r="B393" s="23" t="str">
        <f>IF($M393="H",$J393&amp;"월",IF($M393="C","매장명",IF($M393="I",INDEX('완료 체험단'!$A$4:$A$2000,$N393),IF($M393="T","합계",""))))</f>
        <v/>
      </c>
      <c r="C393" s="29" t="str">
        <f>IF($M393="H",$L393&amp;"건",IF($M393="C","사이트",IF($M393="I",INDEX('완료 체험단'!$C$4:$C$2000,$N393),IF($M393="T",$L393&amp;"건",""))))</f>
        <v/>
      </c>
      <c r="D393" s="30" t="str">
        <f>IF($M393="C","방문일",IF($M393="I",INDEX('완료 체험단'!$D$4:$D$2000,$N393),""))</f>
        <v/>
      </c>
      <c r="E393" s="25" t="str">
        <f>IF($M393="H","제공금액 "&amp;TEXT(INDEX($U$5:$U$16,$J393),"#,##0")&amp;"원",IF($M393="C","제공금액",IF($M393="I",INDEX('완료 체험단'!$F$4:$F$2000,$N393),IF($M393="T",INDEX($U$5:$U$16,$J393),""))))</f>
        <v/>
      </c>
      <c r="F393" s="25" t="str">
        <f>IF($M393="H","결제금액 "&amp;TEXT(INDEX($V$5:$V$16,$J393),"#,##0")&amp;"원",IF($M393="C","결제금액",IF($M393="I",INDEX('완료 체험단'!$G$4:$G$2000,$N393),IF($M393="T",INDEX($V$5:$V$16,$J393),""))))</f>
        <v/>
      </c>
      <c r="G393" s="25" t="str">
        <f>IF($M393="H","실수익 "&amp;TEXT(INDEX($W$5:$W$16,$J393),"#,##0")&amp;"원",IF($M393="C","실수익",IF($M393="I",INDEX('완료 체험단'!$H$4:$H$2000,$N393),IF($M393="T",INDEX($W$5:$W$16,$J393),""))))</f>
        <v/>
      </c>
      <c r="I393" s="31">
        <f>ROWS(I$5:I393)</f>
        <v>389</v>
      </c>
      <c r="J393" t="str">
        <f t="shared" si="27"/>
        <v/>
      </c>
      <c r="K393" t="str">
        <f t="shared" si="28"/>
        <v/>
      </c>
      <c r="L393" t="str">
        <f t="shared" si="29"/>
        <v/>
      </c>
      <c r="M393" t="str">
        <f t="shared" si="30"/>
        <v/>
      </c>
      <c r="N393" t="str">
        <f>IF($M393="I",MATCH(SMALL('완료 체험단'!$K$4:$K$2000,INDEX($T$5:$T$16,$J393)+$K393-2),'완료 체험단'!$K$4:$K$2000,0),"")</f>
        <v/>
      </c>
    </row>
    <row r="394" spans="2:14">
      <c r="B394" s="23" t="str">
        <f>IF($M394="H",$J394&amp;"월",IF($M394="C","매장명",IF($M394="I",INDEX('완료 체험단'!$A$4:$A$2000,$N394),IF($M394="T","합계",""))))</f>
        <v/>
      </c>
      <c r="C394" s="29" t="str">
        <f>IF($M394="H",$L394&amp;"건",IF($M394="C","사이트",IF($M394="I",INDEX('완료 체험단'!$C$4:$C$2000,$N394),IF($M394="T",$L394&amp;"건",""))))</f>
        <v/>
      </c>
      <c r="D394" s="30" t="str">
        <f>IF($M394="C","방문일",IF($M394="I",INDEX('완료 체험단'!$D$4:$D$2000,$N394),""))</f>
        <v/>
      </c>
      <c r="E394" s="25" t="str">
        <f>IF($M394="H","제공금액 "&amp;TEXT(INDEX($U$5:$U$16,$J394),"#,##0")&amp;"원",IF($M394="C","제공금액",IF($M394="I",INDEX('완료 체험단'!$F$4:$F$2000,$N394),IF($M394="T",INDEX($U$5:$U$16,$J394),""))))</f>
        <v/>
      </c>
      <c r="F394" s="25" t="str">
        <f>IF($M394="H","결제금액 "&amp;TEXT(INDEX($V$5:$V$16,$J394),"#,##0")&amp;"원",IF($M394="C","결제금액",IF($M394="I",INDEX('완료 체험단'!$G$4:$G$2000,$N394),IF($M394="T",INDEX($V$5:$V$16,$J394),""))))</f>
        <v/>
      </c>
      <c r="G394" s="25" t="str">
        <f>IF($M394="H","실수익 "&amp;TEXT(INDEX($W$5:$W$16,$J394),"#,##0")&amp;"원",IF($M394="C","실수익",IF($M394="I",INDEX('완료 체험단'!$H$4:$H$2000,$N394),IF($M394="T",INDEX($W$5:$W$16,$J394),""))))</f>
        <v/>
      </c>
      <c r="I394" s="31">
        <f>ROWS(I$5:I394)</f>
        <v>390</v>
      </c>
      <c r="J394" t="str">
        <f t="shared" si="27"/>
        <v/>
      </c>
      <c r="K394" t="str">
        <f t="shared" si="28"/>
        <v/>
      </c>
      <c r="L394" t="str">
        <f t="shared" si="29"/>
        <v/>
      </c>
      <c r="M394" t="str">
        <f t="shared" si="30"/>
        <v/>
      </c>
      <c r="N394" t="str">
        <f>IF($M394="I",MATCH(SMALL('완료 체험단'!$K$4:$K$2000,INDEX($T$5:$T$16,$J394)+$K394-2),'완료 체험단'!$K$4:$K$2000,0),"")</f>
        <v/>
      </c>
    </row>
    <row r="395" spans="2:14">
      <c r="B395" s="23" t="str">
        <f>IF($M395="H",$J395&amp;"월",IF($M395="C","매장명",IF($M395="I",INDEX('완료 체험단'!$A$4:$A$2000,$N395),IF($M395="T","합계",""))))</f>
        <v/>
      </c>
      <c r="C395" s="29" t="str">
        <f>IF($M395="H",$L395&amp;"건",IF($M395="C","사이트",IF($M395="I",INDEX('완료 체험단'!$C$4:$C$2000,$N395),IF($M395="T",$L395&amp;"건",""))))</f>
        <v/>
      </c>
      <c r="D395" s="30" t="str">
        <f>IF($M395="C","방문일",IF($M395="I",INDEX('완료 체험단'!$D$4:$D$2000,$N395),""))</f>
        <v/>
      </c>
      <c r="E395" s="25" t="str">
        <f>IF($M395="H","제공금액 "&amp;TEXT(INDEX($U$5:$U$16,$J395),"#,##0")&amp;"원",IF($M395="C","제공금액",IF($M395="I",INDEX('완료 체험단'!$F$4:$F$2000,$N395),IF($M395="T",INDEX($U$5:$U$16,$J395),""))))</f>
        <v/>
      </c>
      <c r="F395" s="25" t="str">
        <f>IF($M395="H","결제금액 "&amp;TEXT(INDEX($V$5:$V$16,$J395),"#,##0")&amp;"원",IF($M395="C","결제금액",IF($M395="I",INDEX('완료 체험단'!$G$4:$G$2000,$N395),IF($M395="T",INDEX($V$5:$V$16,$J395),""))))</f>
        <v/>
      </c>
      <c r="G395" s="25" t="str">
        <f>IF($M395="H","실수익 "&amp;TEXT(INDEX($W$5:$W$16,$J395),"#,##0")&amp;"원",IF($M395="C","실수익",IF($M395="I",INDEX('완료 체험단'!$H$4:$H$2000,$N395),IF($M395="T",INDEX($W$5:$W$16,$J395),""))))</f>
        <v/>
      </c>
      <c r="I395" s="31">
        <f>ROWS(I$5:I395)</f>
        <v>391</v>
      </c>
      <c r="J395" t="str">
        <f t="shared" si="27"/>
        <v/>
      </c>
      <c r="K395" t="str">
        <f t="shared" si="28"/>
        <v/>
      </c>
      <c r="L395" t="str">
        <f t="shared" si="29"/>
        <v/>
      </c>
      <c r="M395" t="str">
        <f t="shared" si="30"/>
        <v/>
      </c>
      <c r="N395" t="str">
        <f>IF($M395="I",MATCH(SMALL('완료 체험단'!$K$4:$K$2000,INDEX($T$5:$T$16,$J395)+$K395-2),'완료 체험단'!$K$4:$K$2000,0),"")</f>
        <v/>
      </c>
    </row>
    <row r="396" spans="2:14">
      <c r="B396" s="23" t="str">
        <f>IF($M396="H",$J396&amp;"월",IF($M396="C","매장명",IF($M396="I",INDEX('완료 체험단'!$A$4:$A$2000,$N396),IF($M396="T","합계",""))))</f>
        <v/>
      </c>
      <c r="C396" s="29" t="str">
        <f>IF($M396="H",$L396&amp;"건",IF($M396="C","사이트",IF($M396="I",INDEX('완료 체험단'!$C$4:$C$2000,$N396),IF($M396="T",$L396&amp;"건",""))))</f>
        <v/>
      </c>
      <c r="D396" s="30" t="str">
        <f>IF($M396="C","방문일",IF($M396="I",INDEX('완료 체험단'!$D$4:$D$2000,$N396),""))</f>
        <v/>
      </c>
      <c r="E396" s="25" t="str">
        <f>IF($M396="H","제공금액 "&amp;TEXT(INDEX($U$5:$U$16,$J396),"#,##0")&amp;"원",IF($M396="C","제공금액",IF($M396="I",INDEX('완료 체험단'!$F$4:$F$2000,$N396),IF($M396="T",INDEX($U$5:$U$16,$J396),""))))</f>
        <v/>
      </c>
      <c r="F396" s="25" t="str">
        <f>IF($M396="H","결제금액 "&amp;TEXT(INDEX($V$5:$V$16,$J396),"#,##0")&amp;"원",IF($M396="C","결제금액",IF($M396="I",INDEX('완료 체험단'!$G$4:$G$2000,$N396),IF($M396="T",INDEX($V$5:$V$16,$J396),""))))</f>
        <v/>
      </c>
      <c r="G396" s="25" t="str">
        <f>IF($M396="H","실수익 "&amp;TEXT(INDEX($W$5:$W$16,$J396),"#,##0")&amp;"원",IF($M396="C","실수익",IF($M396="I",INDEX('완료 체험단'!$H$4:$H$2000,$N396),IF($M396="T",INDEX($W$5:$W$16,$J396),""))))</f>
        <v/>
      </c>
      <c r="I396" s="31">
        <f>ROWS(I$5:I396)</f>
        <v>392</v>
      </c>
      <c r="J396" t="str">
        <f t="shared" si="27"/>
        <v/>
      </c>
      <c r="K396" t="str">
        <f t="shared" si="28"/>
        <v/>
      </c>
      <c r="L396" t="str">
        <f t="shared" si="29"/>
        <v/>
      </c>
      <c r="M396" t="str">
        <f t="shared" si="30"/>
        <v/>
      </c>
      <c r="N396" t="str">
        <f>IF($M396="I",MATCH(SMALL('완료 체험단'!$K$4:$K$2000,INDEX($T$5:$T$16,$J396)+$K396-2),'완료 체험단'!$K$4:$K$2000,0),"")</f>
        <v/>
      </c>
    </row>
    <row r="397" spans="2:14">
      <c r="B397" s="23" t="str">
        <f>IF($M397="H",$J397&amp;"월",IF($M397="C","매장명",IF($M397="I",INDEX('완료 체험단'!$A$4:$A$2000,$N397),IF($M397="T","합계",""))))</f>
        <v/>
      </c>
      <c r="C397" s="29" t="str">
        <f>IF($M397="H",$L397&amp;"건",IF($M397="C","사이트",IF($M397="I",INDEX('완료 체험단'!$C$4:$C$2000,$N397),IF($M397="T",$L397&amp;"건",""))))</f>
        <v/>
      </c>
      <c r="D397" s="30" t="str">
        <f>IF($M397="C","방문일",IF($M397="I",INDEX('완료 체험단'!$D$4:$D$2000,$N397),""))</f>
        <v/>
      </c>
      <c r="E397" s="25" t="str">
        <f>IF($M397="H","제공금액 "&amp;TEXT(INDEX($U$5:$U$16,$J397),"#,##0")&amp;"원",IF($M397="C","제공금액",IF($M397="I",INDEX('완료 체험단'!$F$4:$F$2000,$N397),IF($M397="T",INDEX($U$5:$U$16,$J397),""))))</f>
        <v/>
      </c>
      <c r="F397" s="25" t="str">
        <f>IF($M397="H","결제금액 "&amp;TEXT(INDEX($V$5:$V$16,$J397),"#,##0")&amp;"원",IF($M397="C","결제금액",IF($M397="I",INDEX('완료 체험단'!$G$4:$G$2000,$N397),IF($M397="T",INDEX($V$5:$V$16,$J397),""))))</f>
        <v/>
      </c>
      <c r="G397" s="25" t="str">
        <f>IF($M397="H","실수익 "&amp;TEXT(INDEX($W$5:$W$16,$J397),"#,##0")&amp;"원",IF($M397="C","실수익",IF($M397="I",INDEX('완료 체험단'!$H$4:$H$2000,$N397),IF($M397="T",INDEX($W$5:$W$16,$J397),""))))</f>
        <v/>
      </c>
      <c r="I397" s="31">
        <f>ROWS(I$5:I397)</f>
        <v>393</v>
      </c>
      <c r="J397" t="str">
        <f t="shared" si="27"/>
        <v/>
      </c>
      <c r="K397" t="str">
        <f t="shared" si="28"/>
        <v/>
      </c>
      <c r="L397" t="str">
        <f t="shared" si="29"/>
        <v/>
      </c>
      <c r="M397" t="str">
        <f t="shared" si="30"/>
        <v/>
      </c>
      <c r="N397" t="str">
        <f>IF($M397="I",MATCH(SMALL('완료 체험단'!$K$4:$K$2000,INDEX($T$5:$T$16,$J397)+$K397-2),'완료 체험단'!$K$4:$K$2000,0),"")</f>
        <v/>
      </c>
    </row>
    <row r="398" spans="2:14">
      <c r="B398" s="23" t="str">
        <f>IF($M398="H",$J398&amp;"월",IF($M398="C","매장명",IF($M398="I",INDEX('완료 체험단'!$A$4:$A$2000,$N398),IF($M398="T","합계",""))))</f>
        <v/>
      </c>
      <c r="C398" s="29" t="str">
        <f>IF($M398="H",$L398&amp;"건",IF($M398="C","사이트",IF($M398="I",INDEX('완료 체험단'!$C$4:$C$2000,$N398),IF($M398="T",$L398&amp;"건",""))))</f>
        <v/>
      </c>
      <c r="D398" s="30" t="str">
        <f>IF($M398="C","방문일",IF($M398="I",INDEX('완료 체험단'!$D$4:$D$2000,$N398),""))</f>
        <v/>
      </c>
      <c r="E398" s="25" t="str">
        <f>IF($M398="H","제공금액 "&amp;TEXT(INDEX($U$5:$U$16,$J398),"#,##0")&amp;"원",IF($M398="C","제공금액",IF($M398="I",INDEX('완료 체험단'!$F$4:$F$2000,$N398),IF($M398="T",INDEX($U$5:$U$16,$J398),""))))</f>
        <v/>
      </c>
      <c r="F398" s="25" t="str">
        <f>IF($M398="H","결제금액 "&amp;TEXT(INDEX($V$5:$V$16,$J398),"#,##0")&amp;"원",IF($M398="C","결제금액",IF($M398="I",INDEX('완료 체험단'!$G$4:$G$2000,$N398),IF($M398="T",INDEX($V$5:$V$16,$J398),""))))</f>
        <v/>
      </c>
      <c r="G398" s="25" t="str">
        <f>IF($M398="H","실수익 "&amp;TEXT(INDEX($W$5:$W$16,$J398),"#,##0")&amp;"원",IF($M398="C","실수익",IF($M398="I",INDEX('완료 체험단'!$H$4:$H$2000,$N398),IF($M398="T",INDEX($W$5:$W$16,$J398),""))))</f>
        <v/>
      </c>
      <c r="I398" s="31">
        <f>ROWS(I$5:I398)</f>
        <v>394</v>
      </c>
      <c r="J398" t="str">
        <f t="shared" si="27"/>
        <v/>
      </c>
      <c r="K398" t="str">
        <f t="shared" si="28"/>
        <v/>
      </c>
      <c r="L398" t="str">
        <f t="shared" si="29"/>
        <v/>
      </c>
      <c r="M398" t="str">
        <f t="shared" si="30"/>
        <v/>
      </c>
      <c r="N398" t="str">
        <f>IF($M398="I",MATCH(SMALL('완료 체험단'!$K$4:$K$2000,INDEX($T$5:$T$16,$J398)+$K398-2),'완료 체험단'!$K$4:$K$2000,0),"")</f>
        <v/>
      </c>
    </row>
    <row r="399" spans="2:14">
      <c r="B399" s="23" t="str">
        <f>IF($M399="H",$J399&amp;"월",IF($M399="C","매장명",IF($M399="I",INDEX('완료 체험단'!$A$4:$A$2000,$N399),IF($M399="T","합계",""))))</f>
        <v/>
      </c>
      <c r="C399" s="29" t="str">
        <f>IF($M399="H",$L399&amp;"건",IF($M399="C","사이트",IF($M399="I",INDEX('완료 체험단'!$C$4:$C$2000,$N399),IF($M399="T",$L399&amp;"건",""))))</f>
        <v/>
      </c>
      <c r="D399" s="30" t="str">
        <f>IF($M399="C","방문일",IF($M399="I",INDEX('완료 체험단'!$D$4:$D$2000,$N399),""))</f>
        <v/>
      </c>
      <c r="E399" s="25" t="str">
        <f>IF($M399="H","제공금액 "&amp;TEXT(INDEX($U$5:$U$16,$J399),"#,##0")&amp;"원",IF($M399="C","제공금액",IF($M399="I",INDEX('완료 체험단'!$F$4:$F$2000,$N399),IF($M399="T",INDEX($U$5:$U$16,$J399),""))))</f>
        <v/>
      </c>
      <c r="F399" s="25" t="str">
        <f>IF($M399="H","결제금액 "&amp;TEXT(INDEX($V$5:$V$16,$J399),"#,##0")&amp;"원",IF($M399="C","결제금액",IF($M399="I",INDEX('완료 체험단'!$G$4:$G$2000,$N399),IF($M399="T",INDEX($V$5:$V$16,$J399),""))))</f>
        <v/>
      </c>
      <c r="G399" s="25" t="str">
        <f>IF($M399="H","실수익 "&amp;TEXT(INDEX($W$5:$W$16,$J399),"#,##0")&amp;"원",IF($M399="C","실수익",IF($M399="I",INDEX('완료 체험단'!$H$4:$H$2000,$N399),IF($M399="T",INDEX($W$5:$W$16,$J399),""))))</f>
        <v/>
      </c>
      <c r="I399" s="31">
        <f>ROWS(I$5:I399)</f>
        <v>395</v>
      </c>
      <c r="J399" t="str">
        <f t="shared" si="27"/>
        <v/>
      </c>
      <c r="K399" t="str">
        <f t="shared" si="28"/>
        <v/>
      </c>
      <c r="L399" t="str">
        <f t="shared" si="29"/>
        <v/>
      </c>
      <c r="M399" t="str">
        <f t="shared" si="30"/>
        <v/>
      </c>
      <c r="N399" t="str">
        <f>IF($M399="I",MATCH(SMALL('완료 체험단'!$K$4:$K$2000,INDEX($T$5:$T$16,$J399)+$K399-2),'완료 체험단'!$K$4:$K$2000,0),"")</f>
        <v/>
      </c>
    </row>
    <row r="400" spans="2:14">
      <c r="B400" s="23" t="str">
        <f>IF($M400="H",$J400&amp;"월",IF($M400="C","매장명",IF($M400="I",INDEX('완료 체험단'!$A$4:$A$2000,$N400),IF($M400="T","합계",""))))</f>
        <v/>
      </c>
      <c r="C400" s="29" t="str">
        <f>IF($M400="H",$L400&amp;"건",IF($M400="C","사이트",IF($M400="I",INDEX('완료 체험단'!$C$4:$C$2000,$N400),IF($M400="T",$L400&amp;"건",""))))</f>
        <v/>
      </c>
      <c r="D400" s="30" t="str">
        <f>IF($M400="C","방문일",IF($M400="I",INDEX('완료 체험단'!$D$4:$D$2000,$N400),""))</f>
        <v/>
      </c>
      <c r="E400" s="25" t="str">
        <f>IF($M400="H","제공금액 "&amp;TEXT(INDEX($U$5:$U$16,$J400),"#,##0")&amp;"원",IF($M400="C","제공금액",IF($M400="I",INDEX('완료 체험단'!$F$4:$F$2000,$N400),IF($M400="T",INDEX($U$5:$U$16,$J400),""))))</f>
        <v/>
      </c>
      <c r="F400" s="25" t="str">
        <f>IF($M400="H","결제금액 "&amp;TEXT(INDEX($V$5:$V$16,$J400),"#,##0")&amp;"원",IF($M400="C","결제금액",IF($M400="I",INDEX('완료 체험단'!$G$4:$G$2000,$N400),IF($M400="T",INDEX($V$5:$V$16,$J400),""))))</f>
        <v/>
      </c>
      <c r="G400" s="25" t="str">
        <f>IF($M400="H","실수익 "&amp;TEXT(INDEX($W$5:$W$16,$J400),"#,##0")&amp;"원",IF($M400="C","실수익",IF($M400="I",INDEX('완료 체험단'!$H$4:$H$2000,$N400),IF($M400="T",INDEX($W$5:$W$16,$J400),""))))</f>
        <v/>
      </c>
      <c r="I400" s="31">
        <f>ROWS(I$5:I400)</f>
        <v>396</v>
      </c>
      <c r="J400" t="str">
        <f t="shared" si="27"/>
        <v/>
      </c>
      <c r="K400" t="str">
        <f t="shared" si="28"/>
        <v/>
      </c>
      <c r="L400" t="str">
        <f t="shared" si="29"/>
        <v/>
      </c>
      <c r="M400" t="str">
        <f t="shared" si="30"/>
        <v/>
      </c>
      <c r="N400" t="str">
        <f>IF($M400="I",MATCH(SMALL('완료 체험단'!$K$4:$K$2000,INDEX($T$5:$T$16,$J400)+$K400-2),'완료 체험단'!$K$4:$K$2000,0),"")</f>
        <v/>
      </c>
    </row>
    <row r="401" spans="2:14">
      <c r="B401" s="23" t="str">
        <f>IF($M401="H",$J401&amp;"월",IF($M401="C","매장명",IF($M401="I",INDEX('완료 체험단'!$A$4:$A$2000,$N401),IF($M401="T","합계",""))))</f>
        <v/>
      </c>
      <c r="C401" s="29" t="str">
        <f>IF($M401="H",$L401&amp;"건",IF($M401="C","사이트",IF($M401="I",INDEX('완료 체험단'!$C$4:$C$2000,$N401),IF($M401="T",$L401&amp;"건",""))))</f>
        <v/>
      </c>
      <c r="D401" s="30" t="str">
        <f>IF($M401="C","방문일",IF($M401="I",INDEX('완료 체험단'!$D$4:$D$2000,$N401),""))</f>
        <v/>
      </c>
      <c r="E401" s="25" t="str">
        <f>IF($M401="H","제공금액 "&amp;TEXT(INDEX($U$5:$U$16,$J401),"#,##0")&amp;"원",IF($M401="C","제공금액",IF($M401="I",INDEX('완료 체험단'!$F$4:$F$2000,$N401),IF($M401="T",INDEX($U$5:$U$16,$J401),""))))</f>
        <v/>
      </c>
      <c r="F401" s="25" t="str">
        <f>IF($M401="H","결제금액 "&amp;TEXT(INDEX($V$5:$V$16,$J401),"#,##0")&amp;"원",IF($M401="C","결제금액",IF($M401="I",INDEX('완료 체험단'!$G$4:$G$2000,$N401),IF($M401="T",INDEX($V$5:$V$16,$J401),""))))</f>
        <v/>
      </c>
      <c r="G401" s="25" t="str">
        <f>IF($M401="H","실수익 "&amp;TEXT(INDEX($W$5:$W$16,$J401),"#,##0")&amp;"원",IF($M401="C","실수익",IF($M401="I",INDEX('완료 체험단'!$H$4:$H$2000,$N401),IF($M401="T",INDEX($W$5:$W$16,$J401),""))))</f>
        <v/>
      </c>
      <c r="I401" s="31">
        <f>ROWS(I$5:I401)</f>
        <v>397</v>
      </c>
      <c r="J401" t="str">
        <f t="shared" si="27"/>
        <v/>
      </c>
      <c r="K401" t="str">
        <f t="shared" si="28"/>
        <v/>
      </c>
      <c r="L401" t="str">
        <f t="shared" si="29"/>
        <v/>
      </c>
      <c r="M401" t="str">
        <f t="shared" si="30"/>
        <v/>
      </c>
      <c r="N401" t="str">
        <f>IF($M401="I",MATCH(SMALL('완료 체험단'!$K$4:$K$2000,INDEX($T$5:$T$16,$J401)+$K401-2),'완료 체험단'!$K$4:$K$2000,0),"")</f>
        <v/>
      </c>
    </row>
    <row r="402" spans="2:14">
      <c r="B402" s="23" t="str">
        <f>IF($M402="H",$J402&amp;"월",IF($M402="C","매장명",IF($M402="I",INDEX('완료 체험단'!$A$4:$A$2000,$N402),IF($M402="T","합계",""))))</f>
        <v/>
      </c>
      <c r="C402" s="29" t="str">
        <f>IF($M402="H",$L402&amp;"건",IF($M402="C","사이트",IF($M402="I",INDEX('완료 체험단'!$C$4:$C$2000,$N402),IF($M402="T",$L402&amp;"건",""))))</f>
        <v/>
      </c>
      <c r="D402" s="30" t="str">
        <f>IF($M402="C","방문일",IF($M402="I",INDEX('완료 체험단'!$D$4:$D$2000,$N402),""))</f>
        <v/>
      </c>
      <c r="E402" s="25" t="str">
        <f>IF($M402="H","제공금액 "&amp;TEXT(INDEX($U$5:$U$16,$J402),"#,##0")&amp;"원",IF($M402="C","제공금액",IF($M402="I",INDEX('완료 체험단'!$F$4:$F$2000,$N402),IF($M402="T",INDEX($U$5:$U$16,$J402),""))))</f>
        <v/>
      </c>
      <c r="F402" s="25" t="str">
        <f>IF($M402="H","결제금액 "&amp;TEXT(INDEX($V$5:$V$16,$J402),"#,##0")&amp;"원",IF($M402="C","결제금액",IF($M402="I",INDEX('완료 체험단'!$G$4:$G$2000,$N402),IF($M402="T",INDEX($V$5:$V$16,$J402),""))))</f>
        <v/>
      </c>
      <c r="G402" s="25" t="str">
        <f>IF($M402="H","실수익 "&amp;TEXT(INDEX($W$5:$W$16,$J402),"#,##0")&amp;"원",IF($M402="C","실수익",IF($M402="I",INDEX('완료 체험단'!$H$4:$H$2000,$N402),IF($M402="T",INDEX($W$5:$W$16,$J402),""))))</f>
        <v/>
      </c>
      <c r="I402" s="31">
        <f>ROWS(I$5:I402)</f>
        <v>398</v>
      </c>
      <c r="J402" t="str">
        <f t="shared" si="27"/>
        <v/>
      </c>
      <c r="K402" t="str">
        <f t="shared" si="28"/>
        <v/>
      </c>
      <c r="L402" t="str">
        <f t="shared" si="29"/>
        <v/>
      </c>
      <c r="M402" t="str">
        <f t="shared" si="30"/>
        <v/>
      </c>
      <c r="N402" t="str">
        <f>IF($M402="I",MATCH(SMALL('완료 체험단'!$K$4:$K$2000,INDEX($T$5:$T$16,$J402)+$K402-2),'완료 체험단'!$K$4:$K$2000,0),"")</f>
        <v/>
      </c>
    </row>
    <row r="403" spans="2:14">
      <c r="B403" s="23" t="str">
        <f>IF($M403="H",$J403&amp;"월",IF($M403="C","매장명",IF($M403="I",INDEX('완료 체험단'!$A$4:$A$2000,$N403),IF($M403="T","합계",""))))</f>
        <v/>
      </c>
      <c r="C403" s="29" t="str">
        <f>IF($M403="H",$L403&amp;"건",IF($M403="C","사이트",IF($M403="I",INDEX('완료 체험단'!$C$4:$C$2000,$N403),IF($M403="T",$L403&amp;"건",""))))</f>
        <v/>
      </c>
      <c r="D403" s="30" t="str">
        <f>IF($M403="C","방문일",IF($M403="I",INDEX('완료 체험단'!$D$4:$D$2000,$N403),""))</f>
        <v/>
      </c>
      <c r="E403" s="25" t="str">
        <f>IF($M403="H","제공금액 "&amp;TEXT(INDEX($U$5:$U$16,$J403),"#,##0")&amp;"원",IF($M403="C","제공금액",IF($M403="I",INDEX('완료 체험단'!$F$4:$F$2000,$N403),IF($M403="T",INDEX($U$5:$U$16,$J403),""))))</f>
        <v/>
      </c>
      <c r="F403" s="25" t="str">
        <f>IF($M403="H","결제금액 "&amp;TEXT(INDEX($V$5:$V$16,$J403),"#,##0")&amp;"원",IF($M403="C","결제금액",IF($M403="I",INDEX('완료 체험단'!$G$4:$G$2000,$N403),IF($M403="T",INDEX($V$5:$V$16,$J403),""))))</f>
        <v/>
      </c>
      <c r="G403" s="25" t="str">
        <f>IF($M403="H","실수익 "&amp;TEXT(INDEX($W$5:$W$16,$J403),"#,##0")&amp;"원",IF($M403="C","실수익",IF($M403="I",INDEX('완료 체험단'!$H$4:$H$2000,$N403),IF($M403="T",INDEX($W$5:$W$16,$J403),""))))</f>
        <v/>
      </c>
      <c r="I403" s="31">
        <f>ROWS(I$5:I403)</f>
        <v>399</v>
      </c>
      <c r="J403" t="str">
        <f t="shared" si="27"/>
        <v/>
      </c>
      <c r="K403" t="str">
        <f t="shared" si="28"/>
        <v/>
      </c>
      <c r="L403" t="str">
        <f t="shared" si="29"/>
        <v/>
      </c>
      <c r="M403" t="str">
        <f t="shared" si="30"/>
        <v/>
      </c>
      <c r="N403" t="str">
        <f>IF($M403="I",MATCH(SMALL('완료 체험단'!$K$4:$K$2000,INDEX($T$5:$T$16,$J403)+$K403-2),'완료 체험단'!$K$4:$K$2000,0),"")</f>
        <v/>
      </c>
    </row>
    <row r="404" spans="2:14">
      <c r="B404" s="23" t="str">
        <f>IF($M404="H",$J404&amp;"월",IF($M404="C","매장명",IF($M404="I",INDEX('완료 체험단'!$A$4:$A$2000,$N404),IF($M404="T","합계",""))))</f>
        <v/>
      </c>
      <c r="C404" s="29" t="str">
        <f>IF($M404="H",$L404&amp;"건",IF($M404="C","사이트",IF($M404="I",INDEX('완료 체험단'!$C$4:$C$2000,$N404),IF($M404="T",$L404&amp;"건",""))))</f>
        <v/>
      </c>
      <c r="D404" s="30" t="str">
        <f>IF($M404="C","방문일",IF($M404="I",INDEX('완료 체험단'!$D$4:$D$2000,$N404),""))</f>
        <v/>
      </c>
      <c r="E404" s="25" t="str">
        <f>IF($M404="H","제공금액 "&amp;TEXT(INDEX($U$5:$U$16,$J404),"#,##0")&amp;"원",IF($M404="C","제공금액",IF($M404="I",INDEX('완료 체험단'!$F$4:$F$2000,$N404),IF($M404="T",INDEX($U$5:$U$16,$J404),""))))</f>
        <v/>
      </c>
      <c r="F404" s="25" t="str">
        <f>IF($M404="H","결제금액 "&amp;TEXT(INDEX($V$5:$V$16,$J404),"#,##0")&amp;"원",IF($M404="C","결제금액",IF($M404="I",INDEX('완료 체험단'!$G$4:$G$2000,$N404),IF($M404="T",INDEX($V$5:$V$16,$J404),""))))</f>
        <v/>
      </c>
      <c r="G404" s="25" t="str">
        <f>IF($M404="H","실수익 "&amp;TEXT(INDEX($W$5:$W$16,$J404),"#,##0")&amp;"원",IF($M404="C","실수익",IF($M404="I",INDEX('완료 체험단'!$H$4:$H$2000,$N404),IF($M404="T",INDEX($W$5:$W$16,$J404),""))))</f>
        <v/>
      </c>
      <c r="I404" s="31">
        <f>ROWS(I$5:I404)</f>
        <v>400</v>
      </c>
      <c r="J404" t="str">
        <f t="shared" si="27"/>
        <v/>
      </c>
      <c r="K404" t="str">
        <f t="shared" si="28"/>
        <v/>
      </c>
      <c r="L404" t="str">
        <f t="shared" si="29"/>
        <v/>
      </c>
      <c r="M404" t="str">
        <f t="shared" si="30"/>
        <v/>
      </c>
      <c r="N404" t="str">
        <f>IF($M404="I",MATCH(SMALL('완료 체험단'!$K$4:$K$2000,INDEX($T$5:$T$16,$J404)+$K404-2),'완료 체험단'!$K$4:$K$2000,0),"")</f>
        <v/>
      </c>
    </row>
    <row r="405" spans="2:14">
      <c r="B405" s="23" t="str">
        <f>IF($M405="H",$J405&amp;"월",IF($M405="C","매장명",IF($M405="I",INDEX('완료 체험단'!$A$4:$A$2000,$N405),IF($M405="T","합계",""))))</f>
        <v/>
      </c>
      <c r="C405" s="29" t="str">
        <f>IF($M405="H",$L405&amp;"건",IF($M405="C","사이트",IF($M405="I",INDEX('완료 체험단'!$C$4:$C$2000,$N405),IF($M405="T",$L405&amp;"건",""))))</f>
        <v/>
      </c>
      <c r="D405" s="30" t="str">
        <f>IF($M405="C","방문일",IF($M405="I",INDEX('완료 체험단'!$D$4:$D$2000,$N405),""))</f>
        <v/>
      </c>
      <c r="E405" s="25" t="str">
        <f>IF($M405="H","제공금액 "&amp;TEXT(INDEX($U$5:$U$16,$J405),"#,##0")&amp;"원",IF($M405="C","제공금액",IF($M405="I",INDEX('완료 체험단'!$F$4:$F$2000,$N405),IF($M405="T",INDEX($U$5:$U$16,$J405),""))))</f>
        <v/>
      </c>
      <c r="F405" s="25" t="str">
        <f>IF($M405="H","결제금액 "&amp;TEXT(INDEX($V$5:$V$16,$J405),"#,##0")&amp;"원",IF($M405="C","결제금액",IF($M405="I",INDEX('완료 체험단'!$G$4:$G$2000,$N405),IF($M405="T",INDEX($V$5:$V$16,$J405),""))))</f>
        <v/>
      </c>
      <c r="G405" s="25" t="str">
        <f>IF($M405="H","실수익 "&amp;TEXT(INDEX($W$5:$W$16,$J405),"#,##0")&amp;"원",IF($M405="C","실수익",IF($M405="I",INDEX('완료 체험단'!$H$4:$H$2000,$N405),IF($M405="T",INDEX($W$5:$W$16,$J405),""))))</f>
        <v/>
      </c>
      <c r="I405" s="31">
        <f>ROWS(I$5:I405)</f>
        <v>401</v>
      </c>
      <c r="J405" t="str">
        <f t="shared" si="27"/>
        <v/>
      </c>
      <c r="K405" t="str">
        <f t="shared" si="28"/>
        <v/>
      </c>
      <c r="L405" t="str">
        <f t="shared" si="29"/>
        <v/>
      </c>
      <c r="M405" t="str">
        <f t="shared" si="30"/>
        <v/>
      </c>
      <c r="N405" t="str">
        <f>IF($M405="I",MATCH(SMALL('완료 체험단'!$K$4:$K$2000,INDEX($T$5:$T$16,$J405)+$K405-2),'완료 체험단'!$K$4:$K$2000,0),"")</f>
        <v/>
      </c>
    </row>
    <row r="406" spans="2:14">
      <c r="B406" s="23" t="str">
        <f>IF($M406="H",$J406&amp;"월",IF($M406="C","매장명",IF($M406="I",INDEX('완료 체험단'!$A$4:$A$2000,$N406),IF($M406="T","합계",""))))</f>
        <v/>
      </c>
      <c r="C406" s="29" t="str">
        <f>IF($M406="H",$L406&amp;"건",IF($M406="C","사이트",IF($M406="I",INDEX('완료 체험단'!$C$4:$C$2000,$N406),IF($M406="T",$L406&amp;"건",""))))</f>
        <v/>
      </c>
      <c r="D406" s="30" t="str">
        <f>IF($M406="C","방문일",IF($M406="I",INDEX('완료 체험단'!$D$4:$D$2000,$N406),""))</f>
        <v/>
      </c>
      <c r="E406" s="25" t="str">
        <f>IF($M406="H","제공금액 "&amp;TEXT(INDEX($U$5:$U$16,$J406),"#,##0")&amp;"원",IF($M406="C","제공금액",IF($M406="I",INDEX('완료 체험단'!$F$4:$F$2000,$N406),IF($M406="T",INDEX($U$5:$U$16,$J406),""))))</f>
        <v/>
      </c>
      <c r="F406" s="25" t="str">
        <f>IF($M406="H","결제금액 "&amp;TEXT(INDEX($V$5:$V$16,$J406),"#,##0")&amp;"원",IF($M406="C","결제금액",IF($M406="I",INDEX('완료 체험단'!$G$4:$G$2000,$N406),IF($M406="T",INDEX($V$5:$V$16,$J406),""))))</f>
        <v/>
      </c>
      <c r="G406" s="25" t="str">
        <f>IF($M406="H","실수익 "&amp;TEXT(INDEX($W$5:$W$16,$J406),"#,##0")&amp;"원",IF($M406="C","실수익",IF($M406="I",INDEX('완료 체험단'!$H$4:$H$2000,$N406),IF($M406="T",INDEX($W$5:$W$16,$J406),""))))</f>
        <v/>
      </c>
      <c r="I406" s="31">
        <f>ROWS(I$5:I406)</f>
        <v>402</v>
      </c>
      <c r="J406" t="str">
        <f t="shared" si="27"/>
        <v/>
      </c>
      <c r="K406" t="str">
        <f t="shared" si="28"/>
        <v/>
      </c>
      <c r="L406" t="str">
        <f t="shared" si="29"/>
        <v/>
      </c>
      <c r="M406" t="str">
        <f t="shared" si="30"/>
        <v/>
      </c>
      <c r="N406" t="str">
        <f>IF($M406="I",MATCH(SMALL('완료 체험단'!$K$4:$K$2000,INDEX($T$5:$T$16,$J406)+$K406-2),'완료 체험단'!$K$4:$K$2000,0),"")</f>
        <v/>
      </c>
    </row>
    <row r="407" spans="2:14">
      <c r="B407" s="23" t="str">
        <f>IF($M407="H",$J407&amp;"월",IF($M407="C","매장명",IF($M407="I",INDEX('완료 체험단'!$A$4:$A$2000,$N407),IF($M407="T","합계",""))))</f>
        <v/>
      </c>
      <c r="C407" s="29" t="str">
        <f>IF($M407="H",$L407&amp;"건",IF($M407="C","사이트",IF($M407="I",INDEX('완료 체험단'!$C$4:$C$2000,$N407),IF($M407="T",$L407&amp;"건",""))))</f>
        <v/>
      </c>
      <c r="D407" s="30" t="str">
        <f>IF($M407="C","방문일",IF($M407="I",INDEX('완료 체험단'!$D$4:$D$2000,$N407),""))</f>
        <v/>
      </c>
      <c r="E407" s="25" t="str">
        <f>IF($M407="H","제공금액 "&amp;TEXT(INDEX($U$5:$U$16,$J407),"#,##0")&amp;"원",IF($M407="C","제공금액",IF($M407="I",INDEX('완료 체험단'!$F$4:$F$2000,$N407),IF($M407="T",INDEX($U$5:$U$16,$J407),""))))</f>
        <v/>
      </c>
      <c r="F407" s="25" t="str">
        <f>IF($M407="H","결제금액 "&amp;TEXT(INDEX($V$5:$V$16,$J407),"#,##0")&amp;"원",IF($M407="C","결제금액",IF($M407="I",INDEX('완료 체험단'!$G$4:$G$2000,$N407),IF($M407="T",INDEX($V$5:$V$16,$J407),""))))</f>
        <v/>
      </c>
      <c r="G407" s="25" t="str">
        <f>IF($M407="H","실수익 "&amp;TEXT(INDEX($W$5:$W$16,$J407),"#,##0")&amp;"원",IF($M407="C","실수익",IF($M407="I",INDEX('완료 체험단'!$H$4:$H$2000,$N407),IF($M407="T",INDEX($W$5:$W$16,$J407),""))))</f>
        <v/>
      </c>
      <c r="I407" s="31">
        <f>ROWS(I$5:I407)</f>
        <v>403</v>
      </c>
      <c r="J407" t="str">
        <f t="shared" si="27"/>
        <v/>
      </c>
      <c r="K407" t="str">
        <f t="shared" si="28"/>
        <v/>
      </c>
      <c r="L407" t="str">
        <f t="shared" si="29"/>
        <v/>
      </c>
      <c r="M407" t="str">
        <f t="shared" si="30"/>
        <v/>
      </c>
      <c r="N407" t="str">
        <f>IF($M407="I",MATCH(SMALL('완료 체험단'!$K$4:$K$2000,INDEX($T$5:$T$16,$J407)+$K407-2),'완료 체험단'!$K$4:$K$2000,0),"")</f>
        <v/>
      </c>
    </row>
    <row r="408" spans="2:14">
      <c r="B408" s="23" t="str">
        <f>IF($M408="H",$J408&amp;"월",IF($M408="C","매장명",IF($M408="I",INDEX('완료 체험단'!$A$4:$A$2000,$N408),IF($M408="T","합계",""))))</f>
        <v/>
      </c>
      <c r="C408" s="29" t="str">
        <f>IF($M408="H",$L408&amp;"건",IF($M408="C","사이트",IF($M408="I",INDEX('완료 체험단'!$C$4:$C$2000,$N408),IF($M408="T",$L408&amp;"건",""))))</f>
        <v/>
      </c>
      <c r="D408" s="30" t="str">
        <f>IF($M408="C","방문일",IF($M408="I",INDEX('완료 체험단'!$D$4:$D$2000,$N408),""))</f>
        <v/>
      </c>
      <c r="E408" s="25" t="str">
        <f>IF($M408="H","제공금액 "&amp;TEXT(INDEX($U$5:$U$16,$J408),"#,##0")&amp;"원",IF($M408="C","제공금액",IF($M408="I",INDEX('완료 체험단'!$F$4:$F$2000,$N408),IF($M408="T",INDEX($U$5:$U$16,$J408),""))))</f>
        <v/>
      </c>
      <c r="F408" s="25" t="str">
        <f>IF($M408="H","결제금액 "&amp;TEXT(INDEX($V$5:$V$16,$J408),"#,##0")&amp;"원",IF($M408="C","결제금액",IF($M408="I",INDEX('완료 체험단'!$G$4:$G$2000,$N408),IF($M408="T",INDEX($V$5:$V$16,$J408),""))))</f>
        <v/>
      </c>
      <c r="G408" s="25" t="str">
        <f>IF($M408="H","실수익 "&amp;TEXT(INDEX($W$5:$W$16,$J408),"#,##0")&amp;"원",IF($M408="C","실수익",IF($M408="I",INDEX('완료 체험단'!$H$4:$H$2000,$N408),IF($M408="T",INDEX($W$5:$W$16,$J408),""))))</f>
        <v/>
      </c>
      <c r="I408" s="31">
        <f>ROWS(I$5:I408)</f>
        <v>404</v>
      </c>
      <c r="J408" t="str">
        <f t="shared" si="27"/>
        <v/>
      </c>
      <c r="K408" t="str">
        <f t="shared" si="28"/>
        <v/>
      </c>
      <c r="L408" t="str">
        <f t="shared" si="29"/>
        <v/>
      </c>
      <c r="M408" t="str">
        <f t="shared" si="30"/>
        <v/>
      </c>
      <c r="N408" t="str">
        <f>IF($M408="I",MATCH(SMALL('완료 체험단'!$K$4:$K$2000,INDEX($T$5:$T$16,$J408)+$K408-2),'완료 체험단'!$K$4:$K$2000,0),"")</f>
        <v/>
      </c>
    </row>
    <row r="409" spans="2:14">
      <c r="B409" s="23" t="str">
        <f>IF($M409="H",$J409&amp;"월",IF($M409="C","매장명",IF($M409="I",INDEX('완료 체험단'!$A$4:$A$2000,$N409),IF($M409="T","합계",""))))</f>
        <v/>
      </c>
      <c r="C409" s="29" t="str">
        <f>IF($M409="H",$L409&amp;"건",IF($M409="C","사이트",IF($M409="I",INDEX('완료 체험단'!$C$4:$C$2000,$N409),IF($M409="T",$L409&amp;"건",""))))</f>
        <v/>
      </c>
      <c r="D409" s="30" t="str">
        <f>IF($M409="C","방문일",IF($M409="I",INDEX('완료 체험단'!$D$4:$D$2000,$N409),""))</f>
        <v/>
      </c>
      <c r="E409" s="25" t="str">
        <f>IF($M409="H","제공금액 "&amp;TEXT(INDEX($U$5:$U$16,$J409),"#,##0")&amp;"원",IF($M409="C","제공금액",IF($M409="I",INDEX('완료 체험단'!$F$4:$F$2000,$N409),IF($M409="T",INDEX($U$5:$U$16,$J409),""))))</f>
        <v/>
      </c>
      <c r="F409" s="25" t="str">
        <f>IF($M409="H","결제금액 "&amp;TEXT(INDEX($V$5:$V$16,$J409),"#,##0")&amp;"원",IF($M409="C","결제금액",IF($M409="I",INDEX('완료 체험단'!$G$4:$G$2000,$N409),IF($M409="T",INDEX($V$5:$V$16,$J409),""))))</f>
        <v/>
      </c>
      <c r="G409" s="25" t="str">
        <f>IF($M409="H","실수익 "&amp;TEXT(INDEX($W$5:$W$16,$J409),"#,##0")&amp;"원",IF($M409="C","실수익",IF($M409="I",INDEX('완료 체험단'!$H$4:$H$2000,$N409),IF($M409="T",INDEX($W$5:$W$16,$J409),""))))</f>
        <v/>
      </c>
      <c r="I409" s="31">
        <f>ROWS(I$5:I409)</f>
        <v>405</v>
      </c>
      <c r="J409" t="str">
        <f t="shared" si="27"/>
        <v/>
      </c>
      <c r="K409" t="str">
        <f t="shared" si="28"/>
        <v/>
      </c>
      <c r="L409" t="str">
        <f t="shared" si="29"/>
        <v/>
      </c>
      <c r="M409" t="str">
        <f t="shared" si="30"/>
        <v/>
      </c>
      <c r="N409" t="str">
        <f>IF($M409="I",MATCH(SMALL('완료 체험단'!$K$4:$K$2000,INDEX($T$5:$T$16,$J409)+$K409-2),'완료 체험단'!$K$4:$K$2000,0),"")</f>
        <v/>
      </c>
    </row>
    <row r="410" spans="2:14">
      <c r="B410" s="23" t="str">
        <f>IF($M410="H",$J410&amp;"월",IF($M410="C","매장명",IF($M410="I",INDEX('완료 체험단'!$A$4:$A$2000,$N410),IF($M410="T","합계",""))))</f>
        <v/>
      </c>
      <c r="C410" s="29" t="str">
        <f>IF($M410="H",$L410&amp;"건",IF($M410="C","사이트",IF($M410="I",INDEX('완료 체험단'!$C$4:$C$2000,$N410),IF($M410="T",$L410&amp;"건",""))))</f>
        <v/>
      </c>
      <c r="D410" s="30" t="str">
        <f>IF($M410="C","방문일",IF($M410="I",INDEX('완료 체험단'!$D$4:$D$2000,$N410),""))</f>
        <v/>
      </c>
      <c r="E410" s="25" t="str">
        <f>IF($M410="H","제공금액 "&amp;TEXT(INDEX($U$5:$U$16,$J410),"#,##0")&amp;"원",IF($M410="C","제공금액",IF($M410="I",INDEX('완료 체험단'!$F$4:$F$2000,$N410),IF($M410="T",INDEX($U$5:$U$16,$J410),""))))</f>
        <v/>
      </c>
      <c r="F410" s="25" t="str">
        <f>IF($M410="H","결제금액 "&amp;TEXT(INDEX($V$5:$V$16,$J410),"#,##0")&amp;"원",IF($M410="C","결제금액",IF($M410="I",INDEX('완료 체험단'!$G$4:$G$2000,$N410),IF($M410="T",INDEX($V$5:$V$16,$J410),""))))</f>
        <v/>
      </c>
      <c r="G410" s="25" t="str">
        <f>IF($M410="H","실수익 "&amp;TEXT(INDEX($W$5:$W$16,$J410),"#,##0")&amp;"원",IF($M410="C","실수익",IF($M410="I",INDEX('완료 체험단'!$H$4:$H$2000,$N410),IF($M410="T",INDEX($W$5:$W$16,$J410),""))))</f>
        <v/>
      </c>
      <c r="I410" s="31">
        <f>ROWS(I$5:I410)</f>
        <v>406</v>
      </c>
      <c r="J410" t="str">
        <f t="shared" si="27"/>
        <v/>
      </c>
      <c r="K410" t="str">
        <f t="shared" si="28"/>
        <v/>
      </c>
      <c r="L410" t="str">
        <f t="shared" si="29"/>
        <v/>
      </c>
      <c r="M410" t="str">
        <f t="shared" si="30"/>
        <v/>
      </c>
      <c r="N410" t="str">
        <f>IF($M410="I",MATCH(SMALL('완료 체험단'!$K$4:$K$2000,INDEX($T$5:$T$16,$J410)+$K410-2),'완료 체험단'!$K$4:$K$2000,0),"")</f>
        <v/>
      </c>
    </row>
    <row r="411" spans="2:14">
      <c r="B411" s="23" t="str">
        <f>IF($M411="H",$J411&amp;"월",IF($M411="C","매장명",IF($M411="I",INDEX('완료 체험단'!$A$4:$A$2000,$N411),IF($M411="T","합계",""))))</f>
        <v/>
      </c>
      <c r="C411" s="29" t="str">
        <f>IF($M411="H",$L411&amp;"건",IF($M411="C","사이트",IF($M411="I",INDEX('완료 체험단'!$C$4:$C$2000,$N411),IF($M411="T",$L411&amp;"건",""))))</f>
        <v/>
      </c>
      <c r="D411" s="30" t="str">
        <f>IF($M411="C","방문일",IF($M411="I",INDEX('완료 체험단'!$D$4:$D$2000,$N411),""))</f>
        <v/>
      </c>
      <c r="E411" s="25" t="str">
        <f>IF($M411="H","제공금액 "&amp;TEXT(INDEX($U$5:$U$16,$J411),"#,##0")&amp;"원",IF($M411="C","제공금액",IF($M411="I",INDEX('완료 체험단'!$F$4:$F$2000,$N411),IF($M411="T",INDEX($U$5:$U$16,$J411),""))))</f>
        <v/>
      </c>
      <c r="F411" s="25" t="str">
        <f>IF($M411="H","결제금액 "&amp;TEXT(INDEX($V$5:$V$16,$J411),"#,##0")&amp;"원",IF($M411="C","결제금액",IF($M411="I",INDEX('완료 체험단'!$G$4:$G$2000,$N411),IF($M411="T",INDEX($V$5:$V$16,$J411),""))))</f>
        <v/>
      </c>
      <c r="G411" s="25" t="str">
        <f>IF($M411="H","실수익 "&amp;TEXT(INDEX($W$5:$W$16,$J411),"#,##0")&amp;"원",IF($M411="C","실수익",IF($M411="I",INDEX('완료 체험단'!$H$4:$H$2000,$N411),IF($M411="T",INDEX($W$5:$W$16,$J411),""))))</f>
        <v/>
      </c>
      <c r="I411" s="31">
        <f>ROWS(I$5:I411)</f>
        <v>407</v>
      </c>
      <c r="J411" t="str">
        <f t="shared" si="27"/>
        <v/>
      </c>
      <c r="K411" t="str">
        <f t="shared" si="28"/>
        <v/>
      </c>
      <c r="L411" t="str">
        <f t="shared" si="29"/>
        <v/>
      </c>
      <c r="M411" t="str">
        <f t="shared" si="30"/>
        <v/>
      </c>
      <c r="N411" t="str">
        <f>IF($M411="I",MATCH(SMALL('완료 체험단'!$K$4:$K$2000,INDEX($T$5:$T$16,$J411)+$K411-2),'완료 체험단'!$K$4:$K$2000,0),"")</f>
        <v/>
      </c>
    </row>
    <row r="412" spans="2:14">
      <c r="B412" s="23" t="str">
        <f>IF($M412="H",$J412&amp;"월",IF($M412="C","매장명",IF($M412="I",INDEX('완료 체험단'!$A$4:$A$2000,$N412),IF($M412="T","합계",""))))</f>
        <v/>
      </c>
      <c r="C412" s="29" t="str">
        <f>IF($M412="H",$L412&amp;"건",IF($M412="C","사이트",IF($M412="I",INDEX('완료 체험단'!$C$4:$C$2000,$N412),IF($M412="T",$L412&amp;"건",""))))</f>
        <v/>
      </c>
      <c r="D412" s="30" t="str">
        <f>IF($M412="C","방문일",IF($M412="I",INDEX('완료 체험단'!$D$4:$D$2000,$N412),""))</f>
        <v/>
      </c>
      <c r="E412" s="25" t="str">
        <f>IF($M412="H","제공금액 "&amp;TEXT(INDEX($U$5:$U$16,$J412),"#,##0")&amp;"원",IF($M412="C","제공금액",IF($M412="I",INDEX('완료 체험단'!$F$4:$F$2000,$N412),IF($M412="T",INDEX($U$5:$U$16,$J412),""))))</f>
        <v/>
      </c>
      <c r="F412" s="25" t="str">
        <f>IF($M412="H","결제금액 "&amp;TEXT(INDEX($V$5:$V$16,$J412),"#,##0")&amp;"원",IF($M412="C","결제금액",IF($M412="I",INDEX('완료 체험단'!$G$4:$G$2000,$N412),IF($M412="T",INDEX($V$5:$V$16,$J412),""))))</f>
        <v/>
      </c>
      <c r="G412" s="25" t="str">
        <f>IF($M412="H","실수익 "&amp;TEXT(INDEX($W$5:$W$16,$J412),"#,##0")&amp;"원",IF($M412="C","실수익",IF($M412="I",INDEX('완료 체험단'!$H$4:$H$2000,$N412),IF($M412="T",INDEX($W$5:$W$16,$J412),""))))</f>
        <v/>
      </c>
      <c r="I412" s="31">
        <f>ROWS(I$5:I412)</f>
        <v>408</v>
      </c>
      <c r="J412" t="str">
        <f t="shared" si="27"/>
        <v/>
      </c>
      <c r="K412" t="str">
        <f t="shared" si="28"/>
        <v/>
      </c>
      <c r="L412" t="str">
        <f t="shared" si="29"/>
        <v/>
      </c>
      <c r="M412" t="str">
        <f t="shared" si="30"/>
        <v/>
      </c>
      <c r="N412" t="str">
        <f>IF($M412="I",MATCH(SMALL('완료 체험단'!$K$4:$K$2000,INDEX($T$5:$T$16,$J412)+$K412-2),'완료 체험단'!$K$4:$K$2000,0),"")</f>
        <v/>
      </c>
    </row>
    <row r="413" spans="2:14">
      <c r="B413" s="23" t="str">
        <f>IF($M413="H",$J413&amp;"월",IF($M413="C","매장명",IF($M413="I",INDEX('완료 체험단'!$A$4:$A$2000,$N413),IF($M413="T","합계",""))))</f>
        <v/>
      </c>
      <c r="C413" s="29" t="str">
        <f>IF($M413="H",$L413&amp;"건",IF($M413="C","사이트",IF($M413="I",INDEX('완료 체험단'!$C$4:$C$2000,$N413),IF($M413="T",$L413&amp;"건",""))))</f>
        <v/>
      </c>
      <c r="D413" s="30" t="str">
        <f>IF($M413="C","방문일",IF($M413="I",INDEX('완료 체험단'!$D$4:$D$2000,$N413),""))</f>
        <v/>
      </c>
      <c r="E413" s="25" t="str">
        <f>IF($M413="H","제공금액 "&amp;TEXT(INDEX($U$5:$U$16,$J413),"#,##0")&amp;"원",IF($M413="C","제공금액",IF($M413="I",INDEX('완료 체험단'!$F$4:$F$2000,$N413),IF($M413="T",INDEX($U$5:$U$16,$J413),""))))</f>
        <v/>
      </c>
      <c r="F413" s="25" t="str">
        <f>IF($M413="H","결제금액 "&amp;TEXT(INDEX($V$5:$V$16,$J413),"#,##0")&amp;"원",IF($M413="C","결제금액",IF($M413="I",INDEX('완료 체험단'!$G$4:$G$2000,$N413),IF($M413="T",INDEX($V$5:$V$16,$J413),""))))</f>
        <v/>
      </c>
      <c r="G413" s="25" t="str">
        <f>IF($M413="H","실수익 "&amp;TEXT(INDEX($W$5:$W$16,$J413),"#,##0")&amp;"원",IF($M413="C","실수익",IF($M413="I",INDEX('완료 체험단'!$H$4:$H$2000,$N413),IF($M413="T",INDEX($W$5:$W$16,$J413),""))))</f>
        <v/>
      </c>
      <c r="I413" s="31">
        <f>ROWS(I$5:I413)</f>
        <v>409</v>
      </c>
      <c r="J413" t="str">
        <f t="shared" si="27"/>
        <v/>
      </c>
      <c r="K413" t="str">
        <f t="shared" si="28"/>
        <v/>
      </c>
      <c r="L413" t="str">
        <f t="shared" si="29"/>
        <v/>
      </c>
      <c r="M413" t="str">
        <f t="shared" si="30"/>
        <v/>
      </c>
      <c r="N413" t="str">
        <f>IF($M413="I",MATCH(SMALL('완료 체험단'!$K$4:$K$2000,INDEX($T$5:$T$16,$J413)+$K413-2),'완료 체험단'!$K$4:$K$2000,0),"")</f>
        <v/>
      </c>
    </row>
    <row r="414" spans="2:14">
      <c r="B414" s="23" t="str">
        <f>IF($M414="H",$J414&amp;"월",IF($M414="C","매장명",IF($M414="I",INDEX('완료 체험단'!$A$4:$A$2000,$N414),IF($M414="T","합계",""))))</f>
        <v/>
      </c>
      <c r="C414" s="29" t="str">
        <f>IF($M414="H",$L414&amp;"건",IF($M414="C","사이트",IF($M414="I",INDEX('완료 체험단'!$C$4:$C$2000,$N414),IF($M414="T",$L414&amp;"건",""))))</f>
        <v/>
      </c>
      <c r="D414" s="30" t="str">
        <f>IF($M414="C","방문일",IF($M414="I",INDEX('완료 체험단'!$D$4:$D$2000,$N414),""))</f>
        <v/>
      </c>
      <c r="E414" s="25" t="str">
        <f>IF($M414="H","제공금액 "&amp;TEXT(INDEX($U$5:$U$16,$J414),"#,##0")&amp;"원",IF($M414="C","제공금액",IF($M414="I",INDEX('완료 체험단'!$F$4:$F$2000,$N414),IF($M414="T",INDEX($U$5:$U$16,$J414),""))))</f>
        <v/>
      </c>
      <c r="F414" s="25" t="str">
        <f>IF($M414="H","결제금액 "&amp;TEXT(INDEX($V$5:$V$16,$J414),"#,##0")&amp;"원",IF($M414="C","결제금액",IF($M414="I",INDEX('완료 체험단'!$G$4:$G$2000,$N414),IF($M414="T",INDEX($V$5:$V$16,$J414),""))))</f>
        <v/>
      </c>
      <c r="G414" s="25" t="str">
        <f>IF($M414="H","실수익 "&amp;TEXT(INDEX($W$5:$W$16,$J414),"#,##0")&amp;"원",IF($M414="C","실수익",IF($M414="I",INDEX('완료 체험단'!$H$4:$H$2000,$N414),IF($M414="T",INDEX($W$5:$W$16,$J414),""))))</f>
        <v/>
      </c>
      <c r="I414" s="31">
        <f>ROWS(I$5:I414)</f>
        <v>410</v>
      </c>
      <c r="J414" t="str">
        <f t="shared" si="27"/>
        <v/>
      </c>
      <c r="K414" t="str">
        <f t="shared" si="28"/>
        <v/>
      </c>
      <c r="L414" t="str">
        <f t="shared" si="29"/>
        <v/>
      </c>
      <c r="M414" t="str">
        <f t="shared" si="30"/>
        <v/>
      </c>
      <c r="N414" t="str">
        <f>IF($M414="I",MATCH(SMALL('완료 체험단'!$K$4:$K$2000,INDEX($T$5:$T$16,$J414)+$K414-2),'완료 체험단'!$K$4:$K$2000,0),"")</f>
        <v/>
      </c>
    </row>
    <row r="415" spans="2:14">
      <c r="B415" s="23" t="str">
        <f>IF($M415="H",$J415&amp;"월",IF($M415="C","매장명",IF($M415="I",INDEX('완료 체험단'!$A$4:$A$2000,$N415),IF($M415="T","합계",""))))</f>
        <v/>
      </c>
      <c r="C415" s="29" t="str">
        <f>IF($M415="H",$L415&amp;"건",IF($M415="C","사이트",IF($M415="I",INDEX('완료 체험단'!$C$4:$C$2000,$N415),IF($M415="T",$L415&amp;"건",""))))</f>
        <v/>
      </c>
      <c r="D415" s="30" t="str">
        <f>IF($M415="C","방문일",IF($M415="I",INDEX('완료 체험단'!$D$4:$D$2000,$N415),""))</f>
        <v/>
      </c>
      <c r="E415" s="25" t="str">
        <f>IF($M415="H","제공금액 "&amp;TEXT(INDEX($U$5:$U$16,$J415),"#,##0")&amp;"원",IF($M415="C","제공금액",IF($M415="I",INDEX('완료 체험단'!$F$4:$F$2000,$N415),IF($M415="T",INDEX($U$5:$U$16,$J415),""))))</f>
        <v/>
      </c>
      <c r="F415" s="25" t="str">
        <f>IF($M415="H","결제금액 "&amp;TEXT(INDEX($V$5:$V$16,$J415),"#,##0")&amp;"원",IF($M415="C","결제금액",IF($M415="I",INDEX('완료 체험단'!$G$4:$G$2000,$N415),IF($M415="T",INDEX($V$5:$V$16,$J415),""))))</f>
        <v/>
      </c>
      <c r="G415" s="25" t="str">
        <f>IF($M415="H","실수익 "&amp;TEXT(INDEX($W$5:$W$16,$J415),"#,##0")&amp;"원",IF($M415="C","실수익",IF($M415="I",INDEX('완료 체험단'!$H$4:$H$2000,$N415),IF($M415="T",INDEX($W$5:$W$16,$J415),""))))</f>
        <v/>
      </c>
      <c r="I415" s="31">
        <f>ROWS(I$5:I415)</f>
        <v>411</v>
      </c>
      <c r="J415" t="str">
        <f t="shared" si="27"/>
        <v/>
      </c>
      <c r="K415" t="str">
        <f t="shared" si="28"/>
        <v/>
      </c>
      <c r="L415" t="str">
        <f t="shared" si="29"/>
        <v/>
      </c>
      <c r="M415" t="str">
        <f t="shared" si="30"/>
        <v/>
      </c>
      <c r="N415" t="str">
        <f>IF($M415="I",MATCH(SMALL('완료 체험단'!$K$4:$K$2000,INDEX($T$5:$T$16,$J415)+$K415-2),'완료 체험단'!$K$4:$K$2000,0),"")</f>
        <v/>
      </c>
    </row>
    <row r="416" spans="2:14">
      <c r="B416" s="23" t="str">
        <f>IF($M416="H",$J416&amp;"월",IF($M416="C","매장명",IF($M416="I",INDEX('완료 체험단'!$A$4:$A$2000,$N416),IF($M416="T","합계",""))))</f>
        <v/>
      </c>
      <c r="C416" s="29" t="str">
        <f>IF($M416="H",$L416&amp;"건",IF($M416="C","사이트",IF($M416="I",INDEX('완료 체험단'!$C$4:$C$2000,$N416),IF($M416="T",$L416&amp;"건",""))))</f>
        <v/>
      </c>
      <c r="D416" s="30" t="str">
        <f>IF($M416="C","방문일",IF($M416="I",INDEX('완료 체험단'!$D$4:$D$2000,$N416),""))</f>
        <v/>
      </c>
      <c r="E416" s="25" t="str">
        <f>IF($M416="H","제공금액 "&amp;TEXT(INDEX($U$5:$U$16,$J416),"#,##0")&amp;"원",IF($M416="C","제공금액",IF($M416="I",INDEX('완료 체험단'!$F$4:$F$2000,$N416),IF($M416="T",INDEX($U$5:$U$16,$J416),""))))</f>
        <v/>
      </c>
      <c r="F416" s="25" t="str">
        <f>IF($M416="H","결제금액 "&amp;TEXT(INDEX($V$5:$V$16,$J416),"#,##0")&amp;"원",IF($M416="C","결제금액",IF($M416="I",INDEX('완료 체험단'!$G$4:$G$2000,$N416),IF($M416="T",INDEX($V$5:$V$16,$J416),""))))</f>
        <v/>
      </c>
      <c r="G416" s="25" t="str">
        <f>IF($M416="H","실수익 "&amp;TEXT(INDEX($W$5:$W$16,$J416),"#,##0")&amp;"원",IF($M416="C","실수익",IF($M416="I",INDEX('완료 체험단'!$H$4:$H$2000,$N416),IF($M416="T",INDEX($W$5:$W$16,$J416),""))))</f>
        <v/>
      </c>
      <c r="I416" s="31">
        <f>ROWS(I$5:I416)</f>
        <v>412</v>
      </c>
      <c r="J416" t="str">
        <f t="shared" si="27"/>
        <v/>
      </c>
      <c r="K416" t="str">
        <f t="shared" si="28"/>
        <v/>
      </c>
      <c r="L416" t="str">
        <f t="shared" si="29"/>
        <v/>
      </c>
      <c r="M416" t="str">
        <f t="shared" si="30"/>
        <v/>
      </c>
      <c r="N416" t="str">
        <f>IF($M416="I",MATCH(SMALL('완료 체험단'!$K$4:$K$2000,INDEX($T$5:$T$16,$J416)+$K416-2),'완료 체험단'!$K$4:$K$2000,0),"")</f>
        <v/>
      </c>
    </row>
    <row r="417" spans="2:14">
      <c r="B417" s="23" t="str">
        <f>IF($M417="H",$J417&amp;"월",IF($M417="C","매장명",IF($M417="I",INDEX('완료 체험단'!$A$4:$A$2000,$N417),IF($M417="T","합계",""))))</f>
        <v/>
      </c>
      <c r="C417" s="29" t="str">
        <f>IF($M417="H",$L417&amp;"건",IF($M417="C","사이트",IF($M417="I",INDEX('완료 체험단'!$C$4:$C$2000,$N417),IF($M417="T",$L417&amp;"건",""))))</f>
        <v/>
      </c>
      <c r="D417" s="30" t="str">
        <f>IF($M417="C","방문일",IF($M417="I",INDEX('완료 체험단'!$D$4:$D$2000,$N417),""))</f>
        <v/>
      </c>
      <c r="E417" s="25" t="str">
        <f>IF($M417="H","제공금액 "&amp;TEXT(INDEX($U$5:$U$16,$J417),"#,##0")&amp;"원",IF($M417="C","제공금액",IF($M417="I",INDEX('완료 체험단'!$F$4:$F$2000,$N417),IF($M417="T",INDEX($U$5:$U$16,$J417),""))))</f>
        <v/>
      </c>
      <c r="F417" s="25" t="str">
        <f>IF($M417="H","결제금액 "&amp;TEXT(INDEX($V$5:$V$16,$J417),"#,##0")&amp;"원",IF($M417="C","결제금액",IF($M417="I",INDEX('완료 체험단'!$G$4:$G$2000,$N417),IF($M417="T",INDEX($V$5:$V$16,$J417),""))))</f>
        <v/>
      </c>
      <c r="G417" s="25" t="str">
        <f>IF($M417="H","실수익 "&amp;TEXT(INDEX($W$5:$W$16,$J417),"#,##0")&amp;"원",IF($M417="C","실수익",IF($M417="I",INDEX('완료 체험단'!$H$4:$H$2000,$N417),IF($M417="T",INDEX($W$5:$W$16,$J417),""))))</f>
        <v/>
      </c>
      <c r="I417" s="31">
        <f>ROWS(I$5:I417)</f>
        <v>413</v>
      </c>
      <c r="J417" t="str">
        <f t="shared" si="27"/>
        <v/>
      </c>
      <c r="K417" t="str">
        <f t="shared" si="28"/>
        <v/>
      </c>
      <c r="L417" t="str">
        <f t="shared" si="29"/>
        <v/>
      </c>
      <c r="M417" t="str">
        <f t="shared" si="30"/>
        <v/>
      </c>
      <c r="N417" t="str">
        <f>IF($M417="I",MATCH(SMALL('완료 체험단'!$K$4:$K$2000,INDEX($T$5:$T$16,$J417)+$K417-2),'완료 체험단'!$K$4:$K$2000,0),"")</f>
        <v/>
      </c>
    </row>
    <row r="418" spans="2:14">
      <c r="B418" s="23" t="str">
        <f>IF($M418="H",$J418&amp;"월",IF($M418="C","매장명",IF($M418="I",INDEX('완료 체험단'!$A$4:$A$2000,$N418),IF($M418="T","합계",""))))</f>
        <v/>
      </c>
      <c r="C418" s="29" t="str">
        <f>IF($M418="H",$L418&amp;"건",IF($M418="C","사이트",IF($M418="I",INDEX('완료 체험단'!$C$4:$C$2000,$N418),IF($M418="T",$L418&amp;"건",""))))</f>
        <v/>
      </c>
      <c r="D418" s="30" t="str">
        <f>IF($M418="C","방문일",IF($M418="I",INDEX('완료 체험단'!$D$4:$D$2000,$N418),""))</f>
        <v/>
      </c>
      <c r="E418" s="25" t="str">
        <f>IF($M418="H","제공금액 "&amp;TEXT(INDEX($U$5:$U$16,$J418),"#,##0")&amp;"원",IF($M418="C","제공금액",IF($M418="I",INDEX('완료 체험단'!$F$4:$F$2000,$N418),IF($M418="T",INDEX($U$5:$U$16,$J418),""))))</f>
        <v/>
      </c>
      <c r="F418" s="25" t="str">
        <f>IF($M418="H","결제금액 "&amp;TEXT(INDEX($V$5:$V$16,$J418),"#,##0")&amp;"원",IF($M418="C","결제금액",IF($M418="I",INDEX('완료 체험단'!$G$4:$G$2000,$N418),IF($M418="T",INDEX($V$5:$V$16,$J418),""))))</f>
        <v/>
      </c>
      <c r="G418" s="25" t="str">
        <f>IF($M418="H","실수익 "&amp;TEXT(INDEX($W$5:$W$16,$J418),"#,##0")&amp;"원",IF($M418="C","실수익",IF($M418="I",INDEX('완료 체험단'!$H$4:$H$2000,$N418),IF($M418="T",INDEX($W$5:$W$16,$J418),""))))</f>
        <v/>
      </c>
      <c r="I418" s="31">
        <f>ROWS(I$5:I418)</f>
        <v>414</v>
      </c>
      <c r="J418" t="str">
        <f t="shared" si="27"/>
        <v/>
      </c>
      <c r="K418" t="str">
        <f t="shared" si="28"/>
        <v/>
      </c>
      <c r="L418" t="str">
        <f t="shared" si="29"/>
        <v/>
      </c>
      <c r="M418" t="str">
        <f t="shared" si="30"/>
        <v/>
      </c>
      <c r="N418" t="str">
        <f>IF($M418="I",MATCH(SMALL('완료 체험단'!$K$4:$K$2000,INDEX($T$5:$T$16,$J418)+$K418-2),'완료 체험단'!$K$4:$K$2000,0),"")</f>
        <v/>
      </c>
    </row>
    <row r="419" spans="2:14">
      <c r="B419" s="23" t="str">
        <f>IF($M419="H",$J419&amp;"월",IF($M419="C","매장명",IF($M419="I",INDEX('완료 체험단'!$A$4:$A$2000,$N419),IF($M419="T","합계",""))))</f>
        <v/>
      </c>
      <c r="C419" s="29" t="str">
        <f>IF($M419="H",$L419&amp;"건",IF($M419="C","사이트",IF($M419="I",INDEX('완료 체험단'!$C$4:$C$2000,$N419),IF($M419="T",$L419&amp;"건",""))))</f>
        <v/>
      </c>
      <c r="D419" s="30" t="str">
        <f>IF($M419="C","방문일",IF($M419="I",INDEX('완료 체험단'!$D$4:$D$2000,$N419),""))</f>
        <v/>
      </c>
      <c r="E419" s="25" t="str">
        <f>IF($M419="H","제공금액 "&amp;TEXT(INDEX($U$5:$U$16,$J419),"#,##0")&amp;"원",IF($M419="C","제공금액",IF($M419="I",INDEX('완료 체험단'!$F$4:$F$2000,$N419),IF($M419="T",INDEX($U$5:$U$16,$J419),""))))</f>
        <v/>
      </c>
      <c r="F419" s="25" t="str">
        <f>IF($M419="H","결제금액 "&amp;TEXT(INDEX($V$5:$V$16,$J419),"#,##0")&amp;"원",IF($M419="C","결제금액",IF($M419="I",INDEX('완료 체험단'!$G$4:$G$2000,$N419),IF($M419="T",INDEX($V$5:$V$16,$J419),""))))</f>
        <v/>
      </c>
      <c r="G419" s="25" t="str">
        <f>IF($M419="H","실수익 "&amp;TEXT(INDEX($W$5:$W$16,$J419),"#,##0")&amp;"원",IF($M419="C","실수익",IF($M419="I",INDEX('완료 체험단'!$H$4:$H$2000,$N419),IF($M419="T",INDEX($W$5:$W$16,$J419),""))))</f>
        <v/>
      </c>
      <c r="I419" s="31">
        <f>ROWS(I$5:I419)</f>
        <v>415</v>
      </c>
      <c r="J419" t="str">
        <f t="shared" si="27"/>
        <v/>
      </c>
      <c r="K419" t="str">
        <f t="shared" si="28"/>
        <v/>
      </c>
      <c r="L419" t="str">
        <f t="shared" si="29"/>
        <v/>
      </c>
      <c r="M419" t="str">
        <f t="shared" si="30"/>
        <v/>
      </c>
      <c r="N419" t="str">
        <f>IF($M419="I",MATCH(SMALL('완료 체험단'!$K$4:$K$2000,INDEX($T$5:$T$16,$J419)+$K419-2),'완료 체험단'!$K$4:$K$2000,0),"")</f>
        <v/>
      </c>
    </row>
    <row r="420" spans="2:14">
      <c r="B420" s="23" t="str">
        <f>IF($M420="H",$J420&amp;"월",IF($M420="C","매장명",IF($M420="I",INDEX('완료 체험단'!$A$4:$A$2000,$N420),IF($M420="T","합계",""))))</f>
        <v/>
      </c>
      <c r="C420" s="29" t="str">
        <f>IF($M420="H",$L420&amp;"건",IF($M420="C","사이트",IF($M420="I",INDEX('완료 체험단'!$C$4:$C$2000,$N420),IF($M420="T",$L420&amp;"건",""))))</f>
        <v/>
      </c>
      <c r="D420" s="30" t="str">
        <f>IF($M420="C","방문일",IF($M420="I",INDEX('완료 체험단'!$D$4:$D$2000,$N420),""))</f>
        <v/>
      </c>
      <c r="E420" s="25" t="str">
        <f>IF($M420="H","제공금액 "&amp;TEXT(INDEX($U$5:$U$16,$J420),"#,##0")&amp;"원",IF($M420="C","제공금액",IF($M420="I",INDEX('완료 체험단'!$F$4:$F$2000,$N420),IF($M420="T",INDEX($U$5:$U$16,$J420),""))))</f>
        <v/>
      </c>
      <c r="F420" s="25" t="str">
        <f>IF($M420="H","결제금액 "&amp;TEXT(INDEX($V$5:$V$16,$J420),"#,##0")&amp;"원",IF($M420="C","결제금액",IF($M420="I",INDEX('완료 체험단'!$G$4:$G$2000,$N420),IF($M420="T",INDEX($V$5:$V$16,$J420),""))))</f>
        <v/>
      </c>
      <c r="G420" s="25" t="str">
        <f>IF($M420="H","실수익 "&amp;TEXT(INDEX($W$5:$W$16,$J420),"#,##0")&amp;"원",IF($M420="C","실수익",IF($M420="I",INDEX('완료 체험단'!$H$4:$H$2000,$N420),IF($M420="T",INDEX($W$5:$W$16,$J420),""))))</f>
        <v/>
      </c>
      <c r="I420" s="31">
        <f>ROWS(I$5:I420)</f>
        <v>416</v>
      </c>
      <c r="J420" t="str">
        <f t="shared" si="27"/>
        <v/>
      </c>
      <c r="K420" t="str">
        <f t="shared" si="28"/>
        <v/>
      </c>
      <c r="L420" t="str">
        <f t="shared" si="29"/>
        <v/>
      </c>
      <c r="M420" t="str">
        <f t="shared" si="30"/>
        <v/>
      </c>
      <c r="N420" t="str">
        <f>IF($M420="I",MATCH(SMALL('완료 체험단'!$K$4:$K$2000,INDEX($T$5:$T$16,$J420)+$K420-2),'완료 체험단'!$K$4:$K$2000,0),"")</f>
        <v/>
      </c>
    </row>
    <row r="421" spans="2:14">
      <c r="B421" s="23" t="str">
        <f>IF($M421="H",$J421&amp;"월",IF($M421="C","매장명",IF($M421="I",INDEX('완료 체험단'!$A$4:$A$2000,$N421),IF($M421="T","합계",""))))</f>
        <v/>
      </c>
      <c r="C421" s="29" t="str">
        <f>IF($M421="H",$L421&amp;"건",IF($M421="C","사이트",IF($M421="I",INDEX('완료 체험단'!$C$4:$C$2000,$N421),IF($M421="T",$L421&amp;"건",""))))</f>
        <v/>
      </c>
      <c r="D421" s="30" t="str">
        <f>IF($M421="C","방문일",IF($M421="I",INDEX('완료 체험단'!$D$4:$D$2000,$N421),""))</f>
        <v/>
      </c>
      <c r="E421" s="25" t="str">
        <f>IF($M421="H","제공금액 "&amp;TEXT(INDEX($U$5:$U$16,$J421),"#,##0")&amp;"원",IF($M421="C","제공금액",IF($M421="I",INDEX('완료 체험단'!$F$4:$F$2000,$N421),IF($M421="T",INDEX($U$5:$U$16,$J421),""))))</f>
        <v/>
      </c>
      <c r="F421" s="25" t="str">
        <f>IF($M421="H","결제금액 "&amp;TEXT(INDEX($V$5:$V$16,$J421),"#,##0")&amp;"원",IF($M421="C","결제금액",IF($M421="I",INDEX('완료 체험단'!$G$4:$G$2000,$N421),IF($M421="T",INDEX($V$5:$V$16,$J421),""))))</f>
        <v/>
      </c>
      <c r="G421" s="25" t="str">
        <f>IF($M421="H","실수익 "&amp;TEXT(INDEX($W$5:$W$16,$J421),"#,##0")&amp;"원",IF($M421="C","실수익",IF($M421="I",INDEX('완료 체험단'!$H$4:$H$2000,$N421),IF($M421="T",INDEX($W$5:$W$16,$J421),""))))</f>
        <v/>
      </c>
      <c r="I421" s="31">
        <f>ROWS(I$5:I421)</f>
        <v>417</v>
      </c>
      <c r="J421" t="str">
        <f t="shared" si="27"/>
        <v/>
      </c>
      <c r="K421" t="str">
        <f t="shared" si="28"/>
        <v/>
      </c>
      <c r="L421" t="str">
        <f t="shared" si="29"/>
        <v/>
      </c>
      <c r="M421" t="str">
        <f t="shared" si="30"/>
        <v/>
      </c>
      <c r="N421" t="str">
        <f>IF($M421="I",MATCH(SMALL('완료 체험단'!$K$4:$K$2000,INDEX($T$5:$T$16,$J421)+$K421-2),'완료 체험단'!$K$4:$K$2000,0),"")</f>
        <v/>
      </c>
    </row>
    <row r="422" spans="2:14">
      <c r="B422" s="23" t="str">
        <f>IF($M422="H",$J422&amp;"월",IF($M422="C","매장명",IF($M422="I",INDEX('완료 체험단'!$A$4:$A$2000,$N422),IF($M422="T","합계",""))))</f>
        <v/>
      </c>
      <c r="C422" s="29" t="str">
        <f>IF($M422="H",$L422&amp;"건",IF($M422="C","사이트",IF($M422="I",INDEX('완료 체험단'!$C$4:$C$2000,$N422),IF($M422="T",$L422&amp;"건",""))))</f>
        <v/>
      </c>
      <c r="D422" s="30" t="str">
        <f>IF($M422="C","방문일",IF($M422="I",INDEX('완료 체험단'!$D$4:$D$2000,$N422),""))</f>
        <v/>
      </c>
      <c r="E422" s="25" t="str">
        <f>IF($M422="H","제공금액 "&amp;TEXT(INDEX($U$5:$U$16,$J422),"#,##0")&amp;"원",IF($M422="C","제공금액",IF($M422="I",INDEX('완료 체험단'!$F$4:$F$2000,$N422),IF($M422="T",INDEX($U$5:$U$16,$J422),""))))</f>
        <v/>
      </c>
      <c r="F422" s="25" t="str">
        <f>IF($M422="H","결제금액 "&amp;TEXT(INDEX($V$5:$V$16,$J422),"#,##0")&amp;"원",IF($M422="C","결제금액",IF($M422="I",INDEX('완료 체험단'!$G$4:$G$2000,$N422),IF($M422="T",INDEX($V$5:$V$16,$J422),""))))</f>
        <v/>
      </c>
      <c r="G422" s="25" t="str">
        <f>IF($M422="H","실수익 "&amp;TEXT(INDEX($W$5:$W$16,$J422),"#,##0")&amp;"원",IF($M422="C","실수익",IF($M422="I",INDEX('완료 체험단'!$H$4:$H$2000,$N422),IF($M422="T",INDEX($W$5:$W$16,$J422),""))))</f>
        <v/>
      </c>
      <c r="I422" s="31">
        <f>ROWS(I$5:I422)</f>
        <v>418</v>
      </c>
      <c r="J422" t="str">
        <f t="shared" si="27"/>
        <v/>
      </c>
      <c r="K422" t="str">
        <f t="shared" si="28"/>
        <v/>
      </c>
      <c r="L422" t="str">
        <f t="shared" si="29"/>
        <v/>
      </c>
      <c r="M422" t="str">
        <f t="shared" si="30"/>
        <v/>
      </c>
      <c r="N422" t="str">
        <f>IF($M422="I",MATCH(SMALL('완료 체험단'!$K$4:$K$2000,INDEX($T$5:$T$16,$J422)+$K422-2),'완료 체험단'!$K$4:$K$2000,0),"")</f>
        <v/>
      </c>
    </row>
    <row r="423" spans="2:14">
      <c r="B423" s="23" t="str">
        <f>IF($M423="H",$J423&amp;"월",IF($M423="C","매장명",IF($M423="I",INDEX('완료 체험단'!$A$4:$A$2000,$N423),IF($M423="T","합계",""))))</f>
        <v/>
      </c>
      <c r="C423" s="29" t="str">
        <f>IF($M423="H",$L423&amp;"건",IF($M423="C","사이트",IF($M423="I",INDEX('완료 체험단'!$C$4:$C$2000,$N423),IF($M423="T",$L423&amp;"건",""))))</f>
        <v/>
      </c>
      <c r="D423" s="30" t="str">
        <f>IF($M423="C","방문일",IF($M423="I",INDEX('완료 체험단'!$D$4:$D$2000,$N423),""))</f>
        <v/>
      </c>
      <c r="E423" s="25" t="str">
        <f>IF($M423="H","제공금액 "&amp;TEXT(INDEX($U$5:$U$16,$J423),"#,##0")&amp;"원",IF($M423="C","제공금액",IF($M423="I",INDEX('완료 체험단'!$F$4:$F$2000,$N423),IF($M423="T",INDEX($U$5:$U$16,$J423),""))))</f>
        <v/>
      </c>
      <c r="F423" s="25" t="str">
        <f>IF($M423="H","결제금액 "&amp;TEXT(INDEX($V$5:$V$16,$J423),"#,##0")&amp;"원",IF($M423="C","결제금액",IF($M423="I",INDEX('완료 체험단'!$G$4:$G$2000,$N423),IF($M423="T",INDEX($V$5:$V$16,$J423),""))))</f>
        <v/>
      </c>
      <c r="G423" s="25" t="str">
        <f>IF($M423="H","실수익 "&amp;TEXT(INDEX($W$5:$W$16,$J423),"#,##0")&amp;"원",IF($M423="C","실수익",IF($M423="I",INDEX('완료 체험단'!$H$4:$H$2000,$N423),IF($M423="T",INDEX($W$5:$W$16,$J423),""))))</f>
        <v/>
      </c>
      <c r="I423" s="31">
        <f>ROWS(I$5:I423)</f>
        <v>419</v>
      </c>
      <c r="J423" t="str">
        <f t="shared" si="27"/>
        <v/>
      </c>
      <c r="K423" t="str">
        <f t="shared" si="28"/>
        <v/>
      </c>
      <c r="L423" t="str">
        <f t="shared" si="29"/>
        <v/>
      </c>
      <c r="M423" t="str">
        <f t="shared" si="30"/>
        <v/>
      </c>
      <c r="N423" t="str">
        <f>IF($M423="I",MATCH(SMALL('완료 체험단'!$K$4:$K$2000,INDEX($T$5:$T$16,$J423)+$K423-2),'완료 체험단'!$K$4:$K$2000,0),"")</f>
        <v/>
      </c>
    </row>
    <row r="424" spans="2:14">
      <c r="B424" s="23" t="str">
        <f>IF($M424="H",$J424&amp;"월",IF($M424="C","매장명",IF($M424="I",INDEX('완료 체험단'!$A$4:$A$2000,$N424),IF($M424="T","합계",""))))</f>
        <v/>
      </c>
      <c r="C424" s="29" t="str">
        <f>IF($M424="H",$L424&amp;"건",IF($M424="C","사이트",IF($M424="I",INDEX('완료 체험단'!$C$4:$C$2000,$N424),IF($M424="T",$L424&amp;"건",""))))</f>
        <v/>
      </c>
      <c r="D424" s="30" t="str">
        <f>IF($M424="C","방문일",IF($M424="I",INDEX('완료 체험단'!$D$4:$D$2000,$N424),""))</f>
        <v/>
      </c>
      <c r="E424" s="25" t="str">
        <f>IF($M424="H","제공금액 "&amp;TEXT(INDEX($U$5:$U$16,$J424),"#,##0")&amp;"원",IF($M424="C","제공금액",IF($M424="I",INDEX('완료 체험단'!$F$4:$F$2000,$N424),IF($M424="T",INDEX($U$5:$U$16,$J424),""))))</f>
        <v/>
      </c>
      <c r="F424" s="25" t="str">
        <f>IF($M424="H","결제금액 "&amp;TEXT(INDEX($V$5:$V$16,$J424),"#,##0")&amp;"원",IF($M424="C","결제금액",IF($M424="I",INDEX('완료 체험단'!$G$4:$G$2000,$N424),IF($M424="T",INDEX($V$5:$V$16,$J424),""))))</f>
        <v/>
      </c>
      <c r="G424" s="25" t="str">
        <f>IF($M424="H","실수익 "&amp;TEXT(INDEX($W$5:$W$16,$J424),"#,##0")&amp;"원",IF($M424="C","실수익",IF($M424="I",INDEX('완료 체험단'!$H$4:$H$2000,$N424),IF($M424="T",INDEX($W$5:$W$16,$J424),""))))</f>
        <v/>
      </c>
      <c r="I424" s="31">
        <f>ROWS(I$5:I424)</f>
        <v>420</v>
      </c>
      <c r="J424" t="str">
        <f t="shared" si="27"/>
        <v/>
      </c>
      <c r="K424" t="str">
        <f t="shared" si="28"/>
        <v/>
      </c>
      <c r="L424" t="str">
        <f t="shared" si="29"/>
        <v/>
      </c>
      <c r="M424" t="str">
        <f t="shared" si="30"/>
        <v/>
      </c>
      <c r="N424" t="str">
        <f>IF($M424="I",MATCH(SMALL('완료 체험단'!$K$4:$K$2000,INDEX($T$5:$T$16,$J424)+$K424-2),'완료 체험단'!$K$4:$K$2000,0),"")</f>
        <v/>
      </c>
    </row>
    <row r="425" spans="2:14">
      <c r="B425" s="23" t="str">
        <f>IF($M425="H",$J425&amp;"월",IF($M425="C","매장명",IF($M425="I",INDEX('완료 체험단'!$A$4:$A$2000,$N425),IF($M425="T","합계",""))))</f>
        <v/>
      </c>
      <c r="C425" s="29" t="str">
        <f>IF($M425="H",$L425&amp;"건",IF($M425="C","사이트",IF($M425="I",INDEX('완료 체험단'!$C$4:$C$2000,$N425),IF($M425="T",$L425&amp;"건",""))))</f>
        <v/>
      </c>
      <c r="D425" s="30" t="str">
        <f>IF($M425="C","방문일",IF($M425="I",INDEX('완료 체험단'!$D$4:$D$2000,$N425),""))</f>
        <v/>
      </c>
      <c r="E425" s="25" t="str">
        <f>IF($M425="H","제공금액 "&amp;TEXT(INDEX($U$5:$U$16,$J425),"#,##0")&amp;"원",IF($M425="C","제공금액",IF($M425="I",INDEX('완료 체험단'!$F$4:$F$2000,$N425),IF($M425="T",INDEX($U$5:$U$16,$J425),""))))</f>
        <v/>
      </c>
      <c r="F425" s="25" t="str">
        <f>IF($M425="H","결제금액 "&amp;TEXT(INDEX($V$5:$V$16,$J425),"#,##0")&amp;"원",IF($M425="C","결제금액",IF($M425="I",INDEX('완료 체험단'!$G$4:$G$2000,$N425),IF($M425="T",INDEX($V$5:$V$16,$J425),""))))</f>
        <v/>
      </c>
      <c r="G425" s="25" t="str">
        <f>IF($M425="H","실수익 "&amp;TEXT(INDEX($W$5:$W$16,$J425),"#,##0")&amp;"원",IF($M425="C","실수익",IF($M425="I",INDEX('완료 체험단'!$H$4:$H$2000,$N425),IF($M425="T",INDEX($W$5:$W$16,$J425),""))))</f>
        <v/>
      </c>
      <c r="I425" s="31">
        <f>ROWS(I$5:I425)</f>
        <v>421</v>
      </c>
      <c r="J425" t="str">
        <f t="shared" si="27"/>
        <v/>
      </c>
      <c r="K425" t="str">
        <f t="shared" si="28"/>
        <v/>
      </c>
      <c r="L425" t="str">
        <f t="shared" si="29"/>
        <v/>
      </c>
      <c r="M425" t="str">
        <f t="shared" si="30"/>
        <v/>
      </c>
      <c r="N425" t="str">
        <f>IF($M425="I",MATCH(SMALL('완료 체험단'!$K$4:$K$2000,INDEX($T$5:$T$16,$J425)+$K425-2),'완료 체험단'!$K$4:$K$2000,0),"")</f>
        <v/>
      </c>
    </row>
    <row r="426" spans="2:14">
      <c r="B426" s="23" t="str">
        <f>IF($M426="H",$J426&amp;"월",IF($M426="C","매장명",IF($M426="I",INDEX('완료 체험단'!$A$4:$A$2000,$N426),IF($M426="T","합계",""))))</f>
        <v/>
      </c>
      <c r="C426" s="29" t="str">
        <f>IF($M426="H",$L426&amp;"건",IF($M426="C","사이트",IF($M426="I",INDEX('완료 체험단'!$C$4:$C$2000,$N426),IF($M426="T",$L426&amp;"건",""))))</f>
        <v/>
      </c>
      <c r="D426" s="30" t="str">
        <f>IF($M426="C","방문일",IF($M426="I",INDEX('완료 체험단'!$D$4:$D$2000,$N426),""))</f>
        <v/>
      </c>
      <c r="E426" s="25" t="str">
        <f>IF($M426="H","제공금액 "&amp;TEXT(INDEX($U$5:$U$16,$J426),"#,##0")&amp;"원",IF($M426="C","제공금액",IF($M426="I",INDEX('완료 체험단'!$F$4:$F$2000,$N426),IF($M426="T",INDEX($U$5:$U$16,$J426),""))))</f>
        <v/>
      </c>
      <c r="F426" s="25" t="str">
        <f>IF($M426="H","결제금액 "&amp;TEXT(INDEX($V$5:$V$16,$J426),"#,##0")&amp;"원",IF($M426="C","결제금액",IF($M426="I",INDEX('완료 체험단'!$G$4:$G$2000,$N426),IF($M426="T",INDEX($V$5:$V$16,$J426),""))))</f>
        <v/>
      </c>
      <c r="G426" s="25" t="str">
        <f>IF($M426="H","실수익 "&amp;TEXT(INDEX($W$5:$W$16,$J426),"#,##0")&amp;"원",IF($M426="C","실수익",IF($M426="I",INDEX('완료 체험단'!$H$4:$H$2000,$N426),IF($M426="T",INDEX($W$5:$W$16,$J426),""))))</f>
        <v/>
      </c>
      <c r="I426" s="31">
        <f>ROWS(I$5:I426)</f>
        <v>422</v>
      </c>
      <c r="J426" t="str">
        <f t="shared" si="27"/>
        <v/>
      </c>
      <c r="K426" t="str">
        <f t="shared" si="28"/>
        <v/>
      </c>
      <c r="L426" t="str">
        <f t="shared" si="29"/>
        <v/>
      </c>
      <c r="M426" t="str">
        <f t="shared" si="30"/>
        <v/>
      </c>
      <c r="N426" t="str">
        <f>IF($M426="I",MATCH(SMALL('완료 체험단'!$K$4:$K$2000,INDEX($T$5:$T$16,$J426)+$K426-2),'완료 체험단'!$K$4:$K$2000,0),"")</f>
        <v/>
      </c>
    </row>
    <row r="427" spans="2:14">
      <c r="B427" s="23" t="str">
        <f>IF($M427="H",$J427&amp;"월",IF($M427="C","매장명",IF($M427="I",INDEX('완료 체험단'!$A$4:$A$2000,$N427),IF($M427="T","합계",""))))</f>
        <v/>
      </c>
      <c r="C427" s="29" t="str">
        <f>IF($M427="H",$L427&amp;"건",IF($M427="C","사이트",IF($M427="I",INDEX('완료 체험단'!$C$4:$C$2000,$N427),IF($M427="T",$L427&amp;"건",""))))</f>
        <v/>
      </c>
      <c r="D427" s="30" t="str">
        <f>IF($M427="C","방문일",IF($M427="I",INDEX('완료 체험단'!$D$4:$D$2000,$N427),""))</f>
        <v/>
      </c>
      <c r="E427" s="25" t="str">
        <f>IF($M427="H","제공금액 "&amp;TEXT(INDEX($U$5:$U$16,$J427),"#,##0")&amp;"원",IF($M427="C","제공금액",IF($M427="I",INDEX('완료 체험단'!$F$4:$F$2000,$N427),IF($M427="T",INDEX($U$5:$U$16,$J427),""))))</f>
        <v/>
      </c>
      <c r="F427" s="25" t="str">
        <f>IF($M427="H","결제금액 "&amp;TEXT(INDEX($V$5:$V$16,$J427),"#,##0")&amp;"원",IF($M427="C","결제금액",IF($M427="I",INDEX('완료 체험단'!$G$4:$G$2000,$N427),IF($M427="T",INDEX($V$5:$V$16,$J427),""))))</f>
        <v/>
      </c>
      <c r="G427" s="25" t="str">
        <f>IF($M427="H","실수익 "&amp;TEXT(INDEX($W$5:$W$16,$J427),"#,##0")&amp;"원",IF($M427="C","실수익",IF($M427="I",INDEX('완료 체험단'!$H$4:$H$2000,$N427),IF($M427="T",INDEX($W$5:$W$16,$J427),""))))</f>
        <v/>
      </c>
      <c r="I427" s="31">
        <f>ROWS(I$5:I427)</f>
        <v>423</v>
      </c>
      <c r="J427" t="str">
        <f t="shared" si="27"/>
        <v/>
      </c>
      <c r="K427" t="str">
        <f t="shared" si="28"/>
        <v/>
      </c>
      <c r="L427" t="str">
        <f t="shared" si="29"/>
        <v/>
      </c>
      <c r="M427" t="str">
        <f t="shared" si="30"/>
        <v/>
      </c>
      <c r="N427" t="str">
        <f>IF($M427="I",MATCH(SMALL('완료 체험단'!$K$4:$K$2000,INDEX($T$5:$T$16,$J427)+$K427-2),'완료 체험단'!$K$4:$K$2000,0),"")</f>
        <v/>
      </c>
    </row>
    <row r="428" spans="2:14">
      <c r="B428" s="23" t="str">
        <f>IF($M428="H",$J428&amp;"월",IF($M428="C","매장명",IF($M428="I",INDEX('완료 체험단'!$A$4:$A$2000,$N428),IF($M428="T","합계",""))))</f>
        <v/>
      </c>
      <c r="C428" s="29" t="str">
        <f>IF($M428="H",$L428&amp;"건",IF($M428="C","사이트",IF($M428="I",INDEX('완료 체험단'!$C$4:$C$2000,$N428),IF($M428="T",$L428&amp;"건",""))))</f>
        <v/>
      </c>
      <c r="D428" s="30" t="str">
        <f>IF($M428="C","방문일",IF($M428="I",INDEX('완료 체험단'!$D$4:$D$2000,$N428),""))</f>
        <v/>
      </c>
      <c r="E428" s="25" t="str">
        <f>IF($M428="H","제공금액 "&amp;TEXT(INDEX($U$5:$U$16,$J428),"#,##0")&amp;"원",IF($M428="C","제공금액",IF($M428="I",INDEX('완료 체험단'!$F$4:$F$2000,$N428),IF($M428="T",INDEX($U$5:$U$16,$J428),""))))</f>
        <v/>
      </c>
      <c r="F428" s="25" t="str">
        <f>IF($M428="H","결제금액 "&amp;TEXT(INDEX($V$5:$V$16,$J428),"#,##0")&amp;"원",IF($M428="C","결제금액",IF($M428="I",INDEX('완료 체험단'!$G$4:$G$2000,$N428),IF($M428="T",INDEX($V$5:$V$16,$J428),""))))</f>
        <v/>
      </c>
      <c r="G428" s="25" t="str">
        <f>IF($M428="H","실수익 "&amp;TEXT(INDEX($W$5:$W$16,$J428),"#,##0")&amp;"원",IF($M428="C","실수익",IF($M428="I",INDEX('완료 체험단'!$H$4:$H$2000,$N428),IF($M428="T",INDEX($W$5:$W$16,$J428),""))))</f>
        <v/>
      </c>
      <c r="I428" s="31">
        <f>ROWS(I$5:I428)</f>
        <v>424</v>
      </c>
      <c r="J428" t="str">
        <f t="shared" si="27"/>
        <v/>
      </c>
      <c r="K428" t="str">
        <f t="shared" si="28"/>
        <v/>
      </c>
      <c r="L428" t="str">
        <f t="shared" si="29"/>
        <v/>
      </c>
      <c r="M428" t="str">
        <f t="shared" si="30"/>
        <v/>
      </c>
      <c r="N428" t="str">
        <f>IF($M428="I",MATCH(SMALL('완료 체험단'!$K$4:$K$2000,INDEX($T$5:$T$16,$J428)+$K428-2),'완료 체험단'!$K$4:$K$2000,0),"")</f>
        <v/>
      </c>
    </row>
    <row r="429" spans="2:14">
      <c r="B429" s="23" t="str">
        <f>IF($M429="H",$J429&amp;"월",IF($M429="C","매장명",IF($M429="I",INDEX('완료 체험단'!$A$4:$A$2000,$N429),IF($M429="T","합계",""))))</f>
        <v/>
      </c>
      <c r="C429" s="29" t="str">
        <f>IF($M429="H",$L429&amp;"건",IF($M429="C","사이트",IF($M429="I",INDEX('완료 체험단'!$C$4:$C$2000,$N429),IF($M429="T",$L429&amp;"건",""))))</f>
        <v/>
      </c>
      <c r="D429" s="30" t="str">
        <f>IF($M429="C","방문일",IF($M429="I",INDEX('완료 체험단'!$D$4:$D$2000,$N429),""))</f>
        <v/>
      </c>
      <c r="E429" s="25" t="str">
        <f>IF($M429="H","제공금액 "&amp;TEXT(INDEX($U$5:$U$16,$J429),"#,##0")&amp;"원",IF($M429="C","제공금액",IF($M429="I",INDEX('완료 체험단'!$F$4:$F$2000,$N429),IF($M429="T",INDEX($U$5:$U$16,$J429),""))))</f>
        <v/>
      </c>
      <c r="F429" s="25" t="str">
        <f>IF($M429="H","결제금액 "&amp;TEXT(INDEX($V$5:$V$16,$J429),"#,##0")&amp;"원",IF($M429="C","결제금액",IF($M429="I",INDEX('완료 체험단'!$G$4:$G$2000,$N429),IF($M429="T",INDEX($V$5:$V$16,$J429),""))))</f>
        <v/>
      </c>
      <c r="G429" s="25" t="str">
        <f>IF($M429="H","실수익 "&amp;TEXT(INDEX($W$5:$W$16,$J429),"#,##0")&amp;"원",IF($M429="C","실수익",IF($M429="I",INDEX('완료 체험단'!$H$4:$H$2000,$N429),IF($M429="T",INDEX($W$5:$W$16,$J429),""))))</f>
        <v/>
      </c>
      <c r="I429" s="31">
        <f>ROWS(I$5:I429)</f>
        <v>425</v>
      </c>
      <c r="J429" t="str">
        <f t="shared" si="27"/>
        <v/>
      </c>
      <c r="K429" t="str">
        <f t="shared" si="28"/>
        <v/>
      </c>
      <c r="L429" t="str">
        <f t="shared" si="29"/>
        <v/>
      </c>
      <c r="M429" t="str">
        <f t="shared" si="30"/>
        <v/>
      </c>
      <c r="N429" t="str">
        <f>IF($M429="I",MATCH(SMALL('완료 체험단'!$K$4:$K$2000,INDEX($T$5:$T$16,$J429)+$K429-2),'완료 체험단'!$K$4:$K$2000,0),"")</f>
        <v/>
      </c>
    </row>
    <row r="430" spans="2:14">
      <c r="B430" s="23" t="str">
        <f>IF($M430="H",$J430&amp;"월",IF($M430="C","매장명",IF($M430="I",INDEX('완료 체험단'!$A$4:$A$2000,$N430),IF($M430="T","합계",""))))</f>
        <v/>
      </c>
      <c r="C430" s="29" t="str">
        <f>IF($M430="H",$L430&amp;"건",IF($M430="C","사이트",IF($M430="I",INDEX('완료 체험단'!$C$4:$C$2000,$N430),IF($M430="T",$L430&amp;"건",""))))</f>
        <v/>
      </c>
      <c r="D430" s="30" t="str">
        <f>IF($M430="C","방문일",IF($M430="I",INDEX('완료 체험단'!$D$4:$D$2000,$N430),""))</f>
        <v/>
      </c>
      <c r="E430" s="25" t="str">
        <f>IF($M430="H","제공금액 "&amp;TEXT(INDEX($U$5:$U$16,$J430),"#,##0")&amp;"원",IF($M430="C","제공금액",IF($M430="I",INDEX('완료 체험단'!$F$4:$F$2000,$N430),IF($M430="T",INDEX($U$5:$U$16,$J430),""))))</f>
        <v/>
      </c>
      <c r="F430" s="25" t="str">
        <f>IF($M430="H","결제금액 "&amp;TEXT(INDEX($V$5:$V$16,$J430),"#,##0")&amp;"원",IF($M430="C","결제금액",IF($M430="I",INDEX('완료 체험단'!$G$4:$G$2000,$N430),IF($M430="T",INDEX($V$5:$V$16,$J430),""))))</f>
        <v/>
      </c>
      <c r="G430" s="25" t="str">
        <f>IF($M430="H","실수익 "&amp;TEXT(INDEX($W$5:$W$16,$J430),"#,##0")&amp;"원",IF($M430="C","실수익",IF($M430="I",INDEX('완료 체험단'!$H$4:$H$2000,$N430),IF($M430="T",INDEX($W$5:$W$16,$J430),""))))</f>
        <v/>
      </c>
      <c r="I430" s="31">
        <f>ROWS(I$5:I430)</f>
        <v>426</v>
      </c>
      <c r="J430" t="str">
        <f t="shared" si="27"/>
        <v/>
      </c>
      <c r="K430" t="str">
        <f t="shared" si="28"/>
        <v/>
      </c>
      <c r="L430" t="str">
        <f t="shared" si="29"/>
        <v/>
      </c>
      <c r="M430" t="str">
        <f t="shared" si="30"/>
        <v/>
      </c>
      <c r="N430" t="str">
        <f>IF($M430="I",MATCH(SMALL('완료 체험단'!$K$4:$K$2000,INDEX($T$5:$T$16,$J430)+$K430-2),'완료 체험단'!$K$4:$K$2000,0),"")</f>
        <v/>
      </c>
    </row>
    <row r="431" spans="2:14">
      <c r="B431" s="23" t="str">
        <f>IF($M431="H",$J431&amp;"월",IF($M431="C","매장명",IF($M431="I",INDEX('완료 체험단'!$A$4:$A$2000,$N431),IF($M431="T","합계",""))))</f>
        <v/>
      </c>
      <c r="C431" s="29" t="str">
        <f>IF($M431="H",$L431&amp;"건",IF($M431="C","사이트",IF($M431="I",INDEX('완료 체험단'!$C$4:$C$2000,$N431),IF($M431="T",$L431&amp;"건",""))))</f>
        <v/>
      </c>
      <c r="D431" s="30" t="str">
        <f>IF($M431="C","방문일",IF($M431="I",INDEX('완료 체험단'!$D$4:$D$2000,$N431),""))</f>
        <v/>
      </c>
      <c r="E431" s="25" t="str">
        <f>IF($M431="H","제공금액 "&amp;TEXT(INDEX($U$5:$U$16,$J431),"#,##0")&amp;"원",IF($M431="C","제공금액",IF($M431="I",INDEX('완료 체험단'!$F$4:$F$2000,$N431),IF($M431="T",INDEX($U$5:$U$16,$J431),""))))</f>
        <v/>
      </c>
      <c r="F431" s="25" t="str">
        <f>IF($M431="H","결제금액 "&amp;TEXT(INDEX($V$5:$V$16,$J431),"#,##0")&amp;"원",IF($M431="C","결제금액",IF($M431="I",INDEX('완료 체험단'!$G$4:$G$2000,$N431),IF($M431="T",INDEX($V$5:$V$16,$J431),""))))</f>
        <v/>
      </c>
      <c r="G431" s="25" t="str">
        <f>IF($M431="H","실수익 "&amp;TEXT(INDEX($W$5:$W$16,$J431),"#,##0")&amp;"원",IF($M431="C","실수익",IF($M431="I",INDEX('완료 체험단'!$H$4:$H$2000,$N431),IF($M431="T",INDEX($W$5:$W$16,$J431),""))))</f>
        <v/>
      </c>
      <c r="I431" s="31">
        <f>ROWS(I$5:I431)</f>
        <v>427</v>
      </c>
      <c r="J431" t="str">
        <f t="shared" si="27"/>
        <v/>
      </c>
      <c r="K431" t="str">
        <f t="shared" si="28"/>
        <v/>
      </c>
      <c r="L431" t="str">
        <f t="shared" si="29"/>
        <v/>
      </c>
      <c r="M431" t="str">
        <f t="shared" si="30"/>
        <v/>
      </c>
      <c r="N431" t="str">
        <f>IF($M431="I",MATCH(SMALL('완료 체험단'!$K$4:$K$2000,INDEX($T$5:$T$16,$J431)+$K431-2),'완료 체험단'!$K$4:$K$2000,0),"")</f>
        <v/>
      </c>
    </row>
    <row r="432" spans="2:14">
      <c r="B432" s="23" t="str">
        <f>IF($M432="H",$J432&amp;"월",IF($M432="C","매장명",IF($M432="I",INDEX('완료 체험단'!$A$4:$A$2000,$N432),IF($M432="T","합계",""))))</f>
        <v/>
      </c>
      <c r="C432" s="29" t="str">
        <f>IF($M432="H",$L432&amp;"건",IF($M432="C","사이트",IF($M432="I",INDEX('완료 체험단'!$C$4:$C$2000,$N432),IF($M432="T",$L432&amp;"건",""))))</f>
        <v/>
      </c>
      <c r="D432" s="30" t="str">
        <f>IF($M432="C","방문일",IF($M432="I",INDEX('완료 체험단'!$D$4:$D$2000,$N432),""))</f>
        <v/>
      </c>
      <c r="E432" s="25" t="str">
        <f>IF($M432="H","제공금액 "&amp;TEXT(INDEX($U$5:$U$16,$J432),"#,##0")&amp;"원",IF($M432="C","제공금액",IF($M432="I",INDEX('완료 체험단'!$F$4:$F$2000,$N432),IF($M432="T",INDEX($U$5:$U$16,$J432),""))))</f>
        <v/>
      </c>
      <c r="F432" s="25" t="str">
        <f>IF($M432="H","결제금액 "&amp;TEXT(INDEX($V$5:$V$16,$J432),"#,##0")&amp;"원",IF($M432="C","결제금액",IF($M432="I",INDEX('완료 체험단'!$G$4:$G$2000,$N432),IF($M432="T",INDEX($V$5:$V$16,$J432),""))))</f>
        <v/>
      </c>
      <c r="G432" s="25" t="str">
        <f>IF($M432="H","실수익 "&amp;TEXT(INDEX($W$5:$W$16,$J432),"#,##0")&amp;"원",IF($M432="C","실수익",IF($M432="I",INDEX('완료 체험단'!$H$4:$H$2000,$N432),IF($M432="T",INDEX($W$5:$W$16,$J432),""))))</f>
        <v/>
      </c>
      <c r="I432" s="31">
        <f>ROWS(I$5:I432)</f>
        <v>428</v>
      </c>
      <c r="J432" t="str">
        <f t="shared" si="27"/>
        <v/>
      </c>
      <c r="K432" t="str">
        <f t="shared" si="28"/>
        <v/>
      </c>
      <c r="L432" t="str">
        <f t="shared" si="29"/>
        <v/>
      </c>
      <c r="M432" t="str">
        <f t="shared" si="30"/>
        <v/>
      </c>
      <c r="N432" t="str">
        <f>IF($M432="I",MATCH(SMALL('완료 체험단'!$K$4:$K$2000,INDEX($T$5:$T$16,$J432)+$K432-2),'완료 체험단'!$K$4:$K$2000,0),"")</f>
        <v/>
      </c>
    </row>
    <row r="433" spans="2:14">
      <c r="B433" s="23" t="str">
        <f>IF($M433="H",$J433&amp;"월",IF($M433="C","매장명",IF($M433="I",INDEX('완료 체험단'!$A$4:$A$2000,$N433),IF($M433="T","합계",""))))</f>
        <v/>
      </c>
      <c r="C433" s="29" t="str">
        <f>IF($M433="H",$L433&amp;"건",IF($M433="C","사이트",IF($M433="I",INDEX('완료 체험단'!$C$4:$C$2000,$N433),IF($M433="T",$L433&amp;"건",""))))</f>
        <v/>
      </c>
      <c r="D433" s="30" t="str">
        <f>IF($M433="C","방문일",IF($M433="I",INDEX('완료 체험단'!$D$4:$D$2000,$N433),""))</f>
        <v/>
      </c>
      <c r="E433" s="25" t="str">
        <f>IF($M433="H","제공금액 "&amp;TEXT(INDEX($U$5:$U$16,$J433),"#,##0")&amp;"원",IF($M433="C","제공금액",IF($M433="I",INDEX('완료 체험단'!$F$4:$F$2000,$N433),IF($M433="T",INDEX($U$5:$U$16,$J433),""))))</f>
        <v/>
      </c>
      <c r="F433" s="25" t="str">
        <f>IF($M433="H","결제금액 "&amp;TEXT(INDEX($V$5:$V$16,$J433),"#,##0")&amp;"원",IF($M433="C","결제금액",IF($M433="I",INDEX('완료 체험단'!$G$4:$G$2000,$N433),IF($M433="T",INDEX($V$5:$V$16,$J433),""))))</f>
        <v/>
      </c>
      <c r="G433" s="25" t="str">
        <f>IF($M433="H","실수익 "&amp;TEXT(INDEX($W$5:$W$16,$J433),"#,##0")&amp;"원",IF($M433="C","실수익",IF($M433="I",INDEX('완료 체험단'!$H$4:$H$2000,$N433),IF($M433="T",INDEX($W$5:$W$16,$J433),""))))</f>
        <v/>
      </c>
      <c r="I433" s="31">
        <f>ROWS(I$5:I433)</f>
        <v>429</v>
      </c>
      <c r="J433" t="str">
        <f t="shared" si="27"/>
        <v/>
      </c>
      <c r="K433" t="str">
        <f t="shared" si="28"/>
        <v/>
      </c>
      <c r="L433" t="str">
        <f t="shared" si="29"/>
        <v/>
      </c>
      <c r="M433" t="str">
        <f t="shared" si="30"/>
        <v/>
      </c>
      <c r="N433" t="str">
        <f>IF($M433="I",MATCH(SMALL('완료 체험단'!$K$4:$K$2000,INDEX($T$5:$T$16,$J433)+$K433-2),'완료 체험단'!$K$4:$K$2000,0),"")</f>
        <v/>
      </c>
    </row>
    <row r="434" spans="2:14">
      <c r="B434" s="23" t="str">
        <f>IF($M434="H",$J434&amp;"월",IF($M434="C","매장명",IF($M434="I",INDEX('완료 체험단'!$A$4:$A$2000,$N434),IF($M434="T","합계",""))))</f>
        <v/>
      </c>
      <c r="C434" s="29" t="str">
        <f>IF($M434="H",$L434&amp;"건",IF($M434="C","사이트",IF($M434="I",INDEX('완료 체험단'!$C$4:$C$2000,$N434),IF($M434="T",$L434&amp;"건",""))))</f>
        <v/>
      </c>
      <c r="D434" s="30" t="str">
        <f>IF($M434="C","방문일",IF($M434="I",INDEX('완료 체험단'!$D$4:$D$2000,$N434),""))</f>
        <v/>
      </c>
      <c r="E434" s="25" t="str">
        <f>IF($M434="H","제공금액 "&amp;TEXT(INDEX($U$5:$U$16,$J434),"#,##0")&amp;"원",IF($M434="C","제공금액",IF($M434="I",INDEX('완료 체험단'!$F$4:$F$2000,$N434),IF($M434="T",INDEX($U$5:$U$16,$J434),""))))</f>
        <v/>
      </c>
      <c r="F434" s="25" t="str">
        <f>IF($M434="H","결제금액 "&amp;TEXT(INDEX($V$5:$V$16,$J434),"#,##0")&amp;"원",IF($M434="C","결제금액",IF($M434="I",INDEX('완료 체험단'!$G$4:$G$2000,$N434),IF($M434="T",INDEX($V$5:$V$16,$J434),""))))</f>
        <v/>
      </c>
      <c r="G434" s="25" t="str">
        <f>IF($M434="H","실수익 "&amp;TEXT(INDEX($W$5:$W$16,$J434),"#,##0")&amp;"원",IF($M434="C","실수익",IF($M434="I",INDEX('완료 체험단'!$H$4:$H$2000,$N434),IF($M434="T",INDEX($W$5:$W$16,$J434),""))))</f>
        <v/>
      </c>
      <c r="I434" s="31">
        <f>ROWS(I$5:I434)</f>
        <v>430</v>
      </c>
      <c r="J434" t="str">
        <f t="shared" si="27"/>
        <v/>
      </c>
      <c r="K434" t="str">
        <f t="shared" si="28"/>
        <v/>
      </c>
      <c r="L434" t="str">
        <f t="shared" si="29"/>
        <v/>
      </c>
      <c r="M434" t="str">
        <f t="shared" si="30"/>
        <v/>
      </c>
      <c r="N434" t="str">
        <f>IF($M434="I",MATCH(SMALL('완료 체험단'!$K$4:$K$2000,INDEX($T$5:$T$16,$J434)+$K434-2),'완료 체험단'!$K$4:$K$2000,0),"")</f>
        <v/>
      </c>
    </row>
    <row r="435" spans="2:14">
      <c r="B435" s="23" t="str">
        <f>IF($M435="H",$J435&amp;"월",IF($M435="C","매장명",IF($M435="I",INDEX('완료 체험단'!$A$4:$A$2000,$N435),IF($M435="T","합계",""))))</f>
        <v/>
      </c>
      <c r="C435" s="29" t="str">
        <f>IF($M435="H",$L435&amp;"건",IF($M435="C","사이트",IF($M435="I",INDEX('완료 체험단'!$C$4:$C$2000,$N435),IF($M435="T",$L435&amp;"건",""))))</f>
        <v/>
      </c>
      <c r="D435" s="30" t="str">
        <f>IF($M435="C","방문일",IF($M435="I",INDEX('완료 체험단'!$D$4:$D$2000,$N435),""))</f>
        <v/>
      </c>
      <c r="E435" s="25" t="str">
        <f>IF($M435="H","제공금액 "&amp;TEXT(INDEX($U$5:$U$16,$J435),"#,##0")&amp;"원",IF($M435="C","제공금액",IF($M435="I",INDEX('완료 체험단'!$F$4:$F$2000,$N435),IF($M435="T",INDEX($U$5:$U$16,$J435),""))))</f>
        <v/>
      </c>
      <c r="F435" s="25" t="str">
        <f>IF($M435="H","결제금액 "&amp;TEXT(INDEX($V$5:$V$16,$J435),"#,##0")&amp;"원",IF($M435="C","결제금액",IF($M435="I",INDEX('완료 체험단'!$G$4:$G$2000,$N435),IF($M435="T",INDEX($V$5:$V$16,$J435),""))))</f>
        <v/>
      </c>
      <c r="G435" s="25" t="str">
        <f>IF($M435="H","실수익 "&amp;TEXT(INDEX($W$5:$W$16,$J435),"#,##0")&amp;"원",IF($M435="C","실수익",IF($M435="I",INDEX('완료 체험단'!$H$4:$H$2000,$N435),IF($M435="T",INDEX($W$5:$W$16,$J435),""))))</f>
        <v/>
      </c>
      <c r="I435" s="31">
        <f>ROWS(I$5:I435)</f>
        <v>431</v>
      </c>
      <c r="J435" t="str">
        <f t="shared" si="27"/>
        <v/>
      </c>
      <c r="K435" t="str">
        <f t="shared" si="28"/>
        <v/>
      </c>
      <c r="L435" t="str">
        <f t="shared" si="29"/>
        <v/>
      </c>
      <c r="M435" t="str">
        <f t="shared" si="30"/>
        <v/>
      </c>
      <c r="N435" t="str">
        <f>IF($M435="I",MATCH(SMALL('완료 체험단'!$K$4:$K$2000,INDEX($T$5:$T$16,$J435)+$K435-2),'완료 체험단'!$K$4:$K$2000,0),"")</f>
        <v/>
      </c>
    </row>
    <row r="436" spans="2:14">
      <c r="B436" s="23" t="str">
        <f>IF($M436="H",$J436&amp;"월",IF($M436="C","매장명",IF($M436="I",INDEX('완료 체험단'!$A$4:$A$2000,$N436),IF($M436="T","합계",""))))</f>
        <v/>
      </c>
      <c r="C436" s="29" t="str">
        <f>IF($M436="H",$L436&amp;"건",IF($M436="C","사이트",IF($M436="I",INDEX('완료 체험단'!$C$4:$C$2000,$N436),IF($M436="T",$L436&amp;"건",""))))</f>
        <v/>
      </c>
      <c r="D436" s="30" t="str">
        <f>IF($M436="C","방문일",IF($M436="I",INDEX('완료 체험단'!$D$4:$D$2000,$N436),""))</f>
        <v/>
      </c>
      <c r="E436" s="25" t="str">
        <f>IF($M436="H","제공금액 "&amp;TEXT(INDEX($U$5:$U$16,$J436),"#,##0")&amp;"원",IF($M436="C","제공금액",IF($M436="I",INDEX('완료 체험단'!$F$4:$F$2000,$N436),IF($M436="T",INDEX($U$5:$U$16,$J436),""))))</f>
        <v/>
      </c>
      <c r="F436" s="25" t="str">
        <f>IF($M436="H","결제금액 "&amp;TEXT(INDEX($V$5:$V$16,$J436),"#,##0")&amp;"원",IF($M436="C","결제금액",IF($M436="I",INDEX('완료 체험단'!$G$4:$G$2000,$N436),IF($M436="T",INDEX($V$5:$V$16,$J436),""))))</f>
        <v/>
      </c>
      <c r="G436" s="25" t="str">
        <f>IF($M436="H","실수익 "&amp;TEXT(INDEX($W$5:$W$16,$J436),"#,##0")&amp;"원",IF($M436="C","실수익",IF($M436="I",INDEX('완료 체험단'!$H$4:$H$2000,$N436),IF($M436="T",INDEX($W$5:$W$16,$J436),""))))</f>
        <v/>
      </c>
      <c r="I436" s="31">
        <f>ROWS(I$5:I436)</f>
        <v>432</v>
      </c>
      <c r="J436" t="str">
        <f t="shared" si="27"/>
        <v/>
      </c>
      <c r="K436" t="str">
        <f t="shared" si="28"/>
        <v/>
      </c>
      <c r="L436" t="str">
        <f t="shared" si="29"/>
        <v/>
      </c>
      <c r="M436" t="str">
        <f t="shared" si="30"/>
        <v/>
      </c>
      <c r="N436" t="str">
        <f>IF($M436="I",MATCH(SMALL('완료 체험단'!$K$4:$K$2000,INDEX($T$5:$T$16,$J436)+$K436-2),'완료 체험단'!$K$4:$K$2000,0),"")</f>
        <v/>
      </c>
    </row>
    <row r="437" spans="2:14">
      <c r="B437" s="23" t="str">
        <f>IF($M437="H",$J437&amp;"월",IF($M437="C","매장명",IF($M437="I",INDEX('완료 체험단'!$A$4:$A$2000,$N437),IF($M437="T","합계",""))))</f>
        <v/>
      </c>
      <c r="C437" s="29" t="str">
        <f>IF($M437="H",$L437&amp;"건",IF($M437="C","사이트",IF($M437="I",INDEX('완료 체험단'!$C$4:$C$2000,$N437),IF($M437="T",$L437&amp;"건",""))))</f>
        <v/>
      </c>
      <c r="D437" s="30" t="str">
        <f>IF($M437="C","방문일",IF($M437="I",INDEX('완료 체험단'!$D$4:$D$2000,$N437),""))</f>
        <v/>
      </c>
      <c r="E437" s="25" t="str">
        <f>IF($M437="H","제공금액 "&amp;TEXT(INDEX($U$5:$U$16,$J437),"#,##0")&amp;"원",IF($M437="C","제공금액",IF($M437="I",INDEX('완료 체험단'!$F$4:$F$2000,$N437),IF($M437="T",INDEX($U$5:$U$16,$J437),""))))</f>
        <v/>
      </c>
      <c r="F437" s="25" t="str">
        <f>IF($M437="H","결제금액 "&amp;TEXT(INDEX($V$5:$V$16,$J437),"#,##0")&amp;"원",IF($M437="C","결제금액",IF($M437="I",INDEX('완료 체험단'!$G$4:$G$2000,$N437),IF($M437="T",INDEX($V$5:$V$16,$J437),""))))</f>
        <v/>
      </c>
      <c r="G437" s="25" t="str">
        <f>IF($M437="H","실수익 "&amp;TEXT(INDEX($W$5:$W$16,$J437),"#,##0")&amp;"원",IF($M437="C","실수익",IF($M437="I",INDEX('완료 체험단'!$H$4:$H$2000,$N437),IF($M437="T",INDEX($W$5:$W$16,$J437),""))))</f>
        <v/>
      </c>
      <c r="I437" s="31">
        <f>ROWS(I$5:I437)</f>
        <v>433</v>
      </c>
      <c r="J437" t="str">
        <f t="shared" si="27"/>
        <v/>
      </c>
      <c r="K437" t="str">
        <f t="shared" si="28"/>
        <v/>
      </c>
      <c r="L437" t="str">
        <f t="shared" si="29"/>
        <v/>
      </c>
      <c r="M437" t="str">
        <f t="shared" si="30"/>
        <v/>
      </c>
      <c r="N437" t="str">
        <f>IF($M437="I",MATCH(SMALL('완료 체험단'!$K$4:$K$2000,INDEX($T$5:$T$16,$J437)+$K437-2),'완료 체험단'!$K$4:$K$2000,0),"")</f>
        <v/>
      </c>
    </row>
    <row r="438" spans="2:14">
      <c r="B438" s="23" t="str">
        <f>IF($M438="H",$J438&amp;"월",IF($M438="C","매장명",IF($M438="I",INDEX('완료 체험단'!$A$4:$A$2000,$N438),IF($M438="T","합계",""))))</f>
        <v/>
      </c>
      <c r="C438" s="29" t="str">
        <f>IF($M438="H",$L438&amp;"건",IF($M438="C","사이트",IF($M438="I",INDEX('완료 체험단'!$C$4:$C$2000,$N438),IF($M438="T",$L438&amp;"건",""))))</f>
        <v/>
      </c>
      <c r="D438" s="30" t="str">
        <f>IF($M438="C","방문일",IF($M438="I",INDEX('완료 체험단'!$D$4:$D$2000,$N438),""))</f>
        <v/>
      </c>
      <c r="E438" s="25" t="str">
        <f>IF($M438="H","제공금액 "&amp;TEXT(INDEX($U$5:$U$16,$J438),"#,##0")&amp;"원",IF($M438="C","제공금액",IF($M438="I",INDEX('완료 체험단'!$F$4:$F$2000,$N438),IF($M438="T",INDEX($U$5:$U$16,$J438),""))))</f>
        <v/>
      </c>
      <c r="F438" s="25" t="str">
        <f>IF($M438="H","결제금액 "&amp;TEXT(INDEX($V$5:$V$16,$J438),"#,##0")&amp;"원",IF($M438="C","결제금액",IF($M438="I",INDEX('완료 체험단'!$G$4:$G$2000,$N438),IF($M438="T",INDEX($V$5:$V$16,$J438),""))))</f>
        <v/>
      </c>
      <c r="G438" s="25" t="str">
        <f>IF($M438="H","실수익 "&amp;TEXT(INDEX($W$5:$W$16,$J438),"#,##0")&amp;"원",IF($M438="C","실수익",IF($M438="I",INDEX('완료 체험단'!$H$4:$H$2000,$N438),IF($M438="T",INDEX($W$5:$W$16,$J438),""))))</f>
        <v/>
      </c>
      <c r="I438" s="31">
        <f>ROWS(I$5:I438)</f>
        <v>434</v>
      </c>
      <c r="J438" t="str">
        <f t="shared" si="27"/>
        <v/>
      </c>
      <c r="K438" t="str">
        <f t="shared" si="28"/>
        <v/>
      </c>
      <c r="L438" t="str">
        <f t="shared" si="29"/>
        <v/>
      </c>
      <c r="M438" t="str">
        <f t="shared" si="30"/>
        <v/>
      </c>
      <c r="N438" t="str">
        <f>IF($M438="I",MATCH(SMALL('완료 체험단'!$K$4:$K$2000,INDEX($T$5:$T$16,$J438)+$K438-2),'완료 체험단'!$K$4:$K$2000,0),"")</f>
        <v/>
      </c>
    </row>
    <row r="439" spans="2:14">
      <c r="B439" s="23" t="str">
        <f>IF($M439="H",$J439&amp;"월",IF($M439="C","매장명",IF($M439="I",INDEX('완료 체험단'!$A$4:$A$2000,$N439),IF($M439="T","합계",""))))</f>
        <v/>
      </c>
      <c r="C439" s="29" t="str">
        <f>IF($M439="H",$L439&amp;"건",IF($M439="C","사이트",IF($M439="I",INDEX('완료 체험단'!$C$4:$C$2000,$N439),IF($M439="T",$L439&amp;"건",""))))</f>
        <v/>
      </c>
      <c r="D439" s="30" t="str">
        <f>IF($M439="C","방문일",IF($M439="I",INDEX('완료 체험단'!$D$4:$D$2000,$N439),""))</f>
        <v/>
      </c>
      <c r="E439" s="25" t="str">
        <f>IF($M439="H","제공금액 "&amp;TEXT(INDEX($U$5:$U$16,$J439),"#,##0")&amp;"원",IF($M439="C","제공금액",IF($M439="I",INDEX('완료 체험단'!$F$4:$F$2000,$N439),IF($M439="T",INDEX($U$5:$U$16,$J439),""))))</f>
        <v/>
      </c>
      <c r="F439" s="25" t="str">
        <f>IF($M439="H","결제금액 "&amp;TEXT(INDEX($V$5:$V$16,$J439),"#,##0")&amp;"원",IF($M439="C","결제금액",IF($M439="I",INDEX('완료 체험단'!$G$4:$G$2000,$N439),IF($M439="T",INDEX($V$5:$V$16,$J439),""))))</f>
        <v/>
      </c>
      <c r="G439" s="25" t="str">
        <f>IF($M439="H","실수익 "&amp;TEXT(INDEX($W$5:$W$16,$J439),"#,##0")&amp;"원",IF($M439="C","실수익",IF($M439="I",INDEX('완료 체험단'!$H$4:$H$2000,$N439),IF($M439="T",INDEX($W$5:$W$16,$J439),""))))</f>
        <v/>
      </c>
      <c r="I439" s="31">
        <f>ROWS(I$5:I439)</f>
        <v>435</v>
      </c>
      <c r="J439" t="str">
        <f t="shared" si="27"/>
        <v/>
      </c>
      <c r="K439" t="str">
        <f t="shared" si="28"/>
        <v/>
      </c>
      <c r="L439" t="str">
        <f t="shared" si="29"/>
        <v/>
      </c>
      <c r="M439" t="str">
        <f t="shared" si="30"/>
        <v/>
      </c>
      <c r="N439" t="str">
        <f>IF($M439="I",MATCH(SMALL('완료 체험단'!$K$4:$K$2000,INDEX($T$5:$T$16,$J439)+$K439-2),'완료 체험단'!$K$4:$K$2000,0),"")</f>
        <v/>
      </c>
    </row>
    <row r="440" spans="2:14">
      <c r="B440" s="23" t="str">
        <f>IF($M440="H",$J440&amp;"월",IF($M440="C","매장명",IF($M440="I",INDEX('완료 체험단'!$A$4:$A$2000,$N440),IF($M440="T","합계",""))))</f>
        <v/>
      </c>
      <c r="C440" s="29" t="str">
        <f>IF($M440="H",$L440&amp;"건",IF($M440="C","사이트",IF($M440="I",INDEX('완료 체험단'!$C$4:$C$2000,$N440),IF($M440="T",$L440&amp;"건",""))))</f>
        <v/>
      </c>
      <c r="D440" s="30" t="str">
        <f>IF($M440="C","방문일",IF($M440="I",INDEX('완료 체험단'!$D$4:$D$2000,$N440),""))</f>
        <v/>
      </c>
      <c r="E440" s="25" t="str">
        <f>IF($M440="H","제공금액 "&amp;TEXT(INDEX($U$5:$U$16,$J440),"#,##0")&amp;"원",IF($M440="C","제공금액",IF($M440="I",INDEX('완료 체험단'!$F$4:$F$2000,$N440),IF($M440="T",INDEX($U$5:$U$16,$J440),""))))</f>
        <v/>
      </c>
      <c r="F440" s="25" t="str">
        <f>IF($M440="H","결제금액 "&amp;TEXT(INDEX($V$5:$V$16,$J440),"#,##0")&amp;"원",IF($M440="C","결제금액",IF($M440="I",INDEX('완료 체험단'!$G$4:$G$2000,$N440),IF($M440="T",INDEX($V$5:$V$16,$J440),""))))</f>
        <v/>
      </c>
      <c r="G440" s="25" t="str">
        <f>IF($M440="H","실수익 "&amp;TEXT(INDEX($W$5:$W$16,$J440),"#,##0")&amp;"원",IF($M440="C","실수익",IF($M440="I",INDEX('완료 체험단'!$H$4:$H$2000,$N440),IF($M440="T",INDEX($W$5:$W$16,$J440),""))))</f>
        <v/>
      </c>
      <c r="I440" s="31">
        <f>ROWS(I$5:I440)</f>
        <v>436</v>
      </c>
      <c r="J440" t="str">
        <f t="shared" si="27"/>
        <v/>
      </c>
      <c r="K440" t="str">
        <f t="shared" si="28"/>
        <v/>
      </c>
      <c r="L440" t="str">
        <f t="shared" si="29"/>
        <v/>
      </c>
      <c r="M440" t="str">
        <f t="shared" si="30"/>
        <v/>
      </c>
      <c r="N440" t="str">
        <f>IF($M440="I",MATCH(SMALL('완료 체험단'!$K$4:$K$2000,INDEX($T$5:$T$16,$J440)+$K440-2),'완료 체험단'!$K$4:$K$2000,0),"")</f>
        <v/>
      </c>
    </row>
    <row r="441" spans="2:14">
      <c r="B441" s="23" t="str">
        <f>IF($M441="H",$J441&amp;"월",IF($M441="C","매장명",IF($M441="I",INDEX('완료 체험단'!$A$4:$A$2000,$N441),IF($M441="T","합계",""))))</f>
        <v/>
      </c>
      <c r="C441" s="29" t="str">
        <f>IF($M441="H",$L441&amp;"건",IF($M441="C","사이트",IF($M441="I",INDEX('완료 체험단'!$C$4:$C$2000,$N441),IF($M441="T",$L441&amp;"건",""))))</f>
        <v/>
      </c>
      <c r="D441" s="30" t="str">
        <f>IF($M441="C","방문일",IF($M441="I",INDEX('완료 체험단'!$D$4:$D$2000,$N441),""))</f>
        <v/>
      </c>
      <c r="E441" s="25" t="str">
        <f>IF($M441="H","제공금액 "&amp;TEXT(INDEX($U$5:$U$16,$J441),"#,##0")&amp;"원",IF($M441="C","제공금액",IF($M441="I",INDEX('완료 체험단'!$F$4:$F$2000,$N441),IF($M441="T",INDEX($U$5:$U$16,$J441),""))))</f>
        <v/>
      </c>
      <c r="F441" s="25" t="str">
        <f>IF($M441="H","결제금액 "&amp;TEXT(INDEX($V$5:$V$16,$J441),"#,##0")&amp;"원",IF($M441="C","결제금액",IF($M441="I",INDEX('완료 체험단'!$G$4:$G$2000,$N441),IF($M441="T",INDEX($V$5:$V$16,$J441),""))))</f>
        <v/>
      </c>
      <c r="G441" s="25" t="str">
        <f>IF($M441="H","실수익 "&amp;TEXT(INDEX($W$5:$W$16,$J441),"#,##0")&amp;"원",IF($M441="C","실수익",IF($M441="I",INDEX('완료 체험단'!$H$4:$H$2000,$N441),IF($M441="T",INDEX($W$5:$W$16,$J441),""))))</f>
        <v/>
      </c>
      <c r="I441" s="31">
        <f>ROWS(I$5:I441)</f>
        <v>437</v>
      </c>
      <c r="J441" t="str">
        <f t="shared" si="27"/>
        <v/>
      </c>
      <c r="K441" t="str">
        <f t="shared" si="28"/>
        <v/>
      </c>
      <c r="L441" t="str">
        <f t="shared" si="29"/>
        <v/>
      </c>
      <c r="M441" t="str">
        <f t="shared" si="30"/>
        <v/>
      </c>
      <c r="N441" t="str">
        <f>IF($M441="I",MATCH(SMALL('완료 체험단'!$K$4:$K$2000,INDEX($T$5:$T$16,$J441)+$K441-2),'완료 체험단'!$K$4:$K$2000,0),"")</f>
        <v/>
      </c>
    </row>
    <row r="442" spans="2:14">
      <c r="B442" s="23" t="str">
        <f>IF($M442="H",$J442&amp;"월",IF($M442="C","매장명",IF($M442="I",INDEX('완료 체험단'!$A$4:$A$2000,$N442),IF($M442="T","합계",""))))</f>
        <v/>
      </c>
      <c r="C442" s="29" t="str">
        <f>IF($M442="H",$L442&amp;"건",IF($M442="C","사이트",IF($M442="I",INDEX('완료 체험단'!$C$4:$C$2000,$N442),IF($M442="T",$L442&amp;"건",""))))</f>
        <v/>
      </c>
      <c r="D442" s="30" t="str">
        <f>IF($M442="C","방문일",IF($M442="I",INDEX('완료 체험단'!$D$4:$D$2000,$N442),""))</f>
        <v/>
      </c>
      <c r="E442" s="25" t="str">
        <f>IF($M442="H","제공금액 "&amp;TEXT(INDEX($U$5:$U$16,$J442),"#,##0")&amp;"원",IF($M442="C","제공금액",IF($M442="I",INDEX('완료 체험단'!$F$4:$F$2000,$N442),IF($M442="T",INDEX($U$5:$U$16,$J442),""))))</f>
        <v/>
      </c>
      <c r="F442" s="25" t="str">
        <f>IF($M442="H","결제금액 "&amp;TEXT(INDEX($V$5:$V$16,$J442),"#,##0")&amp;"원",IF($M442="C","결제금액",IF($M442="I",INDEX('완료 체험단'!$G$4:$G$2000,$N442),IF($M442="T",INDEX($V$5:$V$16,$J442),""))))</f>
        <v/>
      </c>
      <c r="G442" s="25" t="str">
        <f>IF($M442="H","실수익 "&amp;TEXT(INDEX($W$5:$W$16,$J442),"#,##0")&amp;"원",IF($M442="C","실수익",IF($M442="I",INDEX('완료 체험단'!$H$4:$H$2000,$N442),IF($M442="T",INDEX($W$5:$W$16,$J442),""))))</f>
        <v/>
      </c>
      <c r="I442" s="31">
        <f>ROWS(I$5:I442)</f>
        <v>438</v>
      </c>
      <c r="J442" t="str">
        <f t="shared" si="27"/>
        <v/>
      </c>
      <c r="K442" t="str">
        <f t="shared" si="28"/>
        <v/>
      </c>
      <c r="L442" t="str">
        <f t="shared" si="29"/>
        <v/>
      </c>
      <c r="M442" t="str">
        <f t="shared" si="30"/>
        <v/>
      </c>
      <c r="N442" t="str">
        <f>IF($M442="I",MATCH(SMALL('완료 체험단'!$K$4:$K$2000,INDEX($T$5:$T$16,$J442)+$K442-2),'완료 체험단'!$K$4:$K$2000,0),"")</f>
        <v/>
      </c>
    </row>
    <row r="443" spans="2:14">
      <c r="B443" s="23" t="str">
        <f>IF($M443="H",$J443&amp;"월",IF($M443="C","매장명",IF($M443="I",INDEX('완료 체험단'!$A$4:$A$2000,$N443),IF($M443="T","합계",""))))</f>
        <v/>
      </c>
      <c r="C443" s="29" t="str">
        <f>IF($M443="H",$L443&amp;"건",IF($M443="C","사이트",IF($M443="I",INDEX('완료 체험단'!$C$4:$C$2000,$N443),IF($M443="T",$L443&amp;"건",""))))</f>
        <v/>
      </c>
      <c r="D443" s="30" t="str">
        <f>IF($M443="C","방문일",IF($M443="I",INDEX('완료 체험단'!$D$4:$D$2000,$N443),""))</f>
        <v/>
      </c>
      <c r="E443" s="25" t="str">
        <f>IF($M443="H","제공금액 "&amp;TEXT(INDEX($U$5:$U$16,$J443),"#,##0")&amp;"원",IF($M443="C","제공금액",IF($M443="I",INDEX('완료 체험단'!$F$4:$F$2000,$N443),IF($M443="T",INDEX($U$5:$U$16,$J443),""))))</f>
        <v/>
      </c>
      <c r="F443" s="25" t="str">
        <f>IF($M443="H","결제금액 "&amp;TEXT(INDEX($V$5:$V$16,$J443),"#,##0")&amp;"원",IF($M443="C","결제금액",IF($M443="I",INDEX('완료 체험단'!$G$4:$G$2000,$N443),IF($M443="T",INDEX($V$5:$V$16,$J443),""))))</f>
        <v/>
      </c>
      <c r="G443" s="25" t="str">
        <f>IF($M443="H","실수익 "&amp;TEXT(INDEX($W$5:$W$16,$J443),"#,##0")&amp;"원",IF($M443="C","실수익",IF($M443="I",INDEX('완료 체험단'!$H$4:$H$2000,$N443),IF($M443="T",INDEX($W$5:$W$16,$J443),""))))</f>
        <v/>
      </c>
      <c r="I443" s="31">
        <f>ROWS(I$5:I443)</f>
        <v>439</v>
      </c>
      <c r="J443" t="str">
        <f t="shared" si="27"/>
        <v/>
      </c>
      <c r="K443" t="str">
        <f t="shared" si="28"/>
        <v/>
      </c>
      <c r="L443" t="str">
        <f t="shared" si="29"/>
        <v/>
      </c>
      <c r="M443" t="str">
        <f t="shared" si="30"/>
        <v/>
      </c>
      <c r="N443" t="str">
        <f>IF($M443="I",MATCH(SMALL('완료 체험단'!$K$4:$K$2000,INDEX($T$5:$T$16,$J443)+$K443-2),'완료 체험단'!$K$4:$K$2000,0),"")</f>
        <v/>
      </c>
    </row>
    <row r="444" spans="2:14">
      <c r="B444" s="23" t="str">
        <f>IF($M444="H",$J444&amp;"월",IF($M444="C","매장명",IF($M444="I",INDEX('완료 체험단'!$A$4:$A$2000,$N444),IF($M444="T","합계",""))))</f>
        <v/>
      </c>
      <c r="C444" s="29" t="str">
        <f>IF($M444="H",$L444&amp;"건",IF($M444="C","사이트",IF($M444="I",INDEX('완료 체험단'!$C$4:$C$2000,$N444),IF($M444="T",$L444&amp;"건",""))))</f>
        <v/>
      </c>
      <c r="D444" s="30" t="str">
        <f>IF($M444="C","방문일",IF($M444="I",INDEX('완료 체험단'!$D$4:$D$2000,$N444),""))</f>
        <v/>
      </c>
      <c r="E444" s="25" t="str">
        <f>IF($M444="H","제공금액 "&amp;TEXT(INDEX($U$5:$U$16,$J444),"#,##0")&amp;"원",IF($M444="C","제공금액",IF($M444="I",INDEX('완료 체험단'!$F$4:$F$2000,$N444),IF($M444="T",INDEX($U$5:$U$16,$J444),""))))</f>
        <v/>
      </c>
      <c r="F444" s="25" t="str">
        <f>IF($M444="H","결제금액 "&amp;TEXT(INDEX($V$5:$V$16,$J444),"#,##0")&amp;"원",IF($M444="C","결제금액",IF($M444="I",INDEX('완료 체험단'!$G$4:$G$2000,$N444),IF($M444="T",INDEX($V$5:$V$16,$J444),""))))</f>
        <v/>
      </c>
      <c r="G444" s="25" t="str">
        <f>IF($M444="H","실수익 "&amp;TEXT(INDEX($W$5:$W$16,$J444),"#,##0")&amp;"원",IF($M444="C","실수익",IF($M444="I",INDEX('완료 체험단'!$H$4:$H$2000,$N444),IF($M444="T",INDEX($W$5:$W$16,$J444),""))))</f>
        <v/>
      </c>
      <c r="I444" s="31">
        <f>ROWS(I$5:I444)</f>
        <v>440</v>
      </c>
      <c r="J444" t="str">
        <f t="shared" si="27"/>
        <v/>
      </c>
      <c r="K444" t="str">
        <f t="shared" si="28"/>
        <v/>
      </c>
      <c r="L444" t="str">
        <f t="shared" si="29"/>
        <v/>
      </c>
      <c r="M444" t="str">
        <f t="shared" si="30"/>
        <v/>
      </c>
      <c r="N444" t="str">
        <f>IF($M444="I",MATCH(SMALL('완료 체험단'!$K$4:$K$2000,INDEX($T$5:$T$16,$J444)+$K444-2),'완료 체험단'!$K$4:$K$2000,0),"")</f>
        <v/>
      </c>
    </row>
    <row r="445" spans="2:14">
      <c r="B445" s="23" t="str">
        <f>IF($M445="H",$J445&amp;"월",IF($M445="C","매장명",IF($M445="I",INDEX('완료 체험단'!$A$4:$A$2000,$N445),IF($M445="T","합계",""))))</f>
        <v/>
      </c>
      <c r="C445" s="29" t="str">
        <f>IF($M445="H",$L445&amp;"건",IF($M445="C","사이트",IF($M445="I",INDEX('완료 체험단'!$C$4:$C$2000,$N445),IF($M445="T",$L445&amp;"건",""))))</f>
        <v/>
      </c>
      <c r="D445" s="30" t="str">
        <f>IF($M445="C","방문일",IF($M445="I",INDEX('완료 체험단'!$D$4:$D$2000,$N445),""))</f>
        <v/>
      </c>
      <c r="E445" s="25" t="str">
        <f>IF($M445="H","제공금액 "&amp;TEXT(INDEX($U$5:$U$16,$J445),"#,##0")&amp;"원",IF($M445="C","제공금액",IF($M445="I",INDEX('완료 체험단'!$F$4:$F$2000,$N445),IF($M445="T",INDEX($U$5:$U$16,$J445),""))))</f>
        <v/>
      </c>
      <c r="F445" s="25" t="str">
        <f>IF($M445="H","결제금액 "&amp;TEXT(INDEX($V$5:$V$16,$J445),"#,##0")&amp;"원",IF($M445="C","결제금액",IF($M445="I",INDEX('완료 체험단'!$G$4:$G$2000,$N445),IF($M445="T",INDEX($V$5:$V$16,$J445),""))))</f>
        <v/>
      </c>
      <c r="G445" s="25" t="str">
        <f>IF($M445="H","실수익 "&amp;TEXT(INDEX($W$5:$W$16,$J445),"#,##0")&amp;"원",IF($M445="C","실수익",IF($M445="I",INDEX('완료 체험단'!$H$4:$H$2000,$N445),IF($M445="T",INDEX($W$5:$W$16,$J445),""))))</f>
        <v/>
      </c>
      <c r="I445" s="31">
        <f>ROWS(I$5:I445)</f>
        <v>441</v>
      </c>
      <c r="J445" t="str">
        <f t="shared" si="27"/>
        <v/>
      </c>
      <c r="K445" t="str">
        <f t="shared" si="28"/>
        <v/>
      </c>
      <c r="L445" t="str">
        <f t="shared" si="29"/>
        <v/>
      </c>
      <c r="M445" t="str">
        <f t="shared" si="30"/>
        <v/>
      </c>
      <c r="N445" t="str">
        <f>IF($M445="I",MATCH(SMALL('완료 체험단'!$K$4:$K$2000,INDEX($T$5:$T$16,$J445)+$K445-2),'완료 체험단'!$K$4:$K$2000,0),"")</f>
        <v/>
      </c>
    </row>
    <row r="446" spans="2:14">
      <c r="B446" s="23" t="str">
        <f>IF($M446="H",$J446&amp;"월",IF($M446="C","매장명",IF($M446="I",INDEX('완료 체험단'!$A$4:$A$2000,$N446),IF($M446="T","합계",""))))</f>
        <v/>
      </c>
      <c r="C446" s="29" t="str">
        <f>IF($M446="H",$L446&amp;"건",IF($M446="C","사이트",IF($M446="I",INDEX('완료 체험단'!$C$4:$C$2000,$N446),IF($M446="T",$L446&amp;"건",""))))</f>
        <v/>
      </c>
      <c r="D446" s="30" t="str">
        <f>IF($M446="C","방문일",IF($M446="I",INDEX('완료 체험단'!$D$4:$D$2000,$N446),""))</f>
        <v/>
      </c>
      <c r="E446" s="25" t="str">
        <f>IF($M446="H","제공금액 "&amp;TEXT(INDEX($U$5:$U$16,$J446),"#,##0")&amp;"원",IF($M446="C","제공금액",IF($M446="I",INDEX('완료 체험단'!$F$4:$F$2000,$N446),IF($M446="T",INDEX($U$5:$U$16,$J446),""))))</f>
        <v/>
      </c>
      <c r="F446" s="25" t="str">
        <f>IF($M446="H","결제금액 "&amp;TEXT(INDEX($V$5:$V$16,$J446),"#,##0")&amp;"원",IF($M446="C","결제금액",IF($M446="I",INDEX('완료 체험단'!$G$4:$G$2000,$N446),IF($M446="T",INDEX($V$5:$V$16,$J446),""))))</f>
        <v/>
      </c>
      <c r="G446" s="25" t="str">
        <f>IF($M446="H","실수익 "&amp;TEXT(INDEX($W$5:$W$16,$J446),"#,##0")&amp;"원",IF($M446="C","실수익",IF($M446="I",INDEX('완료 체험단'!$H$4:$H$2000,$N446),IF($M446="T",INDEX($W$5:$W$16,$J446),""))))</f>
        <v/>
      </c>
      <c r="I446" s="31">
        <f>ROWS(I$5:I446)</f>
        <v>442</v>
      </c>
      <c r="J446" t="str">
        <f t="shared" si="27"/>
        <v/>
      </c>
      <c r="K446" t="str">
        <f t="shared" si="28"/>
        <v/>
      </c>
      <c r="L446" t="str">
        <f t="shared" si="29"/>
        <v/>
      </c>
      <c r="M446" t="str">
        <f t="shared" si="30"/>
        <v/>
      </c>
      <c r="N446" t="str">
        <f>IF($M446="I",MATCH(SMALL('완료 체험단'!$K$4:$K$2000,INDEX($T$5:$T$16,$J446)+$K446-2),'완료 체험단'!$K$4:$K$2000,0),"")</f>
        <v/>
      </c>
    </row>
    <row r="447" spans="2:14">
      <c r="B447" s="23" t="str">
        <f>IF($M447="H",$J447&amp;"월",IF($M447="C","매장명",IF($M447="I",INDEX('완료 체험단'!$A$4:$A$2000,$N447),IF($M447="T","합계",""))))</f>
        <v/>
      </c>
      <c r="C447" s="29" t="str">
        <f>IF($M447="H",$L447&amp;"건",IF($M447="C","사이트",IF($M447="I",INDEX('완료 체험단'!$C$4:$C$2000,$N447),IF($M447="T",$L447&amp;"건",""))))</f>
        <v/>
      </c>
      <c r="D447" s="30" t="str">
        <f>IF($M447="C","방문일",IF($M447="I",INDEX('완료 체험단'!$D$4:$D$2000,$N447),""))</f>
        <v/>
      </c>
      <c r="E447" s="25" t="str">
        <f>IF($M447="H","제공금액 "&amp;TEXT(INDEX($U$5:$U$16,$J447),"#,##0")&amp;"원",IF($M447="C","제공금액",IF($M447="I",INDEX('완료 체험단'!$F$4:$F$2000,$N447),IF($M447="T",INDEX($U$5:$U$16,$J447),""))))</f>
        <v/>
      </c>
      <c r="F447" s="25" t="str">
        <f>IF($M447="H","결제금액 "&amp;TEXT(INDEX($V$5:$V$16,$J447),"#,##0")&amp;"원",IF($M447="C","결제금액",IF($M447="I",INDEX('완료 체험단'!$G$4:$G$2000,$N447),IF($M447="T",INDEX($V$5:$V$16,$J447),""))))</f>
        <v/>
      </c>
      <c r="G447" s="25" t="str">
        <f>IF($M447="H","실수익 "&amp;TEXT(INDEX($W$5:$W$16,$J447),"#,##0")&amp;"원",IF($M447="C","실수익",IF($M447="I",INDEX('완료 체험단'!$H$4:$H$2000,$N447),IF($M447="T",INDEX($W$5:$W$16,$J447),""))))</f>
        <v/>
      </c>
      <c r="I447" s="31">
        <f>ROWS(I$5:I447)</f>
        <v>443</v>
      </c>
      <c r="J447" t="str">
        <f t="shared" si="27"/>
        <v/>
      </c>
      <c r="K447" t="str">
        <f t="shared" si="28"/>
        <v/>
      </c>
      <c r="L447" t="str">
        <f t="shared" si="29"/>
        <v/>
      </c>
      <c r="M447" t="str">
        <f t="shared" si="30"/>
        <v/>
      </c>
      <c r="N447" t="str">
        <f>IF($M447="I",MATCH(SMALL('완료 체험단'!$K$4:$K$2000,INDEX($T$5:$T$16,$J447)+$K447-2),'완료 체험단'!$K$4:$K$2000,0),"")</f>
        <v/>
      </c>
    </row>
    <row r="448" spans="2:14">
      <c r="B448" s="23" t="str">
        <f>IF($M448="H",$J448&amp;"월",IF($M448="C","매장명",IF($M448="I",INDEX('완료 체험단'!$A$4:$A$2000,$N448),IF($M448="T","합계",""))))</f>
        <v/>
      </c>
      <c r="C448" s="29" t="str">
        <f>IF($M448="H",$L448&amp;"건",IF($M448="C","사이트",IF($M448="I",INDEX('완료 체험단'!$C$4:$C$2000,$N448),IF($M448="T",$L448&amp;"건",""))))</f>
        <v/>
      </c>
      <c r="D448" s="30" t="str">
        <f>IF($M448="C","방문일",IF($M448="I",INDEX('완료 체험단'!$D$4:$D$2000,$N448),""))</f>
        <v/>
      </c>
      <c r="E448" s="25" t="str">
        <f>IF($M448="H","제공금액 "&amp;TEXT(INDEX($U$5:$U$16,$J448),"#,##0")&amp;"원",IF($M448="C","제공금액",IF($M448="I",INDEX('완료 체험단'!$F$4:$F$2000,$N448),IF($M448="T",INDEX($U$5:$U$16,$J448),""))))</f>
        <v/>
      </c>
      <c r="F448" s="25" t="str">
        <f>IF($M448="H","결제금액 "&amp;TEXT(INDEX($V$5:$V$16,$J448),"#,##0")&amp;"원",IF($M448="C","결제금액",IF($M448="I",INDEX('완료 체험단'!$G$4:$G$2000,$N448),IF($M448="T",INDEX($V$5:$V$16,$J448),""))))</f>
        <v/>
      </c>
      <c r="G448" s="25" t="str">
        <f>IF($M448="H","실수익 "&amp;TEXT(INDEX($W$5:$W$16,$J448),"#,##0")&amp;"원",IF($M448="C","실수익",IF($M448="I",INDEX('완료 체험단'!$H$4:$H$2000,$N448),IF($M448="T",INDEX($W$5:$W$16,$J448),""))))</f>
        <v/>
      </c>
      <c r="I448" s="31">
        <f>ROWS(I$5:I448)</f>
        <v>444</v>
      </c>
      <c r="J448" t="str">
        <f t="shared" si="27"/>
        <v/>
      </c>
      <c r="K448" t="str">
        <f t="shared" si="28"/>
        <v/>
      </c>
      <c r="L448" t="str">
        <f t="shared" si="29"/>
        <v/>
      </c>
      <c r="M448" t="str">
        <f t="shared" si="30"/>
        <v/>
      </c>
      <c r="N448" t="str">
        <f>IF($M448="I",MATCH(SMALL('완료 체험단'!$K$4:$K$2000,INDEX($T$5:$T$16,$J448)+$K448-2),'완료 체험단'!$K$4:$K$2000,0),"")</f>
        <v/>
      </c>
    </row>
    <row r="449" spans="2:14">
      <c r="B449" s="23" t="str">
        <f>IF($M449="H",$J449&amp;"월",IF($M449="C","매장명",IF($M449="I",INDEX('완료 체험단'!$A$4:$A$2000,$N449),IF($M449="T","합계",""))))</f>
        <v/>
      </c>
      <c r="C449" s="29" t="str">
        <f>IF($M449="H",$L449&amp;"건",IF($M449="C","사이트",IF($M449="I",INDEX('완료 체험단'!$C$4:$C$2000,$N449),IF($M449="T",$L449&amp;"건",""))))</f>
        <v/>
      </c>
      <c r="D449" s="30" t="str">
        <f>IF($M449="C","방문일",IF($M449="I",INDEX('완료 체험단'!$D$4:$D$2000,$N449),""))</f>
        <v/>
      </c>
      <c r="E449" s="25" t="str">
        <f>IF($M449="H","제공금액 "&amp;TEXT(INDEX($U$5:$U$16,$J449),"#,##0")&amp;"원",IF($M449="C","제공금액",IF($M449="I",INDEX('완료 체험단'!$F$4:$F$2000,$N449),IF($M449="T",INDEX($U$5:$U$16,$J449),""))))</f>
        <v/>
      </c>
      <c r="F449" s="25" t="str">
        <f>IF($M449="H","결제금액 "&amp;TEXT(INDEX($V$5:$V$16,$J449),"#,##0")&amp;"원",IF($M449="C","결제금액",IF($M449="I",INDEX('완료 체험단'!$G$4:$G$2000,$N449),IF($M449="T",INDEX($V$5:$V$16,$J449),""))))</f>
        <v/>
      </c>
      <c r="G449" s="25" t="str">
        <f>IF($M449="H","실수익 "&amp;TEXT(INDEX($W$5:$W$16,$J449),"#,##0")&amp;"원",IF($M449="C","실수익",IF($M449="I",INDEX('완료 체험단'!$H$4:$H$2000,$N449),IF($M449="T",INDEX($W$5:$W$16,$J449),""))))</f>
        <v/>
      </c>
      <c r="I449" s="31">
        <f>ROWS(I$5:I449)</f>
        <v>445</v>
      </c>
      <c r="J449" t="str">
        <f t="shared" si="27"/>
        <v/>
      </c>
      <c r="K449" t="str">
        <f t="shared" si="28"/>
        <v/>
      </c>
      <c r="L449" t="str">
        <f t="shared" si="29"/>
        <v/>
      </c>
      <c r="M449" t="str">
        <f t="shared" si="30"/>
        <v/>
      </c>
      <c r="N449" t="str">
        <f>IF($M449="I",MATCH(SMALL('완료 체험단'!$K$4:$K$2000,INDEX($T$5:$T$16,$J449)+$K449-2),'완료 체험단'!$K$4:$K$2000,0),"")</f>
        <v/>
      </c>
    </row>
    <row r="450" spans="2:14">
      <c r="B450" s="23" t="str">
        <f>IF($M450="H",$J450&amp;"월",IF($M450="C","매장명",IF($M450="I",INDEX('완료 체험단'!$A$4:$A$2000,$N450),IF($M450="T","합계",""))))</f>
        <v/>
      </c>
      <c r="C450" s="29" t="str">
        <f>IF($M450="H",$L450&amp;"건",IF($M450="C","사이트",IF($M450="I",INDEX('완료 체험단'!$C$4:$C$2000,$N450),IF($M450="T",$L450&amp;"건",""))))</f>
        <v/>
      </c>
      <c r="D450" s="30" t="str">
        <f>IF($M450="C","방문일",IF($M450="I",INDEX('완료 체험단'!$D$4:$D$2000,$N450),""))</f>
        <v/>
      </c>
      <c r="E450" s="25" t="str">
        <f>IF($M450="H","제공금액 "&amp;TEXT(INDEX($U$5:$U$16,$J450),"#,##0")&amp;"원",IF($M450="C","제공금액",IF($M450="I",INDEX('완료 체험단'!$F$4:$F$2000,$N450),IF($M450="T",INDEX($U$5:$U$16,$J450),""))))</f>
        <v/>
      </c>
      <c r="F450" s="25" t="str">
        <f>IF($M450="H","결제금액 "&amp;TEXT(INDEX($V$5:$V$16,$J450),"#,##0")&amp;"원",IF($M450="C","결제금액",IF($M450="I",INDEX('완료 체험단'!$G$4:$G$2000,$N450),IF($M450="T",INDEX($V$5:$V$16,$J450),""))))</f>
        <v/>
      </c>
      <c r="G450" s="25" t="str">
        <f>IF($M450="H","실수익 "&amp;TEXT(INDEX($W$5:$W$16,$J450),"#,##0")&amp;"원",IF($M450="C","실수익",IF($M450="I",INDEX('완료 체험단'!$H$4:$H$2000,$N450),IF($M450="T",INDEX($W$5:$W$16,$J450),""))))</f>
        <v/>
      </c>
      <c r="I450" s="31">
        <f>ROWS(I$5:I450)</f>
        <v>446</v>
      </c>
      <c r="J450" t="str">
        <f t="shared" si="27"/>
        <v/>
      </c>
      <c r="K450" t="str">
        <f t="shared" si="28"/>
        <v/>
      </c>
      <c r="L450" t="str">
        <f t="shared" si="29"/>
        <v/>
      </c>
      <c r="M450" t="str">
        <f t="shared" si="30"/>
        <v/>
      </c>
      <c r="N450" t="str">
        <f>IF($M450="I",MATCH(SMALL('완료 체험단'!$K$4:$K$2000,INDEX($T$5:$T$16,$J450)+$K450-2),'완료 체험단'!$K$4:$K$2000,0),"")</f>
        <v/>
      </c>
    </row>
    <row r="451" spans="2:14">
      <c r="B451" s="23" t="str">
        <f>IF($M451="H",$J451&amp;"월",IF($M451="C","매장명",IF($M451="I",INDEX('완료 체험단'!$A$4:$A$2000,$N451),IF($M451="T","합계",""))))</f>
        <v/>
      </c>
      <c r="C451" s="29" t="str">
        <f>IF($M451="H",$L451&amp;"건",IF($M451="C","사이트",IF($M451="I",INDEX('완료 체험단'!$C$4:$C$2000,$N451),IF($M451="T",$L451&amp;"건",""))))</f>
        <v/>
      </c>
      <c r="D451" s="30" t="str">
        <f>IF($M451="C","방문일",IF($M451="I",INDEX('완료 체험단'!$D$4:$D$2000,$N451),""))</f>
        <v/>
      </c>
      <c r="E451" s="25" t="str">
        <f>IF($M451="H","제공금액 "&amp;TEXT(INDEX($U$5:$U$16,$J451),"#,##0")&amp;"원",IF($M451="C","제공금액",IF($M451="I",INDEX('완료 체험단'!$F$4:$F$2000,$N451),IF($M451="T",INDEX($U$5:$U$16,$J451),""))))</f>
        <v/>
      </c>
      <c r="F451" s="25" t="str">
        <f>IF($M451="H","결제금액 "&amp;TEXT(INDEX($V$5:$V$16,$J451),"#,##0")&amp;"원",IF($M451="C","결제금액",IF($M451="I",INDEX('완료 체험단'!$G$4:$G$2000,$N451),IF($M451="T",INDEX($V$5:$V$16,$J451),""))))</f>
        <v/>
      </c>
      <c r="G451" s="25" t="str">
        <f>IF($M451="H","실수익 "&amp;TEXT(INDEX($W$5:$W$16,$J451),"#,##0")&amp;"원",IF($M451="C","실수익",IF($M451="I",INDEX('완료 체험단'!$H$4:$H$2000,$N451),IF($M451="T",INDEX($W$5:$W$16,$J451),""))))</f>
        <v/>
      </c>
      <c r="I451" s="31">
        <f>ROWS(I$5:I451)</f>
        <v>447</v>
      </c>
      <c r="J451" t="str">
        <f t="shared" si="27"/>
        <v/>
      </c>
      <c r="K451" t="str">
        <f t="shared" si="28"/>
        <v/>
      </c>
      <c r="L451" t="str">
        <f t="shared" si="29"/>
        <v/>
      </c>
      <c r="M451" t="str">
        <f t="shared" si="30"/>
        <v/>
      </c>
      <c r="N451" t="str">
        <f>IF($M451="I",MATCH(SMALL('완료 체험단'!$K$4:$K$2000,INDEX($T$5:$T$16,$J451)+$K451-2),'완료 체험단'!$K$4:$K$2000,0),"")</f>
        <v/>
      </c>
    </row>
    <row r="452" spans="2:14">
      <c r="B452" s="23" t="str">
        <f>IF($M452="H",$J452&amp;"월",IF($M452="C","매장명",IF($M452="I",INDEX('완료 체험단'!$A$4:$A$2000,$N452),IF($M452="T","합계",""))))</f>
        <v/>
      </c>
      <c r="C452" s="29" t="str">
        <f>IF($M452="H",$L452&amp;"건",IF($M452="C","사이트",IF($M452="I",INDEX('완료 체험단'!$C$4:$C$2000,$N452),IF($M452="T",$L452&amp;"건",""))))</f>
        <v/>
      </c>
      <c r="D452" s="30" t="str">
        <f>IF($M452="C","방문일",IF($M452="I",INDEX('완료 체험단'!$D$4:$D$2000,$N452),""))</f>
        <v/>
      </c>
      <c r="E452" s="25" t="str">
        <f>IF($M452="H","제공금액 "&amp;TEXT(INDEX($U$5:$U$16,$J452),"#,##0")&amp;"원",IF($M452="C","제공금액",IF($M452="I",INDEX('완료 체험단'!$F$4:$F$2000,$N452),IF($M452="T",INDEX($U$5:$U$16,$J452),""))))</f>
        <v/>
      </c>
      <c r="F452" s="25" t="str">
        <f>IF($M452="H","결제금액 "&amp;TEXT(INDEX($V$5:$V$16,$J452),"#,##0")&amp;"원",IF($M452="C","결제금액",IF($M452="I",INDEX('완료 체험단'!$G$4:$G$2000,$N452),IF($M452="T",INDEX($V$5:$V$16,$J452),""))))</f>
        <v/>
      </c>
      <c r="G452" s="25" t="str">
        <f>IF($M452="H","실수익 "&amp;TEXT(INDEX($W$5:$W$16,$J452),"#,##0")&amp;"원",IF($M452="C","실수익",IF($M452="I",INDEX('완료 체험단'!$H$4:$H$2000,$N452),IF($M452="T",INDEX($W$5:$W$16,$J452),""))))</f>
        <v/>
      </c>
      <c r="I452" s="31">
        <f>ROWS(I$5:I452)</f>
        <v>448</v>
      </c>
      <c r="J452" t="str">
        <f t="shared" si="27"/>
        <v/>
      </c>
      <c r="K452" t="str">
        <f t="shared" si="28"/>
        <v/>
      </c>
      <c r="L452" t="str">
        <f t="shared" si="29"/>
        <v/>
      </c>
      <c r="M452" t="str">
        <f t="shared" si="30"/>
        <v/>
      </c>
      <c r="N452" t="str">
        <f>IF($M452="I",MATCH(SMALL('완료 체험단'!$K$4:$K$2000,INDEX($T$5:$T$16,$J452)+$K452-2),'완료 체험단'!$K$4:$K$2000,0),"")</f>
        <v/>
      </c>
    </row>
    <row r="453" spans="2:14">
      <c r="B453" s="23" t="str">
        <f>IF($M453="H",$J453&amp;"월",IF($M453="C","매장명",IF($M453="I",INDEX('완료 체험단'!$A$4:$A$2000,$N453),IF($M453="T","합계",""))))</f>
        <v/>
      </c>
      <c r="C453" s="29" t="str">
        <f>IF($M453="H",$L453&amp;"건",IF($M453="C","사이트",IF($M453="I",INDEX('완료 체험단'!$C$4:$C$2000,$N453),IF($M453="T",$L453&amp;"건",""))))</f>
        <v/>
      </c>
      <c r="D453" s="30" t="str">
        <f>IF($M453="C","방문일",IF($M453="I",INDEX('완료 체험단'!$D$4:$D$2000,$N453),""))</f>
        <v/>
      </c>
      <c r="E453" s="25" t="str">
        <f>IF($M453="H","제공금액 "&amp;TEXT(INDEX($U$5:$U$16,$J453),"#,##0")&amp;"원",IF($M453="C","제공금액",IF($M453="I",INDEX('완료 체험단'!$F$4:$F$2000,$N453),IF($M453="T",INDEX($U$5:$U$16,$J453),""))))</f>
        <v/>
      </c>
      <c r="F453" s="25" t="str">
        <f>IF($M453="H","결제금액 "&amp;TEXT(INDEX($V$5:$V$16,$J453),"#,##0")&amp;"원",IF($M453="C","결제금액",IF($M453="I",INDEX('완료 체험단'!$G$4:$G$2000,$N453),IF($M453="T",INDEX($V$5:$V$16,$J453),""))))</f>
        <v/>
      </c>
      <c r="G453" s="25" t="str">
        <f>IF($M453="H","실수익 "&amp;TEXT(INDEX($W$5:$W$16,$J453),"#,##0")&amp;"원",IF($M453="C","실수익",IF($M453="I",INDEX('완료 체험단'!$H$4:$H$2000,$N453),IF($M453="T",INDEX($W$5:$W$16,$J453),""))))</f>
        <v/>
      </c>
      <c r="I453" s="31">
        <f>ROWS(I$5:I453)</f>
        <v>449</v>
      </c>
      <c r="J453" t="str">
        <f t="shared" ref="J453:J516" si="31">IF($I453&gt;$S$17,"",MATCH($I453-1,$S$5:$S$16,1))</f>
        <v/>
      </c>
      <c r="K453" t="str">
        <f t="shared" ref="K453:K516" si="32">IF($J453="","",$I453-INDEX($S$5:$S$16,$J453))</f>
        <v/>
      </c>
      <c r="L453" t="str">
        <f t="shared" ref="L453:L516" si="33">IF($J453="","",INDEX($Q$5:$Q$16,$J453))</f>
        <v/>
      </c>
      <c r="M453" t="str">
        <f t="shared" ref="M453:M516" si="34">IF($J453="","",IF($K453=1,"H",IF($L453=0,"S",IF($K453=2,"C",IF($K453&lt;=$L453+2,"I",IF($K453=$L453+3,"T","S"))))))</f>
        <v/>
      </c>
      <c r="N453" t="str">
        <f>IF($M453="I",MATCH(SMALL('완료 체험단'!$K$4:$K$2000,INDEX($T$5:$T$16,$J453)+$K453-2),'완료 체험단'!$K$4:$K$2000,0),"")</f>
        <v/>
      </c>
    </row>
    <row r="454" spans="2:14">
      <c r="B454" s="23" t="str">
        <f>IF($M454="H",$J454&amp;"월",IF($M454="C","매장명",IF($M454="I",INDEX('완료 체험단'!$A$4:$A$2000,$N454),IF($M454="T","합계",""))))</f>
        <v/>
      </c>
      <c r="C454" s="29" t="str">
        <f>IF($M454="H",$L454&amp;"건",IF($M454="C","사이트",IF($M454="I",INDEX('완료 체험단'!$C$4:$C$2000,$N454),IF($M454="T",$L454&amp;"건",""))))</f>
        <v/>
      </c>
      <c r="D454" s="30" t="str">
        <f>IF($M454="C","방문일",IF($M454="I",INDEX('완료 체험단'!$D$4:$D$2000,$N454),""))</f>
        <v/>
      </c>
      <c r="E454" s="25" t="str">
        <f>IF($M454="H","제공금액 "&amp;TEXT(INDEX($U$5:$U$16,$J454),"#,##0")&amp;"원",IF($M454="C","제공금액",IF($M454="I",INDEX('완료 체험단'!$F$4:$F$2000,$N454),IF($M454="T",INDEX($U$5:$U$16,$J454),""))))</f>
        <v/>
      </c>
      <c r="F454" s="25" t="str">
        <f>IF($M454="H","결제금액 "&amp;TEXT(INDEX($V$5:$V$16,$J454),"#,##0")&amp;"원",IF($M454="C","결제금액",IF($M454="I",INDEX('완료 체험단'!$G$4:$G$2000,$N454),IF($M454="T",INDEX($V$5:$V$16,$J454),""))))</f>
        <v/>
      </c>
      <c r="G454" s="25" t="str">
        <f>IF($M454="H","실수익 "&amp;TEXT(INDEX($W$5:$W$16,$J454),"#,##0")&amp;"원",IF($M454="C","실수익",IF($M454="I",INDEX('완료 체험단'!$H$4:$H$2000,$N454),IF($M454="T",INDEX($W$5:$W$16,$J454),""))))</f>
        <v/>
      </c>
      <c r="I454" s="31">
        <f>ROWS(I$5:I454)</f>
        <v>450</v>
      </c>
      <c r="J454" t="str">
        <f t="shared" si="31"/>
        <v/>
      </c>
      <c r="K454" t="str">
        <f t="shared" si="32"/>
        <v/>
      </c>
      <c r="L454" t="str">
        <f t="shared" si="33"/>
        <v/>
      </c>
      <c r="M454" t="str">
        <f t="shared" si="34"/>
        <v/>
      </c>
      <c r="N454" t="str">
        <f>IF($M454="I",MATCH(SMALL('완료 체험단'!$K$4:$K$2000,INDEX($T$5:$T$16,$J454)+$K454-2),'완료 체험단'!$K$4:$K$2000,0),"")</f>
        <v/>
      </c>
    </row>
    <row r="455" spans="2:14">
      <c r="B455" s="23" t="str">
        <f>IF($M455="H",$J455&amp;"월",IF($M455="C","매장명",IF($M455="I",INDEX('완료 체험단'!$A$4:$A$2000,$N455),IF($M455="T","합계",""))))</f>
        <v/>
      </c>
      <c r="C455" s="29" t="str">
        <f>IF($M455="H",$L455&amp;"건",IF($M455="C","사이트",IF($M455="I",INDEX('완료 체험단'!$C$4:$C$2000,$N455),IF($M455="T",$L455&amp;"건",""))))</f>
        <v/>
      </c>
      <c r="D455" s="30" t="str">
        <f>IF($M455="C","방문일",IF($M455="I",INDEX('완료 체험단'!$D$4:$D$2000,$N455),""))</f>
        <v/>
      </c>
      <c r="E455" s="25" t="str">
        <f>IF($M455="H","제공금액 "&amp;TEXT(INDEX($U$5:$U$16,$J455),"#,##0")&amp;"원",IF($M455="C","제공금액",IF($M455="I",INDEX('완료 체험단'!$F$4:$F$2000,$N455),IF($M455="T",INDEX($U$5:$U$16,$J455),""))))</f>
        <v/>
      </c>
      <c r="F455" s="25" t="str">
        <f>IF($M455="H","결제금액 "&amp;TEXT(INDEX($V$5:$V$16,$J455),"#,##0")&amp;"원",IF($M455="C","결제금액",IF($M455="I",INDEX('완료 체험단'!$G$4:$G$2000,$N455),IF($M455="T",INDEX($V$5:$V$16,$J455),""))))</f>
        <v/>
      </c>
      <c r="G455" s="25" t="str">
        <f>IF($M455="H","실수익 "&amp;TEXT(INDEX($W$5:$W$16,$J455),"#,##0")&amp;"원",IF($M455="C","실수익",IF($M455="I",INDEX('완료 체험단'!$H$4:$H$2000,$N455),IF($M455="T",INDEX($W$5:$W$16,$J455),""))))</f>
        <v/>
      </c>
      <c r="I455" s="31">
        <f>ROWS(I$5:I455)</f>
        <v>451</v>
      </c>
      <c r="J455" t="str">
        <f t="shared" si="31"/>
        <v/>
      </c>
      <c r="K455" t="str">
        <f t="shared" si="32"/>
        <v/>
      </c>
      <c r="L455" t="str">
        <f t="shared" si="33"/>
        <v/>
      </c>
      <c r="M455" t="str">
        <f t="shared" si="34"/>
        <v/>
      </c>
      <c r="N455" t="str">
        <f>IF($M455="I",MATCH(SMALL('완료 체험단'!$K$4:$K$2000,INDEX($T$5:$T$16,$J455)+$K455-2),'완료 체험단'!$K$4:$K$2000,0),"")</f>
        <v/>
      </c>
    </row>
    <row r="456" spans="2:14">
      <c r="B456" s="23" t="str">
        <f>IF($M456="H",$J456&amp;"월",IF($M456="C","매장명",IF($M456="I",INDEX('완료 체험단'!$A$4:$A$2000,$N456),IF($M456="T","합계",""))))</f>
        <v/>
      </c>
      <c r="C456" s="29" t="str">
        <f>IF($M456="H",$L456&amp;"건",IF($M456="C","사이트",IF($M456="I",INDEX('완료 체험단'!$C$4:$C$2000,$N456),IF($M456="T",$L456&amp;"건",""))))</f>
        <v/>
      </c>
      <c r="D456" s="30" t="str">
        <f>IF($M456="C","방문일",IF($M456="I",INDEX('완료 체험단'!$D$4:$D$2000,$N456),""))</f>
        <v/>
      </c>
      <c r="E456" s="25" t="str">
        <f>IF($M456="H","제공금액 "&amp;TEXT(INDEX($U$5:$U$16,$J456),"#,##0")&amp;"원",IF($M456="C","제공금액",IF($M456="I",INDEX('완료 체험단'!$F$4:$F$2000,$N456),IF($M456="T",INDEX($U$5:$U$16,$J456),""))))</f>
        <v/>
      </c>
      <c r="F456" s="25" t="str">
        <f>IF($M456="H","결제금액 "&amp;TEXT(INDEX($V$5:$V$16,$J456),"#,##0")&amp;"원",IF($M456="C","결제금액",IF($M456="I",INDEX('완료 체험단'!$G$4:$G$2000,$N456),IF($M456="T",INDEX($V$5:$V$16,$J456),""))))</f>
        <v/>
      </c>
      <c r="G456" s="25" t="str">
        <f>IF($M456="H","실수익 "&amp;TEXT(INDEX($W$5:$W$16,$J456),"#,##0")&amp;"원",IF($M456="C","실수익",IF($M456="I",INDEX('완료 체험단'!$H$4:$H$2000,$N456),IF($M456="T",INDEX($W$5:$W$16,$J456),""))))</f>
        <v/>
      </c>
      <c r="I456" s="31">
        <f>ROWS(I$5:I456)</f>
        <v>452</v>
      </c>
      <c r="J456" t="str">
        <f t="shared" si="31"/>
        <v/>
      </c>
      <c r="K456" t="str">
        <f t="shared" si="32"/>
        <v/>
      </c>
      <c r="L456" t="str">
        <f t="shared" si="33"/>
        <v/>
      </c>
      <c r="M456" t="str">
        <f t="shared" si="34"/>
        <v/>
      </c>
      <c r="N456" t="str">
        <f>IF($M456="I",MATCH(SMALL('완료 체험단'!$K$4:$K$2000,INDEX($T$5:$T$16,$J456)+$K456-2),'완료 체험단'!$K$4:$K$2000,0),"")</f>
        <v/>
      </c>
    </row>
    <row r="457" spans="2:14">
      <c r="B457" s="23" t="str">
        <f>IF($M457="H",$J457&amp;"월",IF($M457="C","매장명",IF($M457="I",INDEX('완료 체험단'!$A$4:$A$2000,$N457),IF($M457="T","합계",""))))</f>
        <v/>
      </c>
      <c r="C457" s="29" t="str">
        <f>IF($M457="H",$L457&amp;"건",IF($M457="C","사이트",IF($M457="I",INDEX('완료 체험단'!$C$4:$C$2000,$N457),IF($M457="T",$L457&amp;"건",""))))</f>
        <v/>
      </c>
      <c r="D457" s="30" t="str">
        <f>IF($M457="C","방문일",IF($M457="I",INDEX('완료 체험단'!$D$4:$D$2000,$N457),""))</f>
        <v/>
      </c>
      <c r="E457" s="25" t="str">
        <f>IF($M457="H","제공금액 "&amp;TEXT(INDEX($U$5:$U$16,$J457),"#,##0")&amp;"원",IF($M457="C","제공금액",IF($M457="I",INDEX('완료 체험단'!$F$4:$F$2000,$N457),IF($M457="T",INDEX($U$5:$U$16,$J457),""))))</f>
        <v/>
      </c>
      <c r="F457" s="25" t="str">
        <f>IF($M457="H","결제금액 "&amp;TEXT(INDEX($V$5:$V$16,$J457),"#,##0")&amp;"원",IF($M457="C","결제금액",IF($M457="I",INDEX('완료 체험단'!$G$4:$G$2000,$N457),IF($M457="T",INDEX($V$5:$V$16,$J457),""))))</f>
        <v/>
      </c>
      <c r="G457" s="25" t="str">
        <f>IF($M457="H","실수익 "&amp;TEXT(INDEX($W$5:$W$16,$J457),"#,##0")&amp;"원",IF($M457="C","실수익",IF($M457="I",INDEX('완료 체험단'!$H$4:$H$2000,$N457),IF($M457="T",INDEX($W$5:$W$16,$J457),""))))</f>
        <v/>
      </c>
      <c r="I457" s="31">
        <f>ROWS(I$5:I457)</f>
        <v>453</v>
      </c>
      <c r="J457" t="str">
        <f t="shared" si="31"/>
        <v/>
      </c>
      <c r="K457" t="str">
        <f t="shared" si="32"/>
        <v/>
      </c>
      <c r="L457" t="str">
        <f t="shared" si="33"/>
        <v/>
      </c>
      <c r="M457" t="str">
        <f t="shared" si="34"/>
        <v/>
      </c>
      <c r="N457" t="str">
        <f>IF($M457="I",MATCH(SMALL('완료 체험단'!$K$4:$K$2000,INDEX($T$5:$T$16,$J457)+$K457-2),'완료 체험단'!$K$4:$K$2000,0),"")</f>
        <v/>
      </c>
    </row>
    <row r="458" spans="2:14">
      <c r="B458" s="23" t="str">
        <f>IF($M458="H",$J458&amp;"월",IF($M458="C","매장명",IF($M458="I",INDEX('완료 체험단'!$A$4:$A$2000,$N458),IF($M458="T","합계",""))))</f>
        <v/>
      </c>
      <c r="C458" s="29" t="str">
        <f>IF($M458="H",$L458&amp;"건",IF($M458="C","사이트",IF($M458="I",INDEX('완료 체험단'!$C$4:$C$2000,$N458),IF($M458="T",$L458&amp;"건",""))))</f>
        <v/>
      </c>
      <c r="D458" s="30" t="str">
        <f>IF($M458="C","방문일",IF($M458="I",INDEX('완료 체험단'!$D$4:$D$2000,$N458),""))</f>
        <v/>
      </c>
      <c r="E458" s="25" t="str">
        <f>IF($M458="H","제공금액 "&amp;TEXT(INDEX($U$5:$U$16,$J458),"#,##0")&amp;"원",IF($M458="C","제공금액",IF($M458="I",INDEX('완료 체험단'!$F$4:$F$2000,$N458),IF($M458="T",INDEX($U$5:$U$16,$J458),""))))</f>
        <v/>
      </c>
      <c r="F458" s="25" t="str">
        <f>IF($M458="H","결제금액 "&amp;TEXT(INDEX($V$5:$V$16,$J458),"#,##0")&amp;"원",IF($M458="C","결제금액",IF($M458="I",INDEX('완료 체험단'!$G$4:$G$2000,$N458),IF($M458="T",INDEX($V$5:$V$16,$J458),""))))</f>
        <v/>
      </c>
      <c r="G458" s="25" t="str">
        <f>IF($M458="H","실수익 "&amp;TEXT(INDEX($W$5:$W$16,$J458),"#,##0")&amp;"원",IF($M458="C","실수익",IF($M458="I",INDEX('완료 체험단'!$H$4:$H$2000,$N458),IF($M458="T",INDEX($W$5:$W$16,$J458),""))))</f>
        <v/>
      </c>
      <c r="I458" s="31">
        <f>ROWS(I$5:I458)</f>
        <v>454</v>
      </c>
      <c r="J458" t="str">
        <f t="shared" si="31"/>
        <v/>
      </c>
      <c r="K458" t="str">
        <f t="shared" si="32"/>
        <v/>
      </c>
      <c r="L458" t="str">
        <f t="shared" si="33"/>
        <v/>
      </c>
      <c r="M458" t="str">
        <f t="shared" si="34"/>
        <v/>
      </c>
      <c r="N458" t="str">
        <f>IF($M458="I",MATCH(SMALL('완료 체험단'!$K$4:$K$2000,INDEX($T$5:$T$16,$J458)+$K458-2),'완료 체험단'!$K$4:$K$2000,0),"")</f>
        <v/>
      </c>
    </row>
    <row r="459" spans="2:14">
      <c r="B459" s="23" t="str">
        <f>IF($M459="H",$J459&amp;"월",IF($M459="C","매장명",IF($M459="I",INDEX('완료 체험단'!$A$4:$A$2000,$N459),IF($M459="T","합계",""))))</f>
        <v/>
      </c>
      <c r="C459" s="29" t="str">
        <f>IF($M459="H",$L459&amp;"건",IF($M459="C","사이트",IF($M459="I",INDEX('완료 체험단'!$C$4:$C$2000,$N459),IF($M459="T",$L459&amp;"건",""))))</f>
        <v/>
      </c>
      <c r="D459" s="30" t="str">
        <f>IF($M459="C","방문일",IF($M459="I",INDEX('완료 체험단'!$D$4:$D$2000,$N459),""))</f>
        <v/>
      </c>
      <c r="E459" s="25" t="str">
        <f>IF($M459="H","제공금액 "&amp;TEXT(INDEX($U$5:$U$16,$J459),"#,##0")&amp;"원",IF($M459="C","제공금액",IF($M459="I",INDEX('완료 체험단'!$F$4:$F$2000,$N459),IF($M459="T",INDEX($U$5:$U$16,$J459),""))))</f>
        <v/>
      </c>
      <c r="F459" s="25" t="str">
        <f>IF($M459="H","결제금액 "&amp;TEXT(INDEX($V$5:$V$16,$J459),"#,##0")&amp;"원",IF($M459="C","결제금액",IF($M459="I",INDEX('완료 체험단'!$G$4:$G$2000,$N459),IF($M459="T",INDEX($V$5:$V$16,$J459),""))))</f>
        <v/>
      </c>
      <c r="G459" s="25" t="str">
        <f>IF($M459="H","실수익 "&amp;TEXT(INDEX($W$5:$W$16,$J459),"#,##0")&amp;"원",IF($M459="C","실수익",IF($M459="I",INDEX('완료 체험단'!$H$4:$H$2000,$N459),IF($M459="T",INDEX($W$5:$W$16,$J459),""))))</f>
        <v/>
      </c>
      <c r="I459" s="31">
        <f>ROWS(I$5:I459)</f>
        <v>455</v>
      </c>
      <c r="J459" t="str">
        <f t="shared" si="31"/>
        <v/>
      </c>
      <c r="K459" t="str">
        <f t="shared" si="32"/>
        <v/>
      </c>
      <c r="L459" t="str">
        <f t="shared" si="33"/>
        <v/>
      </c>
      <c r="M459" t="str">
        <f t="shared" si="34"/>
        <v/>
      </c>
      <c r="N459" t="str">
        <f>IF($M459="I",MATCH(SMALL('완료 체험단'!$K$4:$K$2000,INDEX($T$5:$T$16,$J459)+$K459-2),'완료 체험단'!$K$4:$K$2000,0),"")</f>
        <v/>
      </c>
    </row>
    <row r="460" spans="2:14">
      <c r="B460" s="23" t="str">
        <f>IF($M460="H",$J460&amp;"월",IF($M460="C","매장명",IF($M460="I",INDEX('완료 체험단'!$A$4:$A$2000,$N460),IF($M460="T","합계",""))))</f>
        <v/>
      </c>
      <c r="C460" s="29" t="str">
        <f>IF($M460="H",$L460&amp;"건",IF($M460="C","사이트",IF($M460="I",INDEX('완료 체험단'!$C$4:$C$2000,$N460),IF($M460="T",$L460&amp;"건",""))))</f>
        <v/>
      </c>
      <c r="D460" s="30" t="str">
        <f>IF($M460="C","방문일",IF($M460="I",INDEX('완료 체험단'!$D$4:$D$2000,$N460),""))</f>
        <v/>
      </c>
      <c r="E460" s="25" t="str">
        <f>IF($M460="H","제공금액 "&amp;TEXT(INDEX($U$5:$U$16,$J460),"#,##0")&amp;"원",IF($M460="C","제공금액",IF($M460="I",INDEX('완료 체험단'!$F$4:$F$2000,$N460),IF($M460="T",INDEX($U$5:$U$16,$J460),""))))</f>
        <v/>
      </c>
      <c r="F460" s="25" t="str">
        <f>IF($M460="H","결제금액 "&amp;TEXT(INDEX($V$5:$V$16,$J460),"#,##0")&amp;"원",IF($M460="C","결제금액",IF($M460="I",INDEX('완료 체험단'!$G$4:$G$2000,$N460),IF($M460="T",INDEX($V$5:$V$16,$J460),""))))</f>
        <v/>
      </c>
      <c r="G460" s="25" t="str">
        <f>IF($M460="H","실수익 "&amp;TEXT(INDEX($W$5:$W$16,$J460),"#,##0")&amp;"원",IF($M460="C","실수익",IF($M460="I",INDEX('완료 체험단'!$H$4:$H$2000,$N460),IF($M460="T",INDEX($W$5:$W$16,$J460),""))))</f>
        <v/>
      </c>
      <c r="I460" s="31">
        <f>ROWS(I$5:I460)</f>
        <v>456</v>
      </c>
      <c r="J460" t="str">
        <f t="shared" si="31"/>
        <v/>
      </c>
      <c r="K460" t="str">
        <f t="shared" si="32"/>
        <v/>
      </c>
      <c r="L460" t="str">
        <f t="shared" si="33"/>
        <v/>
      </c>
      <c r="M460" t="str">
        <f t="shared" si="34"/>
        <v/>
      </c>
      <c r="N460" t="str">
        <f>IF($M460="I",MATCH(SMALL('완료 체험단'!$K$4:$K$2000,INDEX($T$5:$T$16,$J460)+$K460-2),'완료 체험단'!$K$4:$K$2000,0),"")</f>
        <v/>
      </c>
    </row>
    <row r="461" spans="2:14">
      <c r="B461" s="23" t="str">
        <f>IF($M461="H",$J461&amp;"월",IF($M461="C","매장명",IF($M461="I",INDEX('완료 체험단'!$A$4:$A$2000,$N461),IF($M461="T","합계",""))))</f>
        <v/>
      </c>
      <c r="C461" s="29" t="str">
        <f>IF($M461="H",$L461&amp;"건",IF($M461="C","사이트",IF($M461="I",INDEX('완료 체험단'!$C$4:$C$2000,$N461),IF($M461="T",$L461&amp;"건",""))))</f>
        <v/>
      </c>
      <c r="D461" s="30" t="str">
        <f>IF($M461="C","방문일",IF($M461="I",INDEX('완료 체험단'!$D$4:$D$2000,$N461),""))</f>
        <v/>
      </c>
      <c r="E461" s="25" t="str">
        <f>IF($M461="H","제공금액 "&amp;TEXT(INDEX($U$5:$U$16,$J461),"#,##0")&amp;"원",IF($M461="C","제공금액",IF($M461="I",INDEX('완료 체험단'!$F$4:$F$2000,$N461),IF($M461="T",INDEX($U$5:$U$16,$J461),""))))</f>
        <v/>
      </c>
      <c r="F461" s="25" t="str">
        <f>IF($M461="H","결제금액 "&amp;TEXT(INDEX($V$5:$V$16,$J461),"#,##0")&amp;"원",IF($M461="C","결제금액",IF($M461="I",INDEX('완료 체험단'!$G$4:$G$2000,$N461),IF($M461="T",INDEX($V$5:$V$16,$J461),""))))</f>
        <v/>
      </c>
      <c r="G461" s="25" t="str">
        <f>IF($M461="H","실수익 "&amp;TEXT(INDEX($W$5:$W$16,$J461),"#,##0")&amp;"원",IF($M461="C","실수익",IF($M461="I",INDEX('완료 체험단'!$H$4:$H$2000,$N461),IF($M461="T",INDEX($W$5:$W$16,$J461),""))))</f>
        <v/>
      </c>
      <c r="I461" s="31">
        <f>ROWS(I$5:I461)</f>
        <v>457</v>
      </c>
      <c r="J461" t="str">
        <f t="shared" si="31"/>
        <v/>
      </c>
      <c r="K461" t="str">
        <f t="shared" si="32"/>
        <v/>
      </c>
      <c r="L461" t="str">
        <f t="shared" si="33"/>
        <v/>
      </c>
      <c r="M461" t="str">
        <f t="shared" si="34"/>
        <v/>
      </c>
      <c r="N461" t="str">
        <f>IF($M461="I",MATCH(SMALL('완료 체험단'!$K$4:$K$2000,INDEX($T$5:$T$16,$J461)+$K461-2),'완료 체험단'!$K$4:$K$2000,0),"")</f>
        <v/>
      </c>
    </row>
    <row r="462" spans="2:14">
      <c r="B462" s="23" t="str">
        <f>IF($M462="H",$J462&amp;"월",IF($M462="C","매장명",IF($M462="I",INDEX('완료 체험단'!$A$4:$A$2000,$N462),IF($M462="T","합계",""))))</f>
        <v/>
      </c>
      <c r="C462" s="29" t="str">
        <f>IF($M462="H",$L462&amp;"건",IF($M462="C","사이트",IF($M462="I",INDEX('완료 체험단'!$C$4:$C$2000,$N462),IF($M462="T",$L462&amp;"건",""))))</f>
        <v/>
      </c>
      <c r="D462" s="30" t="str">
        <f>IF($M462="C","방문일",IF($M462="I",INDEX('완료 체험단'!$D$4:$D$2000,$N462),""))</f>
        <v/>
      </c>
      <c r="E462" s="25" t="str">
        <f>IF($M462="H","제공금액 "&amp;TEXT(INDEX($U$5:$U$16,$J462),"#,##0")&amp;"원",IF($M462="C","제공금액",IF($M462="I",INDEX('완료 체험단'!$F$4:$F$2000,$N462),IF($M462="T",INDEX($U$5:$U$16,$J462),""))))</f>
        <v/>
      </c>
      <c r="F462" s="25" t="str">
        <f>IF($M462="H","결제금액 "&amp;TEXT(INDEX($V$5:$V$16,$J462),"#,##0")&amp;"원",IF($M462="C","결제금액",IF($M462="I",INDEX('완료 체험단'!$G$4:$G$2000,$N462),IF($M462="T",INDEX($V$5:$V$16,$J462),""))))</f>
        <v/>
      </c>
      <c r="G462" s="25" t="str">
        <f>IF($M462="H","실수익 "&amp;TEXT(INDEX($W$5:$W$16,$J462),"#,##0")&amp;"원",IF($M462="C","실수익",IF($M462="I",INDEX('완료 체험단'!$H$4:$H$2000,$N462),IF($M462="T",INDEX($W$5:$W$16,$J462),""))))</f>
        <v/>
      </c>
      <c r="I462" s="31">
        <f>ROWS(I$5:I462)</f>
        <v>458</v>
      </c>
      <c r="J462" t="str">
        <f t="shared" si="31"/>
        <v/>
      </c>
      <c r="K462" t="str">
        <f t="shared" si="32"/>
        <v/>
      </c>
      <c r="L462" t="str">
        <f t="shared" si="33"/>
        <v/>
      </c>
      <c r="M462" t="str">
        <f t="shared" si="34"/>
        <v/>
      </c>
      <c r="N462" t="str">
        <f>IF($M462="I",MATCH(SMALL('완료 체험단'!$K$4:$K$2000,INDEX($T$5:$T$16,$J462)+$K462-2),'완료 체험단'!$K$4:$K$2000,0),"")</f>
        <v/>
      </c>
    </row>
    <row r="463" spans="2:14">
      <c r="B463" s="23" t="str">
        <f>IF($M463="H",$J463&amp;"월",IF($M463="C","매장명",IF($M463="I",INDEX('완료 체험단'!$A$4:$A$2000,$N463),IF($M463="T","합계",""))))</f>
        <v/>
      </c>
      <c r="C463" s="29" t="str">
        <f>IF($M463="H",$L463&amp;"건",IF($M463="C","사이트",IF($M463="I",INDEX('완료 체험단'!$C$4:$C$2000,$N463),IF($M463="T",$L463&amp;"건",""))))</f>
        <v/>
      </c>
      <c r="D463" s="30" t="str">
        <f>IF($M463="C","방문일",IF($M463="I",INDEX('완료 체험단'!$D$4:$D$2000,$N463),""))</f>
        <v/>
      </c>
      <c r="E463" s="25" t="str">
        <f>IF($M463="H","제공금액 "&amp;TEXT(INDEX($U$5:$U$16,$J463),"#,##0")&amp;"원",IF($M463="C","제공금액",IF($M463="I",INDEX('완료 체험단'!$F$4:$F$2000,$N463),IF($M463="T",INDEX($U$5:$U$16,$J463),""))))</f>
        <v/>
      </c>
      <c r="F463" s="25" t="str">
        <f>IF($M463="H","결제금액 "&amp;TEXT(INDEX($V$5:$V$16,$J463),"#,##0")&amp;"원",IF($M463="C","결제금액",IF($M463="I",INDEX('완료 체험단'!$G$4:$G$2000,$N463),IF($M463="T",INDEX($V$5:$V$16,$J463),""))))</f>
        <v/>
      </c>
      <c r="G463" s="25" t="str">
        <f>IF($M463="H","실수익 "&amp;TEXT(INDEX($W$5:$W$16,$J463),"#,##0")&amp;"원",IF($M463="C","실수익",IF($M463="I",INDEX('완료 체험단'!$H$4:$H$2000,$N463),IF($M463="T",INDEX($W$5:$W$16,$J463),""))))</f>
        <v/>
      </c>
      <c r="I463" s="31">
        <f>ROWS(I$5:I463)</f>
        <v>459</v>
      </c>
      <c r="J463" t="str">
        <f t="shared" si="31"/>
        <v/>
      </c>
      <c r="K463" t="str">
        <f t="shared" si="32"/>
        <v/>
      </c>
      <c r="L463" t="str">
        <f t="shared" si="33"/>
        <v/>
      </c>
      <c r="M463" t="str">
        <f t="shared" si="34"/>
        <v/>
      </c>
      <c r="N463" t="str">
        <f>IF($M463="I",MATCH(SMALL('완료 체험단'!$K$4:$K$2000,INDEX($T$5:$T$16,$J463)+$K463-2),'완료 체험단'!$K$4:$K$2000,0),"")</f>
        <v/>
      </c>
    </row>
    <row r="464" spans="2:14">
      <c r="B464" s="23" t="str">
        <f>IF($M464="H",$J464&amp;"월",IF($M464="C","매장명",IF($M464="I",INDEX('완료 체험단'!$A$4:$A$2000,$N464),IF($M464="T","합계",""))))</f>
        <v/>
      </c>
      <c r="C464" s="29" t="str">
        <f>IF($M464="H",$L464&amp;"건",IF($M464="C","사이트",IF($M464="I",INDEX('완료 체험단'!$C$4:$C$2000,$N464),IF($M464="T",$L464&amp;"건",""))))</f>
        <v/>
      </c>
      <c r="D464" s="30" t="str">
        <f>IF($M464="C","방문일",IF($M464="I",INDEX('완료 체험단'!$D$4:$D$2000,$N464),""))</f>
        <v/>
      </c>
      <c r="E464" s="25" t="str">
        <f>IF($M464="H","제공금액 "&amp;TEXT(INDEX($U$5:$U$16,$J464),"#,##0")&amp;"원",IF($M464="C","제공금액",IF($M464="I",INDEX('완료 체험단'!$F$4:$F$2000,$N464),IF($M464="T",INDEX($U$5:$U$16,$J464),""))))</f>
        <v/>
      </c>
      <c r="F464" s="25" t="str">
        <f>IF($M464="H","결제금액 "&amp;TEXT(INDEX($V$5:$V$16,$J464),"#,##0")&amp;"원",IF($M464="C","결제금액",IF($M464="I",INDEX('완료 체험단'!$G$4:$G$2000,$N464),IF($M464="T",INDEX($V$5:$V$16,$J464),""))))</f>
        <v/>
      </c>
      <c r="G464" s="25" t="str">
        <f>IF($M464="H","실수익 "&amp;TEXT(INDEX($W$5:$W$16,$J464),"#,##0")&amp;"원",IF($M464="C","실수익",IF($M464="I",INDEX('완료 체험단'!$H$4:$H$2000,$N464),IF($M464="T",INDEX($W$5:$W$16,$J464),""))))</f>
        <v/>
      </c>
      <c r="I464" s="31">
        <f>ROWS(I$5:I464)</f>
        <v>460</v>
      </c>
      <c r="J464" t="str">
        <f t="shared" si="31"/>
        <v/>
      </c>
      <c r="K464" t="str">
        <f t="shared" si="32"/>
        <v/>
      </c>
      <c r="L464" t="str">
        <f t="shared" si="33"/>
        <v/>
      </c>
      <c r="M464" t="str">
        <f t="shared" si="34"/>
        <v/>
      </c>
      <c r="N464" t="str">
        <f>IF($M464="I",MATCH(SMALL('완료 체험단'!$K$4:$K$2000,INDEX($T$5:$T$16,$J464)+$K464-2),'완료 체험단'!$K$4:$K$2000,0),"")</f>
        <v/>
      </c>
    </row>
    <row r="465" spans="2:14">
      <c r="B465" s="23" t="str">
        <f>IF($M465="H",$J465&amp;"월",IF($M465="C","매장명",IF($M465="I",INDEX('완료 체험단'!$A$4:$A$2000,$N465),IF($M465="T","합계",""))))</f>
        <v/>
      </c>
      <c r="C465" s="29" t="str">
        <f>IF($M465="H",$L465&amp;"건",IF($M465="C","사이트",IF($M465="I",INDEX('완료 체험단'!$C$4:$C$2000,$N465),IF($M465="T",$L465&amp;"건",""))))</f>
        <v/>
      </c>
      <c r="D465" s="30" t="str">
        <f>IF($M465="C","방문일",IF($M465="I",INDEX('완료 체험단'!$D$4:$D$2000,$N465),""))</f>
        <v/>
      </c>
      <c r="E465" s="25" t="str">
        <f>IF($M465="H","제공금액 "&amp;TEXT(INDEX($U$5:$U$16,$J465),"#,##0")&amp;"원",IF($M465="C","제공금액",IF($M465="I",INDEX('완료 체험단'!$F$4:$F$2000,$N465),IF($M465="T",INDEX($U$5:$U$16,$J465),""))))</f>
        <v/>
      </c>
      <c r="F465" s="25" t="str">
        <f>IF($M465="H","결제금액 "&amp;TEXT(INDEX($V$5:$V$16,$J465),"#,##0")&amp;"원",IF($M465="C","결제금액",IF($M465="I",INDEX('완료 체험단'!$G$4:$G$2000,$N465),IF($M465="T",INDEX($V$5:$V$16,$J465),""))))</f>
        <v/>
      </c>
      <c r="G465" s="25" t="str">
        <f>IF($M465="H","실수익 "&amp;TEXT(INDEX($W$5:$W$16,$J465),"#,##0")&amp;"원",IF($M465="C","실수익",IF($M465="I",INDEX('완료 체험단'!$H$4:$H$2000,$N465),IF($M465="T",INDEX($W$5:$W$16,$J465),""))))</f>
        <v/>
      </c>
      <c r="I465" s="31">
        <f>ROWS(I$5:I465)</f>
        <v>461</v>
      </c>
      <c r="J465" t="str">
        <f t="shared" si="31"/>
        <v/>
      </c>
      <c r="K465" t="str">
        <f t="shared" si="32"/>
        <v/>
      </c>
      <c r="L465" t="str">
        <f t="shared" si="33"/>
        <v/>
      </c>
      <c r="M465" t="str">
        <f t="shared" si="34"/>
        <v/>
      </c>
      <c r="N465" t="str">
        <f>IF($M465="I",MATCH(SMALL('완료 체험단'!$K$4:$K$2000,INDEX($T$5:$T$16,$J465)+$K465-2),'완료 체험단'!$K$4:$K$2000,0),"")</f>
        <v/>
      </c>
    </row>
    <row r="466" spans="2:14">
      <c r="B466" s="23" t="str">
        <f>IF($M466="H",$J466&amp;"월",IF($M466="C","매장명",IF($M466="I",INDEX('완료 체험단'!$A$4:$A$2000,$N466),IF($M466="T","합계",""))))</f>
        <v/>
      </c>
      <c r="C466" s="29" t="str">
        <f>IF($M466="H",$L466&amp;"건",IF($M466="C","사이트",IF($M466="I",INDEX('완료 체험단'!$C$4:$C$2000,$N466),IF($M466="T",$L466&amp;"건",""))))</f>
        <v/>
      </c>
      <c r="D466" s="30" t="str">
        <f>IF($M466="C","방문일",IF($M466="I",INDEX('완료 체험단'!$D$4:$D$2000,$N466),""))</f>
        <v/>
      </c>
      <c r="E466" s="25" t="str">
        <f>IF($M466="H","제공금액 "&amp;TEXT(INDEX($U$5:$U$16,$J466),"#,##0")&amp;"원",IF($M466="C","제공금액",IF($M466="I",INDEX('완료 체험단'!$F$4:$F$2000,$N466),IF($M466="T",INDEX($U$5:$U$16,$J466),""))))</f>
        <v/>
      </c>
      <c r="F466" s="25" t="str">
        <f>IF($M466="H","결제금액 "&amp;TEXT(INDEX($V$5:$V$16,$J466),"#,##0")&amp;"원",IF($M466="C","결제금액",IF($M466="I",INDEX('완료 체험단'!$G$4:$G$2000,$N466),IF($M466="T",INDEX($V$5:$V$16,$J466),""))))</f>
        <v/>
      </c>
      <c r="G466" s="25" t="str">
        <f>IF($M466="H","실수익 "&amp;TEXT(INDEX($W$5:$W$16,$J466),"#,##0")&amp;"원",IF($M466="C","실수익",IF($M466="I",INDEX('완료 체험단'!$H$4:$H$2000,$N466),IF($M466="T",INDEX($W$5:$W$16,$J466),""))))</f>
        <v/>
      </c>
      <c r="I466" s="31">
        <f>ROWS(I$5:I466)</f>
        <v>462</v>
      </c>
      <c r="J466" t="str">
        <f t="shared" si="31"/>
        <v/>
      </c>
      <c r="K466" t="str">
        <f t="shared" si="32"/>
        <v/>
      </c>
      <c r="L466" t="str">
        <f t="shared" si="33"/>
        <v/>
      </c>
      <c r="M466" t="str">
        <f t="shared" si="34"/>
        <v/>
      </c>
      <c r="N466" t="str">
        <f>IF($M466="I",MATCH(SMALL('완료 체험단'!$K$4:$K$2000,INDEX($T$5:$T$16,$J466)+$K466-2),'완료 체험단'!$K$4:$K$2000,0),"")</f>
        <v/>
      </c>
    </row>
    <row r="467" spans="2:14">
      <c r="B467" s="23" t="str">
        <f>IF($M467="H",$J467&amp;"월",IF($M467="C","매장명",IF($M467="I",INDEX('완료 체험단'!$A$4:$A$2000,$N467),IF($M467="T","합계",""))))</f>
        <v/>
      </c>
      <c r="C467" s="29" t="str">
        <f>IF($M467="H",$L467&amp;"건",IF($M467="C","사이트",IF($M467="I",INDEX('완료 체험단'!$C$4:$C$2000,$N467),IF($M467="T",$L467&amp;"건",""))))</f>
        <v/>
      </c>
      <c r="D467" s="30" t="str">
        <f>IF($M467="C","방문일",IF($M467="I",INDEX('완료 체험단'!$D$4:$D$2000,$N467),""))</f>
        <v/>
      </c>
      <c r="E467" s="25" t="str">
        <f>IF($M467="H","제공금액 "&amp;TEXT(INDEX($U$5:$U$16,$J467),"#,##0")&amp;"원",IF($M467="C","제공금액",IF($M467="I",INDEX('완료 체험단'!$F$4:$F$2000,$N467),IF($M467="T",INDEX($U$5:$U$16,$J467),""))))</f>
        <v/>
      </c>
      <c r="F467" s="25" t="str">
        <f>IF($M467="H","결제금액 "&amp;TEXT(INDEX($V$5:$V$16,$J467),"#,##0")&amp;"원",IF($M467="C","결제금액",IF($M467="I",INDEX('완료 체험단'!$G$4:$G$2000,$N467),IF($M467="T",INDEX($V$5:$V$16,$J467),""))))</f>
        <v/>
      </c>
      <c r="G467" s="25" t="str">
        <f>IF($M467="H","실수익 "&amp;TEXT(INDEX($W$5:$W$16,$J467),"#,##0")&amp;"원",IF($M467="C","실수익",IF($M467="I",INDEX('완료 체험단'!$H$4:$H$2000,$N467),IF($M467="T",INDEX($W$5:$W$16,$J467),""))))</f>
        <v/>
      </c>
      <c r="I467" s="31">
        <f>ROWS(I$5:I467)</f>
        <v>463</v>
      </c>
      <c r="J467" t="str">
        <f t="shared" si="31"/>
        <v/>
      </c>
      <c r="K467" t="str">
        <f t="shared" si="32"/>
        <v/>
      </c>
      <c r="L467" t="str">
        <f t="shared" si="33"/>
        <v/>
      </c>
      <c r="M467" t="str">
        <f t="shared" si="34"/>
        <v/>
      </c>
      <c r="N467" t="str">
        <f>IF($M467="I",MATCH(SMALL('완료 체험단'!$K$4:$K$2000,INDEX($T$5:$T$16,$J467)+$K467-2),'완료 체험단'!$K$4:$K$2000,0),"")</f>
        <v/>
      </c>
    </row>
    <row r="468" spans="2:14">
      <c r="B468" s="23" t="str">
        <f>IF($M468="H",$J468&amp;"월",IF($M468="C","매장명",IF($M468="I",INDEX('완료 체험단'!$A$4:$A$2000,$N468),IF($M468="T","합계",""))))</f>
        <v/>
      </c>
      <c r="C468" s="29" t="str">
        <f>IF($M468="H",$L468&amp;"건",IF($M468="C","사이트",IF($M468="I",INDEX('완료 체험단'!$C$4:$C$2000,$N468),IF($M468="T",$L468&amp;"건",""))))</f>
        <v/>
      </c>
      <c r="D468" s="30" t="str">
        <f>IF($M468="C","방문일",IF($M468="I",INDEX('완료 체험단'!$D$4:$D$2000,$N468),""))</f>
        <v/>
      </c>
      <c r="E468" s="25" t="str">
        <f>IF($M468="H","제공금액 "&amp;TEXT(INDEX($U$5:$U$16,$J468),"#,##0")&amp;"원",IF($M468="C","제공금액",IF($M468="I",INDEX('완료 체험단'!$F$4:$F$2000,$N468),IF($M468="T",INDEX($U$5:$U$16,$J468),""))))</f>
        <v/>
      </c>
      <c r="F468" s="25" t="str">
        <f>IF($M468="H","결제금액 "&amp;TEXT(INDEX($V$5:$V$16,$J468),"#,##0")&amp;"원",IF($M468="C","결제금액",IF($M468="I",INDEX('완료 체험단'!$G$4:$G$2000,$N468),IF($M468="T",INDEX($V$5:$V$16,$J468),""))))</f>
        <v/>
      </c>
      <c r="G468" s="25" t="str">
        <f>IF($M468="H","실수익 "&amp;TEXT(INDEX($W$5:$W$16,$J468),"#,##0")&amp;"원",IF($M468="C","실수익",IF($M468="I",INDEX('완료 체험단'!$H$4:$H$2000,$N468),IF($M468="T",INDEX($W$5:$W$16,$J468),""))))</f>
        <v/>
      </c>
      <c r="I468" s="31">
        <f>ROWS(I$5:I468)</f>
        <v>464</v>
      </c>
      <c r="J468" t="str">
        <f t="shared" si="31"/>
        <v/>
      </c>
      <c r="K468" t="str">
        <f t="shared" si="32"/>
        <v/>
      </c>
      <c r="L468" t="str">
        <f t="shared" si="33"/>
        <v/>
      </c>
      <c r="M468" t="str">
        <f t="shared" si="34"/>
        <v/>
      </c>
      <c r="N468" t="str">
        <f>IF($M468="I",MATCH(SMALL('완료 체험단'!$K$4:$K$2000,INDEX($T$5:$T$16,$J468)+$K468-2),'완료 체험단'!$K$4:$K$2000,0),"")</f>
        <v/>
      </c>
    </row>
    <row r="469" spans="2:14">
      <c r="B469" s="23" t="str">
        <f>IF($M469="H",$J469&amp;"월",IF($M469="C","매장명",IF($M469="I",INDEX('완료 체험단'!$A$4:$A$2000,$N469),IF($M469="T","합계",""))))</f>
        <v/>
      </c>
      <c r="C469" s="29" t="str">
        <f>IF($M469="H",$L469&amp;"건",IF($M469="C","사이트",IF($M469="I",INDEX('완료 체험단'!$C$4:$C$2000,$N469),IF($M469="T",$L469&amp;"건",""))))</f>
        <v/>
      </c>
      <c r="D469" s="30" t="str">
        <f>IF($M469="C","방문일",IF($M469="I",INDEX('완료 체험단'!$D$4:$D$2000,$N469),""))</f>
        <v/>
      </c>
      <c r="E469" s="25" t="str">
        <f>IF($M469="H","제공금액 "&amp;TEXT(INDEX($U$5:$U$16,$J469),"#,##0")&amp;"원",IF($M469="C","제공금액",IF($M469="I",INDEX('완료 체험단'!$F$4:$F$2000,$N469),IF($M469="T",INDEX($U$5:$U$16,$J469),""))))</f>
        <v/>
      </c>
      <c r="F469" s="25" t="str">
        <f>IF($M469="H","결제금액 "&amp;TEXT(INDEX($V$5:$V$16,$J469),"#,##0")&amp;"원",IF($M469="C","결제금액",IF($M469="I",INDEX('완료 체험단'!$G$4:$G$2000,$N469),IF($M469="T",INDEX($V$5:$V$16,$J469),""))))</f>
        <v/>
      </c>
      <c r="G469" s="25" t="str">
        <f>IF($M469="H","실수익 "&amp;TEXT(INDEX($W$5:$W$16,$J469),"#,##0")&amp;"원",IF($M469="C","실수익",IF($M469="I",INDEX('완료 체험단'!$H$4:$H$2000,$N469),IF($M469="T",INDEX($W$5:$W$16,$J469),""))))</f>
        <v/>
      </c>
      <c r="I469" s="31">
        <f>ROWS(I$5:I469)</f>
        <v>465</v>
      </c>
      <c r="J469" t="str">
        <f t="shared" si="31"/>
        <v/>
      </c>
      <c r="K469" t="str">
        <f t="shared" si="32"/>
        <v/>
      </c>
      <c r="L469" t="str">
        <f t="shared" si="33"/>
        <v/>
      </c>
      <c r="M469" t="str">
        <f t="shared" si="34"/>
        <v/>
      </c>
      <c r="N469" t="str">
        <f>IF($M469="I",MATCH(SMALL('완료 체험단'!$K$4:$K$2000,INDEX($T$5:$T$16,$J469)+$K469-2),'완료 체험단'!$K$4:$K$2000,0),"")</f>
        <v/>
      </c>
    </row>
    <row r="470" spans="2:14">
      <c r="B470" s="23" t="str">
        <f>IF($M470="H",$J470&amp;"월",IF($M470="C","매장명",IF($M470="I",INDEX('완료 체험단'!$A$4:$A$2000,$N470),IF($M470="T","합계",""))))</f>
        <v/>
      </c>
      <c r="C470" s="29" t="str">
        <f>IF($M470="H",$L470&amp;"건",IF($M470="C","사이트",IF($M470="I",INDEX('완료 체험단'!$C$4:$C$2000,$N470),IF($M470="T",$L470&amp;"건",""))))</f>
        <v/>
      </c>
      <c r="D470" s="30" t="str">
        <f>IF($M470="C","방문일",IF($M470="I",INDEX('완료 체험단'!$D$4:$D$2000,$N470),""))</f>
        <v/>
      </c>
      <c r="E470" s="25" t="str">
        <f>IF($M470="H","제공금액 "&amp;TEXT(INDEX($U$5:$U$16,$J470),"#,##0")&amp;"원",IF($M470="C","제공금액",IF($M470="I",INDEX('완료 체험단'!$F$4:$F$2000,$N470),IF($M470="T",INDEX($U$5:$U$16,$J470),""))))</f>
        <v/>
      </c>
      <c r="F470" s="25" t="str">
        <f>IF($M470="H","결제금액 "&amp;TEXT(INDEX($V$5:$V$16,$J470),"#,##0")&amp;"원",IF($M470="C","결제금액",IF($M470="I",INDEX('완료 체험단'!$G$4:$G$2000,$N470),IF($M470="T",INDEX($V$5:$V$16,$J470),""))))</f>
        <v/>
      </c>
      <c r="G470" s="25" t="str">
        <f>IF($M470="H","실수익 "&amp;TEXT(INDEX($W$5:$W$16,$J470),"#,##0")&amp;"원",IF($M470="C","실수익",IF($M470="I",INDEX('완료 체험단'!$H$4:$H$2000,$N470),IF($M470="T",INDEX($W$5:$W$16,$J470),""))))</f>
        <v/>
      </c>
      <c r="I470" s="31">
        <f>ROWS(I$5:I470)</f>
        <v>466</v>
      </c>
      <c r="J470" t="str">
        <f t="shared" si="31"/>
        <v/>
      </c>
      <c r="K470" t="str">
        <f t="shared" si="32"/>
        <v/>
      </c>
      <c r="L470" t="str">
        <f t="shared" si="33"/>
        <v/>
      </c>
      <c r="M470" t="str">
        <f t="shared" si="34"/>
        <v/>
      </c>
      <c r="N470" t="str">
        <f>IF($M470="I",MATCH(SMALL('완료 체험단'!$K$4:$K$2000,INDEX($T$5:$T$16,$J470)+$K470-2),'완료 체험단'!$K$4:$K$2000,0),"")</f>
        <v/>
      </c>
    </row>
    <row r="471" spans="2:14">
      <c r="B471" s="23" t="str">
        <f>IF($M471="H",$J471&amp;"월",IF($M471="C","매장명",IF($M471="I",INDEX('완료 체험단'!$A$4:$A$2000,$N471),IF($M471="T","합계",""))))</f>
        <v/>
      </c>
      <c r="C471" s="29" t="str">
        <f>IF($M471="H",$L471&amp;"건",IF($M471="C","사이트",IF($M471="I",INDEX('완료 체험단'!$C$4:$C$2000,$N471),IF($M471="T",$L471&amp;"건",""))))</f>
        <v/>
      </c>
      <c r="D471" s="30" t="str">
        <f>IF($M471="C","방문일",IF($M471="I",INDEX('완료 체험단'!$D$4:$D$2000,$N471),""))</f>
        <v/>
      </c>
      <c r="E471" s="25" t="str">
        <f>IF($M471="H","제공금액 "&amp;TEXT(INDEX($U$5:$U$16,$J471),"#,##0")&amp;"원",IF($M471="C","제공금액",IF($M471="I",INDEX('완료 체험단'!$F$4:$F$2000,$N471),IF($M471="T",INDEX($U$5:$U$16,$J471),""))))</f>
        <v/>
      </c>
      <c r="F471" s="25" t="str">
        <f>IF($M471="H","결제금액 "&amp;TEXT(INDEX($V$5:$V$16,$J471),"#,##0")&amp;"원",IF($M471="C","결제금액",IF($M471="I",INDEX('완료 체험단'!$G$4:$G$2000,$N471),IF($M471="T",INDEX($V$5:$V$16,$J471),""))))</f>
        <v/>
      </c>
      <c r="G471" s="25" t="str">
        <f>IF($M471="H","실수익 "&amp;TEXT(INDEX($W$5:$W$16,$J471),"#,##0")&amp;"원",IF($M471="C","실수익",IF($M471="I",INDEX('완료 체험단'!$H$4:$H$2000,$N471),IF($M471="T",INDEX($W$5:$W$16,$J471),""))))</f>
        <v/>
      </c>
      <c r="I471" s="31">
        <f>ROWS(I$5:I471)</f>
        <v>467</v>
      </c>
      <c r="J471" t="str">
        <f t="shared" si="31"/>
        <v/>
      </c>
      <c r="K471" t="str">
        <f t="shared" si="32"/>
        <v/>
      </c>
      <c r="L471" t="str">
        <f t="shared" si="33"/>
        <v/>
      </c>
      <c r="M471" t="str">
        <f t="shared" si="34"/>
        <v/>
      </c>
      <c r="N471" t="str">
        <f>IF($M471="I",MATCH(SMALL('완료 체험단'!$K$4:$K$2000,INDEX($T$5:$T$16,$J471)+$K471-2),'완료 체험단'!$K$4:$K$2000,0),"")</f>
        <v/>
      </c>
    </row>
    <row r="472" spans="2:14">
      <c r="B472" s="23" t="str">
        <f>IF($M472="H",$J472&amp;"월",IF($M472="C","매장명",IF($M472="I",INDEX('완료 체험단'!$A$4:$A$2000,$N472),IF($M472="T","합계",""))))</f>
        <v/>
      </c>
      <c r="C472" s="29" t="str">
        <f>IF($M472="H",$L472&amp;"건",IF($M472="C","사이트",IF($M472="I",INDEX('완료 체험단'!$C$4:$C$2000,$N472),IF($M472="T",$L472&amp;"건",""))))</f>
        <v/>
      </c>
      <c r="D472" s="30" t="str">
        <f>IF($M472="C","방문일",IF($M472="I",INDEX('완료 체험단'!$D$4:$D$2000,$N472),""))</f>
        <v/>
      </c>
      <c r="E472" s="25" t="str">
        <f>IF($M472="H","제공금액 "&amp;TEXT(INDEX($U$5:$U$16,$J472),"#,##0")&amp;"원",IF($M472="C","제공금액",IF($M472="I",INDEX('완료 체험단'!$F$4:$F$2000,$N472),IF($M472="T",INDEX($U$5:$U$16,$J472),""))))</f>
        <v/>
      </c>
      <c r="F472" s="25" t="str">
        <f>IF($M472="H","결제금액 "&amp;TEXT(INDEX($V$5:$V$16,$J472),"#,##0")&amp;"원",IF($M472="C","결제금액",IF($M472="I",INDEX('완료 체험단'!$G$4:$G$2000,$N472),IF($M472="T",INDEX($V$5:$V$16,$J472),""))))</f>
        <v/>
      </c>
      <c r="G472" s="25" t="str">
        <f>IF($M472="H","실수익 "&amp;TEXT(INDEX($W$5:$W$16,$J472),"#,##0")&amp;"원",IF($M472="C","실수익",IF($M472="I",INDEX('완료 체험단'!$H$4:$H$2000,$N472),IF($M472="T",INDEX($W$5:$W$16,$J472),""))))</f>
        <v/>
      </c>
      <c r="I472" s="31">
        <f>ROWS(I$5:I472)</f>
        <v>468</v>
      </c>
      <c r="J472" t="str">
        <f t="shared" si="31"/>
        <v/>
      </c>
      <c r="K472" t="str">
        <f t="shared" si="32"/>
        <v/>
      </c>
      <c r="L472" t="str">
        <f t="shared" si="33"/>
        <v/>
      </c>
      <c r="M472" t="str">
        <f t="shared" si="34"/>
        <v/>
      </c>
      <c r="N472" t="str">
        <f>IF($M472="I",MATCH(SMALL('완료 체험단'!$K$4:$K$2000,INDEX($T$5:$T$16,$J472)+$K472-2),'완료 체험단'!$K$4:$K$2000,0),"")</f>
        <v/>
      </c>
    </row>
    <row r="473" spans="2:14">
      <c r="B473" s="23" t="str">
        <f>IF($M473="H",$J473&amp;"월",IF($M473="C","매장명",IF($M473="I",INDEX('완료 체험단'!$A$4:$A$2000,$N473),IF($M473="T","합계",""))))</f>
        <v/>
      </c>
      <c r="C473" s="29" t="str">
        <f>IF($M473="H",$L473&amp;"건",IF($M473="C","사이트",IF($M473="I",INDEX('완료 체험단'!$C$4:$C$2000,$N473),IF($M473="T",$L473&amp;"건",""))))</f>
        <v/>
      </c>
      <c r="D473" s="30" t="str">
        <f>IF($M473="C","방문일",IF($M473="I",INDEX('완료 체험단'!$D$4:$D$2000,$N473),""))</f>
        <v/>
      </c>
      <c r="E473" s="25" t="str">
        <f>IF($M473="H","제공금액 "&amp;TEXT(INDEX($U$5:$U$16,$J473),"#,##0")&amp;"원",IF($M473="C","제공금액",IF($M473="I",INDEX('완료 체험단'!$F$4:$F$2000,$N473),IF($M473="T",INDEX($U$5:$U$16,$J473),""))))</f>
        <v/>
      </c>
      <c r="F473" s="25" t="str">
        <f>IF($M473="H","결제금액 "&amp;TEXT(INDEX($V$5:$V$16,$J473),"#,##0")&amp;"원",IF($M473="C","결제금액",IF($M473="I",INDEX('완료 체험단'!$G$4:$G$2000,$N473),IF($M473="T",INDEX($V$5:$V$16,$J473),""))))</f>
        <v/>
      </c>
      <c r="G473" s="25" t="str">
        <f>IF($M473="H","실수익 "&amp;TEXT(INDEX($W$5:$W$16,$J473),"#,##0")&amp;"원",IF($M473="C","실수익",IF($M473="I",INDEX('완료 체험단'!$H$4:$H$2000,$N473),IF($M473="T",INDEX($W$5:$W$16,$J473),""))))</f>
        <v/>
      </c>
      <c r="I473" s="31">
        <f>ROWS(I$5:I473)</f>
        <v>469</v>
      </c>
      <c r="J473" t="str">
        <f t="shared" si="31"/>
        <v/>
      </c>
      <c r="K473" t="str">
        <f t="shared" si="32"/>
        <v/>
      </c>
      <c r="L473" t="str">
        <f t="shared" si="33"/>
        <v/>
      </c>
      <c r="M473" t="str">
        <f t="shared" si="34"/>
        <v/>
      </c>
      <c r="N473" t="str">
        <f>IF($M473="I",MATCH(SMALL('완료 체험단'!$K$4:$K$2000,INDEX($T$5:$T$16,$J473)+$K473-2),'완료 체험단'!$K$4:$K$2000,0),"")</f>
        <v/>
      </c>
    </row>
    <row r="474" spans="2:14">
      <c r="B474" s="23" t="str">
        <f>IF($M474="H",$J474&amp;"월",IF($M474="C","매장명",IF($M474="I",INDEX('완료 체험단'!$A$4:$A$2000,$N474),IF($M474="T","합계",""))))</f>
        <v/>
      </c>
      <c r="C474" s="29" t="str">
        <f>IF($M474="H",$L474&amp;"건",IF($M474="C","사이트",IF($M474="I",INDEX('완료 체험단'!$C$4:$C$2000,$N474),IF($M474="T",$L474&amp;"건",""))))</f>
        <v/>
      </c>
      <c r="D474" s="30" t="str">
        <f>IF($M474="C","방문일",IF($M474="I",INDEX('완료 체험단'!$D$4:$D$2000,$N474),""))</f>
        <v/>
      </c>
      <c r="E474" s="25" t="str">
        <f>IF($M474="H","제공금액 "&amp;TEXT(INDEX($U$5:$U$16,$J474),"#,##0")&amp;"원",IF($M474="C","제공금액",IF($M474="I",INDEX('완료 체험단'!$F$4:$F$2000,$N474),IF($M474="T",INDEX($U$5:$U$16,$J474),""))))</f>
        <v/>
      </c>
      <c r="F474" s="25" t="str">
        <f>IF($M474="H","결제금액 "&amp;TEXT(INDEX($V$5:$V$16,$J474),"#,##0")&amp;"원",IF($M474="C","결제금액",IF($M474="I",INDEX('완료 체험단'!$G$4:$G$2000,$N474),IF($M474="T",INDEX($V$5:$V$16,$J474),""))))</f>
        <v/>
      </c>
      <c r="G474" s="25" t="str">
        <f>IF($M474="H","실수익 "&amp;TEXT(INDEX($W$5:$W$16,$J474),"#,##0")&amp;"원",IF($M474="C","실수익",IF($M474="I",INDEX('완료 체험단'!$H$4:$H$2000,$N474),IF($M474="T",INDEX($W$5:$W$16,$J474),""))))</f>
        <v/>
      </c>
      <c r="I474" s="31">
        <f>ROWS(I$5:I474)</f>
        <v>470</v>
      </c>
      <c r="J474" t="str">
        <f t="shared" si="31"/>
        <v/>
      </c>
      <c r="K474" t="str">
        <f t="shared" si="32"/>
        <v/>
      </c>
      <c r="L474" t="str">
        <f t="shared" si="33"/>
        <v/>
      </c>
      <c r="M474" t="str">
        <f t="shared" si="34"/>
        <v/>
      </c>
      <c r="N474" t="str">
        <f>IF($M474="I",MATCH(SMALL('완료 체험단'!$K$4:$K$2000,INDEX($T$5:$T$16,$J474)+$K474-2),'완료 체험단'!$K$4:$K$2000,0),"")</f>
        <v/>
      </c>
    </row>
    <row r="475" spans="2:14">
      <c r="B475" s="23" t="str">
        <f>IF($M475="H",$J475&amp;"월",IF($M475="C","매장명",IF($M475="I",INDEX('완료 체험단'!$A$4:$A$2000,$N475),IF($M475="T","합계",""))))</f>
        <v/>
      </c>
      <c r="C475" s="29" t="str">
        <f>IF($M475="H",$L475&amp;"건",IF($M475="C","사이트",IF($M475="I",INDEX('완료 체험단'!$C$4:$C$2000,$N475),IF($M475="T",$L475&amp;"건",""))))</f>
        <v/>
      </c>
      <c r="D475" s="30" t="str">
        <f>IF($M475="C","방문일",IF($M475="I",INDEX('완료 체험단'!$D$4:$D$2000,$N475),""))</f>
        <v/>
      </c>
      <c r="E475" s="25" t="str">
        <f>IF($M475="H","제공금액 "&amp;TEXT(INDEX($U$5:$U$16,$J475),"#,##0")&amp;"원",IF($M475="C","제공금액",IF($M475="I",INDEX('완료 체험단'!$F$4:$F$2000,$N475),IF($M475="T",INDEX($U$5:$U$16,$J475),""))))</f>
        <v/>
      </c>
      <c r="F475" s="25" t="str">
        <f>IF($M475="H","결제금액 "&amp;TEXT(INDEX($V$5:$V$16,$J475),"#,##0")&amp;"원",IF($M475="C","결제금액",IF($M475="I",INDEX('완료 체험단'!$G$4:$G$2000,$N475),IF($M475="T",INDEX($V$5:$V$16,$J475),""))))</f>
        <v/>
      </c>
      <c r="G475" s="25" t="str">
        <f>IF($M475="H","실수익 "&amp;TEXT(INDEX($W$5:$W$16,$J475),"#,##0")&amp;"원",IF($M475="C","실수익",IF($M475="I",INDEX('완료 체험단'!$H$4:$H$2000,$N475),IF($M475="T",INDEX($W$5:$W$16,$J475),""))))</f>
        <v/>
      </c>
      <c r="I475" s="31">
        <f>ROWS(I$5:I475)</f>
        <v>471</v>
      </c>
      <c r="J475" t="str">
        <f t="shared" si="31"/>
        <v/>
      </c>
      <c r="K475" t="str">
        <f t="shared" si="32"/>
        <v/>
      </c>
      <c r="L475" t="str">
        <f t="shared" si="33"/>
        <v/>
      </c>
      <c r="M475" t="str">
        <f t="shared" si="34"/>
        <v/>
      </c>
      <c r="N475" t="str">
        <f>IF($M475="I",MATCH(SMALL('완료 체험단'!$K$4:$K$2000,INDEX($T$5:$T$16,$J475)+$K475-2),'완료 체험단'!$K$4:$K$2000,0),"")</f>
        <v/>
      </c>
    </row>
    <row r="476" spans="2:14">
      <c r="B476" s="23" t="str">
        <f>IF($M476="H",$J476&amp;"월",IF($M476="C","매장명",IF($M476="I",INDEX('완료 체험단'!$A$4:$A$2000,$N476),IF($M476="T","합계",""))))</f>
        <v/>
      </c>
      <c r="C476" s="29" t="str">
        <f>IF($M476="H",$L476&amp;"건",IF($M476="C","사이트",IF($M476="I",INDEX('완료 체험단'!$C$4:$C$2000,$N476),IF($M476="T",$L476&amp;"건",""))))</f>
        <v/>
      </c>
      <c r="D476" s="30" t="str">
        <f>IF($M476="C","방문일",IF($M476="I",INDEX('완료 체험단'!$D$4:$D$2000,$N476),""))</f>
        <v/>
      </c>
      <c r="E476" s="25" t="str">
        <f>IF($M476="H","제공금액 "&amp;TEXT(INDEX($U$5:$U$16,$J476),"#,##0")&amp;"원",IF($M476="C","제공금액",IF($M476="I",INDEX('완료 체험단'!$F$4:$F$2000,$N476),IF($M476="T",INDEX($U$5:$U$16,$J476),""))))</f>
        <v/>
      </c>
      <c r="F476" s="25" t="str">
        <f>IF($M476="H","결제금액 "&amp;TEXT(INDEX($V$5:$V$16,$J476),"#,##0")&amp;"원",IF($M476="C","결제금액",IF($M476="I",INDEX('완료 체험단'!$G$4:$G$2000,$N476),IF($M476="T",INDEX($V$5:$V$16,$J476),""))))</f>
        <v/>
      </c>
      <c r="G476" s="25" t="str">
        <f>IF($M476="H","실수익 "&amp;TEXT(INDEX($W$5:$W$16,$J476),"#,##0")&amp;"원",IF($M476="C","실수익",IF($M476="I",INDEX('완료 체험단'!$H$4:$H$2000,$N476),IF($M476="T",INDEX($W$5:$W$16,$J476),""))))</f>
        <v/>
      </c>
      <c r="I476" s="31">
        <f>ROWS(I$5:I476)</f>
        <v>472</v>
      </c>
      <c r="J476" t="str">
        <f t="shared" si="31"/>
        <v/>
      </c>
      <c r="K476" t="str">
        <f t="shared" si="32"/>
        <v/>
      </c>
      <c r="L476" t="str">
        <f t="shared" si="33"/>
        <v/>
      </c>
      <c r="M476" t="str">
        <f t="shared" si="34"/>
        <v/>
      </c>
      <c r="N476" t="str">
        <f>IF($M476="I",MATCH(SMALL('완료 체험단'!$K$4:$K$2000,INDEX($T$5:$T$16,$J476)+$K476-2),'완료 체험단'!$K$4:$K$2000,0),"")</f>
        <v/>
      </c>
    </row>
    <row r="477" spans="2:14">
      <c r="B477" s="23" t="str">
        <f>IF($M477="H",$J477&amp;"월",IF($M477="C","매장명",IF($M477="I",INDEX('완료 체험단'!$A$4:$A$2000,$N477),IF($M477="T","합계",""))))</f>
        <v/>
      </c>
      <c r="C477" s="29" t="str">
        <f>IF($M477="H",$L477&amp;"건",IF($M477="C","사이트",IF($M477="I",INDEX('완료 체험단'!$C$4:$C$2000,$N477),IF($M477="T",$L477&amp;"건",""))))</f>
        <v/>
      </c>
      <c r="D477" s="30" t="str">
        <f>IF($M477="C","방문일",IF($M477="I",INDEX('완료 체험단'!$D$4:$D$2000,$N477),""))</f>
        <v/>
      </c>
      <c r="E477" s="25" t="str">
        <f>IF($M477="H","제공금액 "&amp;TEXT(INDEX($U$5:$U$16,$J477),"#,##0")&amp;"원",IF($M477="C","제공금액",IF($M477="I",INDEX('완료 체험단'!$F$4:$F$2000,$N477),IF($M477="T",INDEX($U$5:$U$16,$J477),""))))</f>
        <v/>
      </c>
      <c r="F477" s="25" t="str">
        <f>IF($M477="H","결제금액 "&amp;TEXT(INDEX($V$5:$V$16,$J477),"#,##0")&amp;"원",IF($M477="C","결제금액",IF($M477="I",INDEX('완료 체험단'!$G$4:$G$2000,$N477),IF($M477="T",INDEX($V$5:$V$16,$J477),""))))</f>
        <v/>
      </c>
      <c r="G477" s="25" t="str">
        <f>IF($M477="H","실수익 "&amp;TEXT(INDEX($W$5:$W$16,$J477),"#,##0")&amp;"원",IF($M477="C","실수익",IF($M477="I",INDEX('완료 체험단'!$H$4:$H$2000,$N477),IF($M477="T",INDEX($W$5:$W$16,$J477),""))))</f>
        <v/>
      </c>
      <c r="I477" s="31">
        <f>ROWS(I$5:I477)</f>
        <v>473</v>
      </c>
      <c r="J477" t="str">
        <f t="shared" si="31"/>
        <v/>
      </c>
      <c r="K477" t="str">
        <f t="shared" si="32"/>
        <v/>
      </c>
      <c r="L477" t="str">
        <f t="shared" si="33"/>
        <v/>
      </c>
      <c r="M477" t="str">
        <f t="shared" si="34"/>
        <v/>
      </c>
      <c r="N477" t="str">
        <f>IF($M477="I",MATCH(SMALL('완료 체험단'!$K$4:$K$2000,INDEX($T$5:$T$16,$J477)+$K477-2),'완료 체험단'!$K$4:$K$2000,0),"")</f>
        <v/>
      </c>
    </row>
    <row r="478" spans="2:14">
      <c r="B478" s="23" t="str">
        <f>IF($M478="H",$J478&amp;"월",IF($M478="C","매장명",IF($M478="I",INDEX('완료 체험단'!$A$4:$A$2000,$N478),IF($M478="T","합계",""))))</f>
        <v/>
      </c>
      <c r="C478" s="29" t="str">
        <f>IF($M478="H",$L478&amp;"건",IF($M478="C","사이트",IF($M478="I",INDEX('완료 체험단'!$C$4:$C$2000,$N478),IF($M478="T",$L478&amp;"건",""))))</f>
        <v/>
      </c>
      <c r="D478" s="30" t="str">
        <f>IF($M478="C","방문일",IF($M478="I",INDEX('완료 체험단'!$D$4:$D$2000,$N478),""))</f>
        <v/>
      </c>
      <c r="E478" s="25" t="str">
        <f>IF($M478="H","제공금액 "&amp;TEXT(INDEX($U$5:$U$16,$J478),"#,##0")&amp;"원",IF($M478="C","제공금액",IF($M478="I",INDEX('완료 체험단'!$F$4:$F$2000,$N478),IF($M478="T",INDEX($U$5:$U$16,$J478),""))))</f>
        <v/>
      </c>
      <c r="F478" s="25" t="str">
        <f>IF($M478="H","결제금액 "&amp;TEXT(INDEX($V$5:$V$16,$J478),"#,##0")&amp;"원",IF($M478="C","결제금액",IF($M478="I",INDEX('완료 체험단'!$G$4:$G$2000,$N478),IF($M478="T",INDEX($V$5:$V$16,$J478),""))))</f>
        <v/>
      </c>
      <c r="G478" s="25" t="str">
        <f>IF($M478="H","실수익 "&amp;TEXT(INDEX($W$5:$W$16,$J478),"#,##0")&amp;"원",IF($M478="C","실수익",IF($M478="I",INDEX('완료 체험단'!$H$4:$H$2000,$N478),IF($M478="T",INDEX($W$5:$W$16,$J478),""))))</f>
        <v/>
      </c>
      <c r="I478" s="31">
        <f>ROWS(I$5:I478)</f>
        <v>474</v>
      </c>
      <c r="J478" t="str">
        <f t="shared" si="31"/>
        <v/>
      </c>
      <c r="K478" t="str">
        <f t="shared" si="32"/>
        <v/>
      </c>
      <c r="L478" t="str">
        <f t="shared" si="33"/>
        <v/>
      </c>
      <c r="M478" t="str">
        <f t="shared" si="34"/>
        <v/>
      </c>
      <c r="N478" t="str">
        <f>IF($M478="I",MATCH(SMALL('완료 체험단'!$K$4:$K$2000,INDEX($T$5:$T$16,$J478)+$K478-2),'완료 체험단'!$K$4:$K$2000,0),"")</f>
        <v/>
      </c>
    </row>
    <row r="479" spans="2:14">
      <c r="B479" s="23" t="str">
        <f>IF($M479="H",$J479&amp;"월",IF($M479="C","매장명",IF($M479="I",INDEX('완료 체험단'!$A$4:$A$2000,$N479),IF($M479="T","합계",""))))</f>
        <v/>
      </c>
      <c r="C479" s="29" t="str">
        <f>IF($M479="H",$L479&amp;"건",IF($M479="C","사이트",IF($M479="I",INDEX('완료 체험단'!$C$4:$C$2000,$N479),IF($M479="T",$L479&amp;"건",""))))</f>
        <v/>
      </c>
      <c r="D479" s="30" t="str">
        <f>IF($M479="C","방문일",IF($M479="I",INDEX('완료 체험단'!$D$4:$D$2000,$N479),""))</f>
        <v/>
      </c>
      <c r="E479" s="25" t="str">
        <f>IF($M479="H","제공금액 "&amp;TEXT(INDEX($U$5:$U$16,$J479),"#,##0")&amp;"원",IF($M479="C","제공금액",IF($M479="I",INDEX('완료 체험단'!$F$4:$F$2000,$N479),IF($M479="T",INDEX($U$5:$U$16,$J479),""))))</f>
        <v/>
      </c>
      <c r="F479" s="25" t="str">
        <f>IF($M479="H","결제금액 "&amp;TEXT(INDEX($V$5:$V$16,$J479),"#,##0")&amp;"원",IF($M479="C","결제금액",IF($M479="I",INDEX('완료 체험단'!$G$4:$G$2000,$N479),IF($M479="T",INDEX($V$5:$V$16,$J479),""))))</f>
        <v/>
      </c>
      <c r="G479" s="25" t="str">
        <f>IF($M479="H","실수익 "&amp;TEXT(INDEX($W$5:$W$16,$J479),"#,##0")&amp;"원",IF($M479="C","실수익",IF($M479="I",INDEX('완료 체험단'!$H$4:$H$2000,$N479),IF($M479="T",INDEX($W$5:$W$16,$J479),""))))</f>
        <v/>
      </c>
      <c r="I479" s="31">
        <f>ROWS(I$5:I479)</f>
        <v>475</v>
      </c>
      <c r="J479" t="str">
        <f t="shared" si="31"/>
        <v/>
      </c>
      <c r="K479" t="str">
        <f t="shared" si="32"/>
        <v/>
      </c>
      <c r="L479" t="str">
        <f t="shared" si="33"/>
        <v/>
      </c>
      <c r="M479" t="str">
        <f t="shared" si="34"/>
        <v/>
      </c>
      <c r="N479" t="str">
        <f>IF($M479="I",MATCH(SMALL('완료 체험단'!$K$4:$K$2000,INDEX($T$5:$T$16,$J479)+$K479-2),'완료 체험단'!$K$4:$K$2000,0),"")</f>
        <v/>
      </c>
    </row>
    <row r="480" spans="2:14">
      <c r="B480" s="23" t="str">
        <f>IF($M480="H",$J480&amp;"월",IF($M480="C","매장명",IF($M480="I",INDEX('완료 체험단'!$A$4:$A$2000,$N480),IF($M480="T","합계",""))))</f>
        <v/>
      </c>
      <c r="C480" s="29" t="str">
        <f>IF($M480="H",$L480&amp;"건",IF($M480="C","사이트",IF($M480="I",INDEX('완료 체험단'!$C$4:$C$2000,$N480),IF($M480="T",$L480&amp;"건",""))))</f>
        <v/>
      </c>
      <c r="D480" s="30" t="str">
        <f>IF($M480="C","방문일",IF($M480="I",INDEX('완료 체험단'!$D$4:$D$2000,$N480),""))</f>
        <v/>
      </c>
      <c r="E480" s="25" t="str">
        <f>IF($M480="H","제공금액 "&amp;TEXT(INDEX($U$5:$U$16,$J480),"#,##0")&amp;"원",IF($M480="C","제공금액",IF($M480="I",INDEX('완료 체험단'!$F$4:$F$2000,$N480),IF($M480="T",INDEX($U$5:$U$16,$J480),""))))</f>
        <v/>
      </c>
      <c r="F480" s="25" t="str">
        <f>IF($M480="H","결제금액 "&amp;TEXT(INDEX($V$5:$V$16,$J480),"#,##0")&amp;"원",IF($M480="C","결제금액",IF($M480="I",INDEX('완료 체험단'!$G$4:$G$2000,$N480),IF($M480="T",INDEX($V$5:$V$16,$J480),""))))</f>
        <v/>
      </c>
      <c r="G480" s="25" t="str">
        <f>IF($M480="H","실수익 "&amp;TEXT(INDEX($W$5:$W$16,$J480),"#,##0")&amp;"원",IF($M480="C","실수익",IF($M480="I",INDEX('완료 체험단'!$H$4:$H$2000,$N480),IF($M480="T",INDEX($W$5:$W$16,$J480),""))))</f>
        <v/>
      </c>
      <c r="I480" s="31">
        <f>ROWS(I$5:I480)</f>
        <v>476</v>
      </c>
      <c r="J480" t="str">
        <f t="shared" si="31"/>
        <v/>
      </c>
      <c r="K480" t="str">
        <f t="shared" si="32"/>
        <v/>
      </c>
      <c r="L480" t="str">
        <f t="shared" si="33"/>
        <v/>
      </c>
      <c r="M480" t="str">
        <f t="shared" si="34"/>
        <v/>
      </c>
      <c r="N480" t="str">
        <f>IF($M480="I",MATCH(SMALL('완료 체험단'!$K$4:$K$2000,INDEX($T$5:$T$16,$J480)+$K480-2),'완료 체험단'!$K$4:$K$2000,0),"")</f>
        <v/>
      </c>
    </row>
    <row r="481" spans="2:14">
      <c r="B481" s="23" t="str">
        <f>IF($M481="H",$J481&amp;"월",IF($M481="C","매장명",IF($M481="I",INDEX('완료 체험단'!$A$4:$A$2000,$N481),IF($M481="T","합계",""))))</f>
        <v/>
      </c>
      <c r="C481" s="29" t="str">
        <f>IF($M481="H",$L481&amp;"건",IF($M481="C","사이트",IF($M481="I",INDEX('완료 체험단'!$C$4:$C$2000,$N481),IF($M481="T",$L481&amp;"건",""))))</f>
        <v/>
      </c>
      <c r="D481" s="30" t="str">
        <f>IF($M481="C","방문일",IF($M481="I",INDEX('완료 체험단'!$D$4:$D$2000,$N481),""))</f>
        <v/>
      </c>
      <c r="E481" s="25" t="str">
        <f>IF($M481="H","제공금액 "&amp;TEXT(INDEX($U$5:$U$16,$J481),"#,##0")&amp;"원",IF($M481="C","제공금액",IF($M481="I",INDEX('완료 체험단'!$F$4:$F$2000,$N481),IF($M481="T",INDEX($U$5:$U$16,$J481),""))))</f>
        <v/>
      </c>
      <c r="F481" s="25" t="str">
        <f>IF($M481="H","결제금액 "&amp;TEXT(INDEX($V$5:$V$16,$J481),"#,##0")&amp;"원",IF($M481="C","결제금액",IF($M481="I",INDEX('완료 체험단'!$G$4:$G$2000,$N481),IF($M481="T",INDEX($V$5:$V$16,$J481),""))))</f>
        <v/>
      </c>
      <c r="G481" s="25" t="str">
        <f>IF($M481="H","실수익 "&amp;TEXT(INDEX($W$5:$W$16,$J481),"#,##0")&amp;"원",IF($M481="C","실수익",IF($M481="I",INDEX('완료 체험단'!$H$4:$H$2000,$N481),IF($M481="T",INDEX($W$5:$W$16,$J481),""))))</f>
        <v/>
      </c>
      <c r="I481" s="31">
        <f>ROWS(I$5:I481)</f>
        <v>477</v>
      </c>
      <c r="J481" t="str">
        <f t="shared" si="31"/>
        <v/>
      </c>
      <c r="K481" t="str">
        <f t="shared" si="32"/>
        <v/>
      </c>
      <c r="L481" t="str">
        <f t="shared" si="33"/>
        <v/>
      </c>
      <c r="M481" t="str">
        <f t="shared" si="34"/>
        <v/>
      </c>
      <c r="N481" t="str">
        <f>IF($M481="I",MATCH(SMALL('완료 체험단'!$K$4:$K$2000,INDEX($T$5:$T$16,$J481)+$K481-2),'완료 체험단'!$K$4:$K$2000,0),"")</f>
        <v/>
      </c>
    </row>
    <row r="482" spans="2:14">
      <c r="B482" s="23" t="str">
        <f>IF($M482="H",$J482&amp;"월",IF($M482="C","매장명",IF($M482="I",INDEX('완료 체험단'!$A$4:$A$2000,$N482),IF($M482="T","합계",""))))</f>
        <v/>
      </c>
      <c r="C482" s="29" t="str">
        <f>IF($M482="H",$L482&amp;"건",IF($M482="C","사이트",IF($M482="I",INDEX('완료 체험단'!$C$4:$C$2000,$N482),IF($M482="T",$L482&amp;"건",""))))</f>
        <v/>
      </c>
      <c r="D482" s="30" t="str">
        <f>IF($M482="C","방문일",IF($M482="I",INDEX('완료 체험단'!$D$4:$D$2000,$N482),""))</f>
        <v/>
      </c>
      <c r="E482" s="25" t="str">
        <f>IF($M482="H","제공금액 "&amp;TEXT(INDEX($U$5:$U$16,$J482),"#,##0")&amp;"원",IF($M482="C","제공금액",IF($M482="I",INDEX('완료 체험단'!$F$4:$F$2000,$N482),IF($M482="T",INDEX($U$5:$U$16,$J482),""))))</f>
        <v/>
      </c>
      <c r="F482" s="25" t="str">
        <f>IF($M482="H","결제금액 "&amp;TEXT(INDEX($V$5:$V$16,$J482),"#,##0")&amp;"원",IF($M482="C","결제금액",IF($M482="I",INDEX('완료 체험단'!$G$4:$G$2000,$N482),IF($M482="T",INDEX($V$5:$V$16,$J482),""))))</f>
        <v/>
      </c>
      <c r="G482" s="25" t="str">
        <f>IF($M482="H","실수익 "&amp;TEXT(INDEX($W$5:$W$16,$J482),"#,##0")&amp;"원",IF($M482="C","실수익",IF($M482="I",INDEX('완료 체험단'!$H$4:$H$2000,$N482),IF($M482="T",INDEX($W$5:$W$16,$J482),""))))</f>
        <v/>
      </c>
      <c r="I482" s="31">
        <f>ROWS(I$5:I482)</f>
        <v>478</v>
      </c>
      <c r="J482" t="str">
        <f t="shared" si="31"/>
        <v/>
      </c>
      <c r="K482" t="str">
        <f t="shared" si="32"/>
        <v/>
      </c>
      <c r="L482" t="str">
        <f t="shared" si="33"/>
        <v/>
      </c>
      <c r="M482" t="str">
        <f t="shared" si="34"/>
        <v/>
      </c>
      <c r="N482" t="str">
        <f>IF($M482="I",MATCH(SMALL('완료 체험단'!$K$4:$K$2000,INDEX($T$5:$T$16,$J482)+$K482-2),'완료 체험단'!$K$4:$K$2000,0),"")</f>
        <v/>
      </c>
    </row>
    <row r="483" spans="2:14">
      <c r="B483" s="23" t="str">
        <f>IF($M483="H",$J483&amp;"월",IF($M483="C","매장명",IF($M483="I",INDEX('완료 체험단'!$A$4:$A$2000,$N483),IF($M483="T","합계",""))))</f>
        <v/>
      </c>
      <c r="C483" s="29" t="str">
        <f>IF($M483="H",$L483&amp;"건",IF($M483="C","사이트",IF($M483="I",INDEX('완료 체험단'!$C$4:$C$2000,$N483),IF($M483="T",$L483&amp;"건",""))))</f>
        <v/>
      </c>
      <c r="D483" s="30" t="str">
        <f>IF($M483="C","방문일",IF($M483="I",INDEX('완료 체험단'!$D$4:$D$2000,$N483),""))</f>
        <v/>
      </c>
      <c r="E483" s="25" t="str">
        <f>IF($M483="H","제공금액 "&amp;TEXT(INDEX($U$5:$U$16,$J483),"#,##0")&amp;"원",IF($M483="C","제공금액",IF($M483="I",INDEX('완료 체험단'!$F$4:$F$2000,$N483),IF($M483="T",INDEX($U$5:$U$16,$J483),""))))</f>
        <v/>
      </c>
      <c r="F483" s="25" t="str">
        <f>IF($M483="H","결제금액 "&amp;TEXT(INDEX($V$5:$V$16,$J483),"#,##0")&amp;"원",IF($M483="C","결제금액",IF($M483="I",INDEX('완료 체험단'!$G$4:$G$2000,$N483),IF($M483="T",INDEX($V$5:$V$16,$J483),""))))</f>
        <v/>
      </c>
      <c r="G483" s="25" t="str">
        <f>IF($M483="H","실수익 "&amp;TEXT(INDEX($W$5:$W$16,$J483),"#,##0")&amp;"원",IF($M483="C","실수익",IF($M483="I",INDEX('완료 체험단'!$H$4:$H$2000,$N483),IF($M483="T",INDEX($W$5:$W$16,$J483),""))))</f>
        <v/>
      </c>
      <c r="I483" s="31">
        <f>ROWS(I$5:I483)</f>
        <v>479</v>
      </c>
      <c r="J483" t="str">
        <f t="shared" si="31"/>
        <v/>
      </c>
      <c r="K483" t="str">
        <f t="shared" si="32"/>
        <v/>
      </c>
      <c r="L483" t="str">
        <f t="shared" si="33"/>
        <v/>
      </c>
      <c r="M483" t="str">
        <f t="shared" si="34"/>
        <v/>
      </c>
      <c r="N483" t="str">
        <f>IF($M483="I",MATCH(SMALL('완료 체험단'!$K$4:$K$2000,INDEX($T$5:$T$16,$J483)+$K483-2),'완료 체험단'!$K$4:$K$2000,0),"")</f>
        <v/>
      </c>
    </row>
    <row r="484" spans="2:14">
      <c r="B484" s="23" t="str">
        <f>IF($M484="H",$J484&amp;"월",IF($M484="C","매장명",IF($M484="I",INDEX('완료 체험단'!$A$4:$A$2000,$N484),IF($M484="T","합계",""))))</f>
        <v/>
      </c>
      <c r="C484" s="29" t="str">
        <f>IF($M484="H",$L484&amp;"건",IF($M484="C","사이트",IF($M484="I",INDEX('완료 체험단'!$C$4:$C$2000,$N484),IF($M484="T",$L484&amp;"건",""))))</f>
        <v/>
      </c>
      <c r="D484" s="30" t="str">
        <f>IF($M484="C","방문일",IF($M484="I",INDEX('완료 체험단'!$D$4:$D$2000,$N484),""))</f>
        <v/>
      </c>
      <c r="E484" s="25" t="str">
        <f>IF($M484="H","제공금액 "&amp;TEXT(INDEX($U$5:$U$16,$J484),"#,##0")&amp;"원",IF($M484="C","제공금액",IF($M484="I",INDEX('완료 체험단'!$F$4:$F$2000,$N484),IF($M484="T",INDEX($U$5:$U$16,$J484),""))))</f>
        <v/>
      </c>
      <c r="F484" s="25" t="str">
        <f>IF($M484="H","결제금액 "&amp;TEXT(INDEX($V$5:$V$16,$J484),"#,##0")&amp;"원",IF($M484="C","결제금액",IF($M484="I",INDEX('완료 체험단'!$G$4:$G$2000,$N484),IF($M484="T",INDEX($V$5:$V$16,$J484),""))))</f>
        <v/>
      </c>
      <c r="G484" s="25" t="str">
        <f>IF($M484="H","실수익 "&amp;TEXT(INDEX($W$5:$W$16,$J484),"#,##0")&amp;"원",IF($M484="C","실수익",IF($M484="I",INDEX('완료 체험단'!$H$4:$H$2000,$N484),IF($M484="T",INDEX($W$5:$W$16,$J484),""))))</f>
        <v/>
      </c>
      <c r="I484" s="31">
        <f>ROWS(I$5:I484)</f>
        <v>480</v>
      </c>
      <c r="J484" t="str">
        <f t="shared" si="31"/>
        <v/>
      </c>
      <c r="K484" t="str">
        <f t="shared" si="32"/>
        <v/>
      </c>
      <c r="L484" t="str">
        <f t="shared" si="33"/>
        <v/>
      </c>
      <c r="M484" t="str">
        <f t="shared" si="34"/>
        <v/>
      </c>
      <c r="N484" t="str">
        <f>IF($M484="I",MATCH(SMALL('완료 체험단'!$K$4:$K$2000,INDEX($T$5:$T$16,$J484)+$K484-2),'완료 체험단'!$K$4:$K$2000,0),"")</f>
        <v/>
      </c>
    </row>
    <row r="485" spans="2:14">
      <c r="B485" s="23" t="str">
        <f>IF($M485="H",$J485&amp;"월",IF($M485="C","매장명",IF($M485="I",INDEX('완료 체험단'!$A$4:$A$2000,$N485),IF($M485="T","합계",""))))</f>
        <v/>
      </c>
      <c r="C485" s="29" t="str">
        <f>IF($M485="H",$L485&amp;"건",IF($M485="C","사이트",IF($M485="I",INDEX('완료 체험단'!$C$4:$C$2000,$N485),IF($M485="T",$L485&amp;"건",""))))</f>
        <v/>
      </c>
      <c r="D485" s="30" t="str">
        <f>IF($M485="C","방문일",IF($M485="I",INDEX('완료 체험단'!$D$4:$D$2000,$N485),""))</f>
        <v/>
      </c>
      <c r="E485" s="25" t="str">
        <f>IF($M485="H","제공금액 "&amp;TEXT(INDEX($U$5:$U$16,$J485),"#,##0")&amp;"원",IF($M485="C","제공금액",IF($M485="I",INDEX('완료 체험단'!$F$4:$F$2000,$N485),IF($M485="T",INDEX($U$5:$U$16,$J485),""))))</f>
        <v/>
      </c>
      <c r="F485" s="25" t="str">
        <f>IF($M485="H","결제금액 "&amp;TEXT(INDEX($V$5:$V$16,$J485),"#,##0")&amp;"원",IF($M485="C","결제금액",IF($M485="I",INDEX('완료 체험단'!$G$4:$G$2000,$N485),IF($M485="T",INDEX($V$5:$V$16,$J485),""))))</f>
        <v/>
      </c>
      <c r="G485" s="25" t="str">
        <f>IF($M485="H","실수익 "&amp;TEXT(INDEX($W$5:$W$16,$J485),"#,##0")&amp;"원",IF($M485="C","실수익",IF($M485="I",INDEX('완료 체험단'!$H$4:$H$2000,$N485),IF($M485="T",INDEX($W$5:$W$16,$J485),""))))</f>
        <v/>
      </c>
      <c r="I485" s="31">
        <f>ROWS(I$5:I485)</f>
        <v>481</v>
      </c>
      <c r="J485" t="str">
        <f t="shared" si="31"/>
        <v/>
      </c>
      <c r="K485" t="str">
        <f t="shared" si="32"/>
        <v/>
      </c>
      <c r="L485" t="str">
        <f t="shared" si="33"/>
        <v/>
      </c>
      <c r="M485" t="str">
        <f t="shared" si="34"/>
        <v/>
      </c>
      <c r="N485" t="str">
        <f>IF($M485="I",MATCH(SMALL('완료 체험단'!$K$4:$K$2000,INDEX($T$5:$T$16,$J485)+$K485-2),'완료 체험단'!$K$4:$K$2000,0),"")</f>
        <v/>
      </c>
    </row>
    <row r="486" spans="2:14">
      <c r="B486" s="23" t="str">
        <f>IF($M486="H",$J486&amp;"월",IF($M486="C","매장명",IF($M486="I",INDEX('완료 체험단'!$A$4:$A$2000,$N486),IF($M486="T","합계",""))))</f>
        <v/>
      </c>
      <c r="C486" s="29" t="str">
        <f>IF($M486="H",$L486&amp;"건",IF($M486="C","사이트",IF($M486="I",INDEX('완료 체험단'!$C$4:$C$2000,$N486),IF($M486="T",$L486&amp;"건",""))))</f>
        <v/>
      </c>
      <c r="D486" s="30" t="str">
        <f>IF($M486="C","방문일",IF($M486="I",INDEX('완료 체험단'!$D$4:$D$2000,$N486),""))</f>
        <v/>
      </c>
      <c r="E486" s="25" t="str">
        <f>IF($M486="H","제공금액 "&amp;TEXT(INDEX($U$5:$U$16,$J486),"#,##0")&amp;"원",IF($M486="C","제공금액",IF($M486="I",INDEX('완료 체험단'!$F$4:$F$2000,$N486),IF($M486="T",INDEX($U$5:$U$16,$J486),""))))</f>
        <v/>
      </c>
      <c r="F486" s="25" t="str">
        <f>IF($M486="H","결제금액 "&amp;TEXT(INDEX($V$5:$V$16,$J486),"#,##0")&amp;"원",IF($M486="C","결제금액",IF($M486="I",INDEX('완료 체험단'!$G$4:$G$2000,$N486),IF($M486="T",INDEX($V$5:$V$16,$J486),""))))</f>
        <v/>
      </c>
      <c r="G486" s="25" t="str">
        <f>IF($M486="H","실수익 "&amp;TEXT(INDEX($W$5:$W$16,$J486),"#,##0")&amp;"원",IF($M486="C","실수익",IF($M486="I",INDEX('완료 체험단'!$H$4:$H$2000,$N486),IF($M486="T",INDEX($W$5:$W$16,$J486),""))))</f>
        <v/>
      </c>
      <c r="I486" s="31">
        <f>ROWS(I$5:I486)</f>
        <v>482</v>
      </c>
      <c r="J486" t="str">
        <f t="shared" si="31"/>
        <v/>
      </c>
      <c r="K486" t="str">
        <f t="shared" si="32"/>
        <v/>
      </c>
      <c r="L486" t="str">
        <f t="shared" si="33"/>
        <v/>
      </c>
      <c r="M486" t="str">
        <f t="shared" si="34"/>
        <v/>
      </c>
      <c r="N486" t="str">
        <f>IF($M486="I",MATCH(SMALL('완료 체험단'!$K$4:$K$2000,INDEX($T$5:$T$16,$J486)+$K486-2),'완료 체험단'!$K$4:$K$2000,0),"")</f>
        <v/>
      </c>
    </row>
    <row r="487" spans="2:14">
      <c r="B487" s="23" t="str">
        <f>IF($M487="H",$J487&amp;"월",IF($M487="C","매장명",IF($M487="I",INDEX('완료 체험단'!$A$4:$A$2000,$N487),IF($M487="T","합계",""))))</f>
        <v/>
      </c>
      <c r="C487" s="29" t="str">
        <f>IF($M487="H",$L487&amp;"건",IF($M487="C","사이트",IF($M487="I",INDEX('완료 체험단'!$C$4:$C$2000,$N487),IF($M487="T",$L487&amp;"건",""))))</f>
        <v/>
      </c>
      <c r="D487" s="30" t="str">
        <f>IF($M487="C","방문일",IF($M487="I",INDEX('완료 체험단'!$D$4:$D$2000,$N487),""))</f>
        <v/>
      </c>
      <c r="E487" s="25" t="str">
        <f>IF($M487="H","제공금액 "&amp;TEXT(INDEX($U$5:$U$16,$J487),"#,##0")&amp;"원",IF($M487="C","제공금액",IF($M487="I",INDEX('완료 체험단'!$F$4:$F$2000,$N487),IF($M487="T",INDEX($U$5:$U$16,$J487),""))))</f>
        <v/>
      </c>
      <c r="F487" s="25" t="str">
        <f>IF($M487="H","결제금액 "&amp;TEXT(INDEX($V$5:$V$16,$J487),"#,##0")&amp;"원",IF($M487="C","결제금액",IF($M487="I",INDEX('완료 체험단'!$G$4:$G$2000,$N487),IF($M487="T",INDEX($V$5:$V$16,$J487),""))))</f>
        <v/>
      </c>
      <c r="G487" s="25" t="str">
        <f>IF($M487="H","실수익 "&amp;TEXT(INDEX($W$5:$W$16,$J487),"#,##0")&amp;"원",IF($M487="C","실수익",IF($M487="I",INDEX('완료 체험단'!$H$4:$H$2000,$N487),IF($M487="T",INDEX($W$5:$W$16,$J487),""))))</f>
        <v/>
      </c>
      <c r="I487" s="31">
        <f>ROWS(I$5:I487)</f>
        <v>483</v>
      </c>
      <c r="J487" t="str">
        <f t="shared" si="31"/>
        <v/>
      </c>
      <c r="K487" t="str">
        <f t="shared" si="32"/>
        <v/>
      </c>
      <c r="L487" t="str">
        <f t="shared" si="33"/>
        <v/>
      </c>
      <c r="M487" t="str">
        <f t="shared" si="34"/>
        <v/>
      </c>
      <c r="N487" t="str">
        <f>IF($M487="I",MATCH(SMALL('완료 체험단'!$K$4:$K$2000,INDEX($T$5:$T$16,$J487)+$K487-2),'완료 체험단'!$K$4:$K$2000,0),"")</f>
        <v/>
      </c>
    </row>
    <row r="488" spans="2:14">
      <c r="B488" s="23" t="str">
        <f>IF($M488="H",$J488&amp;"월",IF($M488="C","매장명",IF($M488="I",INDEX('완료 체험단'!$A$4:$A$2000,$N488),IF($M488="T","합계",""))))</f>
        <v/>
      </c>
      <c r="C488" s="29" t="str">
        <f>IF($M488="H",$L488&amp;"건",IF($M488="C","사이트",IF($M488="I",INDEX('완료 체험단'!$C$4:$C$2000,$N488),IF($M488="T",$L488&amp;"건",""))))</f>
        <v/>
      </c>
      <c r="D488" s="30" t="str">
        <f>IF($M488="C","방문일",IF($M488="I",INDEX('완료 체험단'!$D$4:$D$2000,$N488),""))</f>
        <v/>
      </c>
      <c r="E488" s="25" t="str">
        <f>IF($M488="H","제공금액 "&amp;TEXT(INDEX($U$5:$U$16,$J488),"#,##0")&amp;"원",IF($M488="C","제공금액",IF($M488="I",INDEX('완료 체험단'!$F$4:$F$2000,$N488),IF($M488="T",INDEX($U$5:$U$16,$J488),""))))</f>
        <v/>
      </c>
      <c r="F488" s="25" t="str">
        <f>IF($M488="H","결제금액 "&amp;TEXT(INDEX($V$5:$V$16,$J488),"#,##0")&amp;"원",IF($M488="C","결제금액",IF($M488="I",INDEX('완료 체험단'!$G$4:$G$2000,$N488),IF($M488="T",INDEX($V$5:$V$16,$J488),""))))</f>
        <v/>
      </c>
      <c r="G488" s="25" t="str">
        <f>IF($M488="H","실수익 "&amp;TEXT(INDEX($W$5:$W$16,$J488),"#,##0")&amp;"원",IF($M488="C","실수익",IF($M488="I",INDEX('완료 체험단'!$H$4:$H$2000,$N488),IF($M488="T",INDEX($W$5:$W$16,$J488),""))))</f>
        <v/>
      </c>
      <c r="I488" s="31">
        <f>ROWS(I$5:I488)</f>
        <v>484</v>
      </c>
      <c r="J488" t="str">
        <f t="shared" si="31"/>
        <v/>
      </c>
      <c r="K488" t="str">
        <f t="shared" si="32"/>
        <v/>
      </c>
      <c r="L488" t="str">
        <f t="shared" si="33"/>
        <v/>
      </c>
      <c r="M488" t="str">
        <f t="shared" si="34"/>
        <v/>
      </c>
      <c r="N488" t="str">
        <f>IF($M488="I",MATCH(SMALL('완료 체험단'!$K$4:$K$2000,INDEX($T$5:$T$16,$J488)+$K488-2),'완료 체험단'!$K$4:$K$2000,0),"")</f>
        <v/>
      </c>
    </row>
    <row r="489" spans="2:14">
      <c r="B489" s="23" t="str">
        <f>IF($M489="H",$J489&amp;"월",IF($M489="C","매장명",IF($M489="I",INDEX('완료 체험단'!$A$4:$A$2000,$N489),IF($M489="T","합계",""))))</f>
        <v/>
      </c>
      <c r="C489" s="29" t="str">
        <f>IF($M489="H",$L489&amp;"건",IF($M489="C","사이트",IF($M489="I",INDEX('완료 체험단'!$C$4:$C$2000,$N489),IF($M489="T",$L489&amp;"건",""))))</f>
        <v/>
      </c>
      <c r="D489" s="30" t="str">
        <f>IF($M489="C","방문일",IF($M489="I",INDEX('완료 체험단'!$D$4:$D$2000,$N489),""))</f>
        <v/>
      </c>
      <c r="E489" s="25" t="str">
        <f>IF($M489="H","제공금액 "&amp;TEXT(INDEX($U$5:$U$16,$J489),"#,##0")&amp;"원",IF($M489="C","제공금액",IF($M489="I",INDEX('완료 체험단'!$F$4:$F$2000,$N489),IF($M489="T",INDEX($U$5:$U$16,$J489),""))))</f>
        <v/>
      </c>
      <c r="F489" s="25" t="str">
        <f>IF($M489="H","결제금액 "&amp;TEXT(INDEX($V$5:$V$16,$J489),"#,##0")&amp;"원",IF($M489="C","결제금액",IF($M489="I",INDEX('완료 체험단'!$G$4:$G$2000,$N489),IF($M489="T",INDEX($V$5:$V$16,$J489),""))))</f>
        <v/>
      </c>
      <c r="G489" s="25" t="str">
        <f>IF($M489="H","실수익 "&amp;TEXT(INDEX($W$5:$W$16,$J489),"#,##0")&amp;"원",IF($M489="C","실수익",IF($M489="I",INDEX('완료 체험단'!$H$4:$H$2000,$N489),IF($M489="T",INDEX($W$5:$W$16,$J489),""))))</f>
        <v/>
      </c>
      <c r="I489" s="31">
        <f>ROWS(I$5:I489)</f>
        <v>485</v>
      </c>
      <c r="J489" t="str">
        <f t="shared" si="31"/>
        <v/>
      </c>
      <c r="K489" t="str">
        <f t="shared" si="32"/>
        <v/>
      </c>
      <c r="L489" t="str">
        <f t="shared" si="33"/>
        <v/>
      </c>
      <c r="M489" t="str">
        <f t="shared" si="34"/>
        <v/>
      </c>
      <c r="N489" t="str">
        <f>IF($M489="I",MATCH(SMALL('완료 체험단'!$K$4:$K$2000,INDEX($T$5:$T$16,$J489)+$K489-2),'완료 체험단'!$K$4:$K$2000,0),"")</f>
        <v/>
      </c>
    </row>
    <row r="490" spans="2:14">
      <c r="B490" s="23" t="str">
        <f>IF($M490="H",$J490&amp;"월",IF($M490="C","매장명",IF($M490="I",INDEX('완료 체험단'!$A$4:$A$2000,$N490),IF($M490="T","합계",""))))</f>
        <v/>
      </c>
      <c r="C490" s="29" t="str">
        <f>IF($M490="H",$L490&amp;"건",IF($M490="C","사이트",IF($M490="I",INDEX('완료 체험단'!$C$4:$C$2000,$N490),IF($M490="T",$L490&amp;"건",""))))</f>
        <v/>
      </c>
      <c r="D490" s="30" t="str">
        <f>IF($M490="C","방문일",IF($M490="I",INDEX('완료 체험단'!$D$4:$D$2000,$N490),""))</f>
        <v/>
      </c>
      <c r="E490" s="25" t="str">
        <f>IF($M490="H","제공금액 "&amp;TEXT(INDEX($U$5:$U$16,$J490),"#,##0")&amp;"원",IF($M490="C","제공금액",IF($M490="I",INDEX('완료 체험단'!$F$4:$F$2000,$N490),IF($M490="T",INDEX($U$5:$U$16,$J490),""))))</f>
        <v/>
      </c>
      <c r="F490" s="25" t="str">
        <f>IF($M490="H","결제금액 "&amp;TEXT(INDEX($V$5:$V$16,$J490),"#,##0")&amp;"원",IF($M490="C","결제금액",IF($M490="I",INDEX('완료 체험단'!$G$4:$G$2000,$N490),IF($M490="T",INDEX($V$5:$V$16,$J490),""))))</f>
        <v/>
      </c>
      <c r="G490" s="25" t="str">
        <f>IF($M490="H","실수익 "&amp;TEXT(INDEX($W$5:$W$16,$J490),"#,##0")&amp;"원",IF($M490="C","실수익",IF($M490="I",INDEX('완료 체험단'!$H$4:$H$2000,$N490),IF($M490="T",INDEX($W$5:$W$16,$J490),""))))</f>
        <v/>
      </c>
      <c r="I490" s="31">
        <f>ROWS(I$5:I490)</f>
        <v>486</v>
      </c>
      <c r="J490" t="str">
        <f t="shared" si="31"/>
        <v/>
      </c>
      <c r="K490" t="str">
        <f t="shared" si="32"/>
        <v/>
      </c>
      <c r="L490" t="str">
        <f t="shared" si="33"/>
        <v/>
      </c>
      <c r="M490" t="str">
        <f t="shared" si="34"/>
        <v/>
      </c>
      <c r="N490" t="str">
        <f>IF($M490="I",MATCH(SMALL('완료 체험단'!$K$4:$K$2000,INDEX($T$5:$T$16,$J490)+$K490-2),'완료 체험단'!$K$4:$K$2000,0),"")</f>
        <v/>
      </c>
    </row>
    <row r="491" spans="2:14">
      <c r="B491" s="23" t="str">
        <f>IF($M491="H",$J491&amp;"월",IF($M491="C","매장명",IF($M491="I",INDEX('완료 체험단'!$A$4:$A$2000,$N491),IF($M491="T","합계",""))))</f>
        <v/>
      </c>
      <c r="C491" s="29" t="str">
        <f>IF($M491="H",$L491&amp;"건",IF($M491="C","사이트",IF($M491="I",INDEX('완료 체험단'!$C$4:$C$2000,$N491),IF($M491="T",$L491&amp;"건",""))))</f>
        <v/>
      </c>
      <c r="D491" s="30" t="str">
        <f>IF($M491="C","방문일",IF($M491="I",INDEX('완료 체험단'!$D$4:$D$2000,$N491),""))</f>
        <v/>
      </c>
      <c r="E491" s="25" t="str">
        <f>IF($M491="H","제공금액 "&amp;TEXT(INDEX($U$5:$U$16,$J491),"#,##0")&amp;"원",IF($M491="C","제공금액",IF($M491="I",INDEX('완료 체험단'!$F$4:$F$2000,$N491),IF($M491="T",INDEX($U$5:$U$16,$J491),""))))</f>
        <v/>
      </c>
      <c r="F491" s="25" t="str">
        <f>IF($M491="H","결제금액 "&amp;TEXT(INDEX($V$5:$V$16,$J491),"#,##0")&amp;"원",IF($M491="C","결제금액",IF($M491="I",INDEX('완료 체험단'!$G$4:$G$2000,$N491),IF($M491="T",INDEX($V$5:$V$16,$J491),""))))</f>
        <v/>
      </c>
      <c r="G491" s="25" t="str">
        <f>IF($M491="H","실수익 "&amp;TEXT(INDEX($W$5:$W$16,$J491),"#,##0")&amp;"원",IF($M491="C","실수익",IF($M491="I",INDEX('완료 체험단'!$H$4:$H$2000,$N491),IF($M491="T",INDEX($W$5:$W$16,$J491),""))))</f>
        <v/>
      </c>
      <c r="I491" s="31">
        <f>ROWS(I$5:I491)</f>
        <v>487</v>
      </c>
      <c r="J491" t="str">
        <f t="shared" si="31"/>
        <v/>
      </c>
      <c r="K491" t="str">
        <f t="shared" si="32"/>
        <v/>
      </c>
      <c r="L491" t="str">
        <f t="shared" si="33"/>
        <v/>
      </c>
      <c r="M491" t="str">
        <f t="shared" si="34"/>
        <v/>
      </c>
      <c r="N491" t="str">
        <f>IF($M491="I",MATCH(SMALL('완료 체험단'!$K$4:$K$2000,INDEX($T$5:$T$16,$J491)+$K491-2),'완료 체험단'!$K$4:$K$2000,0),"")</f>
        <v/>
      </c>
    </row>
    <row r="492" spans="2:14">
      <c r="B492" s="23" t="str">
        <f>IF($M492="H",$J492&amp;"월",IF($M492="C","매장명",IF($M492="I",INDEX('완료 체험단'!$A$4:$A$2000,$N492),IF($M492="T","합계",""))))</f>
        <v/>
      </c>
      <c r="C492" s="29" t="str">
        <f>IF($M492="H",$L492&amp;"건",IF($M492="C","사이트",IF($M492="I",INDEX('완료 체험단'!$C$4:$C$2000,$N492),IF($M492="T",$L492&amp;"건",""))))</f>
        <v/>
      </c>
      <c r="D492" s="30" t="str">
        <f>IF($M492="C","방문일",IF($M492="I",INDEX('완료 체험단'!$D$4:$D$2000,$N492),""))</f>
        <v/>
      </c>
      <c r="E492" s="25" t="str">
        <f>IF($M492="H","제공금액 "&amp;TEXT(INDEX($U$5:$U$16,$J492),"#,##0")&amp;"원",IF($M492="C","제공금액",IF($M492="I",INDEX('완료 체험단'!$F$4:$F$2000,$N492),IF($M492="T",INDEX($U$5:$U$16,$J492),""))))</f>
        <v/>
      </c>
      <c r="F492" s="25" t="str">
        <f>IF($M492="H","결제금액 "&amp;TEXT(INDEX($V$5:$V$16,$J492),"#,##0")&amp;"원",IF($M492="C","결제금액",IF($M492="I",INDEX('완료 체험단'!$G$4:$G$2000,$N492),IF($M492="T",INDEX($V$5:$V$16,$J492),""))))</f>
        <v/>
      </c>
      <c r="G492" s="25" t="str">
        <f>IF($M492="H","실수익 "&amp;TEXT(INDEX($W$5:$W$16,$J492),"#,##0")&amp;"원",IF($M492="C","실수익",IF($M492="I",INDEX('완료 체험단'!$H$4:$H$2000,$N492),IF($M492="T",INDEX($W$5:$W$16,$J492),""))))</f>
        <v/>
      </c>
      <c r="I492" s="31">
        <f>ROWS(I$5:I492)</f>
        <v>488</v>
      </c>
      <c r="J492" t="str">
        <f t="shared" si="31"/>
        <v/>
      </c>
      <c r="K492" t="str">
        <f t="shared" si="32"/>
        <v/>
      </c>
      <c r="L492" t="str">
        <f t="shared" si="33"/>
        <v/>
      </c>
      <c r="M492" t="str">
        <f t="shared" si="34"/>
        <v/>
      </c>
      <c r="N492" t="str">
        <f>IF($M492="I",MATCH(SMALL('완료 체험단'!$K$4:$K$2000,INDEX($T$5:$T$16,$J492)+$K492-2),'완료 체험단'!$K$4:$K$2000,0),"")</f>
        <v/>
      </c>
    </row>
    <row r="493" spans="2:14">
      <c r="B493" s="23" t="str">
        <f>IF($M493="H",$J493&amp;"월",IF($M493="C","매장명",IF($M493="I",INDEX('완료 체험단'!$A$4:$A$2000,$N493),IF($M493="T","합계",""))))</f>
        <v/>
      </c>
      <c r="C493" s="29" t="str">
        <f>IF($M493="H",$L493&amp;"건",IF($M493="C","사이트",IF($M493="I",INDEX('완료 체험단'!$C$4:$C$2000,$N493),IF($M493="T",$L493&amp;"건",""))))</f>
        <v/>
      </c>
      <c r="D493" s="30" t="str">
        <f>IF($M493="C","방문일",IF($M493="I",INDEX('완료 체험단'!$D$4:$D$2000,$N493),""))</f>
        <v/>
      </c>
      <c r="E493" s="25" t="str">
        <f>IF($M493="H","제공금액 "&amp;TEXT(INDEX($U$5:$U$16,$J493),"#,##0")&amp;"원",IF($M493="C","제공금액",IF($M493="I",INDEX('완료 체험단'!$F$4:$F$2000,$N493),IF($M493="T",INDEX($U$5:$U$16,$J493),""))))</f>
        <v/>
      </c>
      <c r="F493" s="25" t="str">
        <f>IF($M493="H","결제금액 "&amp;TEXT(INDEX($V$5:$V$16,$J493),"#,##0")&amp;"원",IF($M493="C","결제금액",IF($M493="I",INDEX('완료 체험단'!$G$4:$G$2000,$N493),IF($M493="T",INDEX($V$5:$V$16,$J493),""))))</f>
        <v/>
      </c>
      <c r="G493" s="25" t="str">
        <f>IF($M493="H","실수익 "&amp;TEXT(INDEX($W$5:$W$16,$J493),"#,##0")&amp;"원",IF($M493="C","실수익",IF($M493="I",INDEX('완료 체험단'!$H$4:$H$2000,$N493),IF($M493="T",INDEX($W$5:$W$16,$J493),""))))</f>
        <v/>
      </c>
      <c r="I493" s="31">
        <f>ROWS(I$5:I493)</f>
        <v>489</v>
      </c>
      <c r="J493" t="str">
        <f t="shared" si="31"/>
        <v/>
      </c>
      <c r="K493" t="str">
        <f t="shared" si="32"/>
        <v/>
      </c>
      <c r="L493" t="str">
        <f t="shared" si="33"/>
        <v/>
      </c>
      <c r="M493" t="str">
        <f t="shared" si="34"/>
        <v/>
      </c>
      <c r="N493" t="str">
        <f>IF($M493="I",MATCH(SMALL('완료 체험단'!$K$4:$K$2000,INDEX($T$5:$T$16,$J493)+$K493-2),'완료 체험단'!$K$4:$K$2000,0),"")</f>
        <v/>
      </c>
    </row>
    <row r="494" spans="2:14">
      <c r="B494" s="23" t="str">
        <f>IF($M494="H",$J494&amp;"월",IF($M494="C","매장명",IF($M494="I",INDEX('완료 체험단'!$A$4:$A$2000,$N494),IF($M494="T","합계",""))))</f>
        <v/>
      </c>
      <c r="C494" s="29" t="str">
        <f>IF($M494="H",$L494&amp;"건",IF($M494="C","사이트",IF($M494="I",INDEX('완료 체험단'!$C$4:$C$2000,$N494),IF($M494="T",$L494&amp;"건",""))))</f>
        <v/>
      </c>
      <c r="D494" s="30" t="str">
        <f>IF($M494="C","방문일",IF($M494="I",INDEX('완료 체험단'!$D$4:$D$2000,$N494),""))</f>
        <v/>
      </c>
      <c r="E494" s="25" t="str">
        <f>IF($M494="H","제공금액 "&amp;TEXT(INDEX($U$5:$U$16,$J494),"#,##0")&amp;"원",IF($M494="C","제공금액",IF($M494="I",INDEX('완료 체험단'!$F$4:$F$2000,$N494),IF($M494="T",INDEX($U$5:$U$16,$J494),""))))</f>
        <v/>
      </c>
      <c r="F494" s="25" t="str">
        <f>IF($M494="H","결제금액 "&amp;TEXT(INDEX($V$5:$V$16,$J494),"#,##0")&amp;"원",IF($M494="C","결제금액",IF($M494="I",INDEX('완료 체험단'!$G$4:$G$2000,$N494),IF($M494="T",INDEX($V$5:$V$16,$J494),""))))</f>
        <v/>
      </c>
      <c r="G494" s="25" t="str">
        <f>IF($M494="H","실수익 "&amp;TEXT(INDEX($W$5:$W$16,$J494),"#,##0")&amp;"원",IF($M494="C","실수익",IF($M494="I",INDEX('완료 체험단'!$H$4:$H$2000,$N494),IF($M494="T",INDEX($W$5:$W$16,$J494),""))))</f>
        <v/>
      </c>
      <c r="I494" s="31">
        <f>ROWS(I$5:I494)</f>
        <v>490</v>
      </c>
      <c r="J494" t="str">
        <f t="shared" si="31"/>
        <v/>
      </c>
      <c r="K494" t="str">
        <f t="shared" si="32"/>
        <v/>
      </c>
      <c r="L494" t="str">
        <f t="shared" si="33"/>
        <v/>
      </c>
      <c r="M494" t="str">
        <f t="shared" si="34"/>
        <v/>
      </c>
      <c r="N494" t="str">
        <f>IF($M494="I",MATCH(SMALL('완료 체험단'!$K$4:$K$2000,INDEX($T$5:$T$16,$J494)+$K494-2),'완료 체험단'!$K$4:$K$2000,0),"")</f>
        <v/>
      </c>
    </row>
    <row r="495" spans="2:14">
      <c r="B495" s="23" t="str">
        <f>IF($M495="H",$J495&amp;"월",IF($M495="C","매장명",IF($M495="I",INDEX('완료 체험단'!$A$4:$A$2000,$N495),IF($M495="T","합계",""))))</f>
        <v/>
      </c>
      <c r="C495" s="29" t="str">
        <f>IF($M495="H",$L495&amp;"건",IF($M495="C","사이트",IF($M495="I",INDEX('완료 체험단'!$C$4:$C$2000,$N495),IF($M495="T",$L495&amp;"건",""))))</f>
        <v/>
      </c>
      <c r="D495" s="30" t="str">
        <f>IF($M495="C","방문일",IF($M495="I",INDEX('완료 체험단'!$D$4:$D$2000,$N495),""))</f>
        <v/>
      </c>
      <c r="E495" s="25" t="str">
        <f>IF($M495="H","제공금액 "&amp;TEXT(INDEX($U$5:$U$16,$J495),"#,##0")&amp;"원",IF($M495="C","제공금액",IF($M495="I",INDEX('완료 체험단'!$F$4:$F$2000,$N495),IF($M495="T",INDEX($U$5:$U$16,$J495),""))))</f>
        <v/>
      </c>
      <c r="F495" s="25" t="str">
        <f>IF($M495="H","결제금액 "&amp;TEXT(INDEX($V$5:$V$16,$J495),"#,##0")&amp;"원",IF($M495="C","결제금액",IF($M495="I",INDEX('완료 체험단'!$G$4:$G$2000,$N495),IF($M495="T",INDEX($V$5:$V$16,$J495),""))))</f>
        <v/>
      </c>
      <c r="G495" s="25" t="str">
        <f>IF($M495="H","실수익 "&amp;TEXT(INDEX($W$5:$W$16,$J495),"#,##0")&amp;"원",IF($M495="C","실수익",IF($M495="I",INDEX('완료 체험단'!$H$4:$H$2000,$N495),IF($M495="T",INDEX($W$5:$W$16,$J495),""))))</f>
        <v/>
      </c>
      <c r="I495" s="31">
        <f>ROWS(I$5:I495)</f>
        <v>491</v>
      </c>
      <c r="J495" t="str">
        <f t="shared" si="31"/>
        <v/>
      </c>
      <c r="K495" t="str">
        <f t="shared" si="32"/>
        <v/>
      </c>
      <c r="L495" t="str">
        <f t="shared" si="33"/>
        <v/>
      </c>
      <c r="M495" t="str">
        <f t="shared" si="34"/>
        <v/>
      </c>
      <c r="N495" t="str">
        <f>IF($M495="I",MATCH(SMALL('완료 체험단'!$K$4:$K$2000,INDEX($T$5:$T$16,$J495)+$K495-2),'완료 체험단'!$K$4:$K$2000,0),"")</f>
        <v/>
      </c>
    </row>
    <row r="496" spans="2:14">
      <c r="B496" s="23" t="str">
        <f>IF($M496="H",$J496&amp;"월",IF($M496="C","매장명",IF($M496="I",INDEX('완료 체험단'!$A$4:$A$2000,$N496),IF($M496="T","합계",""))))</f>
        <v/>
      </c>
      <c r="C496" s="29" t="str">
        <f>IF($M496="H",$L496&amp;"건",IF($M496="C","사이트",IF($M496="I",INDEX('완료 체험단'!$C$4:$C$2000,$N496),IF($M496="T",$L496&amp;"건",""))))</f>
        <v/>
      </c>
      <c r="D496" s="30" t="str">
        <f>IF($M496="C","방문일",IF($M496="I",INDEX('완료 체험단'!$D$4:$D$2000,$N496),""))</f>
        <v/>
      </c>
      <c r="E496" s="25" t="str">
        <f>IF($M496="H","제공금액 "&amp;TEXT(INDEX($U$5:$U$16,$J496),"#,##0")&amp;"원",IF($M496="C","제공금액",IF($M496="I",INDEX('완료 체험단'!$F$4:$F$2000,$N496),IF($M496="T",INDEX($U$5:$U$16,$J496),""))))</f>
        <v/>
      </c>
      <c r="F496" s="25" t="str">
        <f>IF($M496="H","결제금액 "&amp;TEXT(INDEX($V$5:$V$16,$J496),"#,##0")&amp;"원",IF($M496="C","결제금액",IF($M496="I",INDEX('완료 체험단'!$G$4:$G$2000,$N496),IF($M496="T",INDEX($V$5:$V$16,$J496),""))))</f>
        <v/>
      </c>
      <c r="G496" s="25" t="str">
        <f>IF($M496="H","실수익 "&amp;TEXT(INDEX($W$5:$W$16,$J496),"#,##0")&amp;"원",IF($M496="C","실수익",IF($M496="I",INDEX('완료 체험단'!$H$4:$H$2000,$N496),IF($M496="T",INDEX($W$5:$W$16,$J496),""))))</f>
        <v/>
      </c>
      <c r="I496" s="31">
        <f>ROWS(I$5:I496)</f>
        <v>492</v>
      </c>
      <c r="J496" t="str">
        <f t="shared" si="31"/>
        <v/>
      </c>
      <c r="K496" t="str">
        <f t="shared" si="32"/>
        <v/>
      </c>
      <c r="L496" t="str">
        <f t="shared" si="33"/>
        <v/>
      </c>
      <c r="M496" t="str">
        <f t="shared" si="34"/>
        <v/>
      </c>
      <c r="N496" t="str">
        <f>IF($M496="I",MATCH(SMALL('완료 체험단'!$K$4:$K$2000,INDEX($T$5:$T$16,$J496)+$K496-2),'완료 체험단'!$K$4:$K$2000,0),"")</f>
        <v/>
      </c>
    </row>
    <row r="497" spans="2:14">
      <c r="B497" s="23" t="str">
        <f>IF($M497="H",$J497&amp;"월",IF($M497="C","매장명",IF($M497="I",INDEX('완료 체험단'!$A$4:$A$2000,$N497),IF($M497="T","합계",""))))</f>
        <v/>
      </c>
      <c r="C497" s="29" t="str">
        <f>IF($M497="H",$L497&amp;"건",IF($M497="C","사이트",IF($M497="I",INDEX('완료 체험단'!$C$4:$C$2000,$N497),IF($M497="T",$L497&amp;"건",""))))</f>
        <v/>
      </c>
      <c r="D497" s="30" t="str">
        <f>IF($M497="C","방문일",IF($M497="I",INDEX('완료 체험단'!$D$4:$D$2000,$N497),""))</f>
        <v/>
      </c>
      <c r="E497" s="25" t="str">
        <f>IF($M497="H","제공금액 "&amp;TEXT(INDEX($U$5:$U$16,$J497),"#,##0")&amp;"원",IF($M497="C","제공금액",IF($M497="I",INDEX('완료 체험단'!$F$4:$F$2000,$N497),IF($M497="T",INDEX($U$5:$U$16,$J497),""))))</f>
        <v/>
      </c>
      <c r="F497" s="25" t="str">
        <f>IF($M497="H","결제금액 "&amp;TEXT(INDEX($V$5:$V$16,$J497),"#,##0")&amp;"원",IF($M497="C","결제금액",IF($M497="I",INDEX('완료 체험단'!$G$4:$G$2000,$N497),IF($M497="T",INDEX($V$5:$V$16,$J497),""))))</f>
        <v/>
      </c>
      <c r="G497" s="25" t="str">
        <f>IF($M497="H","실수익 "&amp;TEXT(INDEX($W$5:$W$16,$J497),"#,##0")&amp;"원",IF($M497="C","실수익",IF($M497="I",INDEX('완료 체험단'!$H$4:$H$2000,$N497),IF($M497="T",INDEX($W$5:$W$16,$J497),""))))</f>
        <v/>
      </c>
      <c r="I497" s="31">
        <f>ROWS(I$5:I497)</f>
        <v>493</v>
      </c>
      <c r="J497" t="str">
        <f t="shared" si="31"/>
        <v/>
      </c>
      <c r="K497" t="str">
        <f t="shared" si="32"/>
        <v/>
      </c>
      <c r="L497" t="str">
        <f t="shared" si="33"/>
        <v/>
      </c>
      <c r="M497" t="str">
        <f t="shared" si="34"/>
        <v/>
      </c>
      <c r="N497" t="str">
        <f>IF($M497="I",MATCH(SMALL('완료 체험단'!$K$4:$K$2000,INDEX($T$5:$T$16,$J497)+$K497-2),'완료 체험단'!$K$4:$K$2000,0),"")</f>
        <v/>
      </c>
    </row>
    <row r="498" spans="2:14">
      <c r="B498" s="23" t="str">
        <f>IF($M498="H",$J498&amp;"월",IF($M498="C","매장명",IF($M498="I",INDEX('완료 체험단'!$A$4:$A$2000,$N498),IF($M498="T","합계",""))))</f>
        <v/>
      </c>
      <c r="C498" s="29" t="str">
        <f>IF($M498="H",$L498&amp;"건",IF($M498="C","사이트",IF($M498="I",INDEX('완료 체험단'!$C$4:$C$2000,$N498),IF($M498="T",$L498&amp;"건",""))))</f>
        <v/>
      </c>
      <c r="D498" s="30" t="str">
        <f>IF($M498="C","방문일",IF($M498="I",INDEX('완료 체험단'!$D$4:$D$2000,$N498),""))</f>
        <v/>
      </c>
      <c r="E498" s="25" t="str">
        <f>IF($M498="H","제공금액 "&amp;TEXT(INDEX($U$5:$U$16,$J498),"#,##0")&amp;"원",IF($M498="C","제공금액",IF($M498="I",INDEX('완료 체험단'!$F$4:$F$2000,$N498),IF($M498="T",INDEX($U$5:$U$16,$J498),""))))</f>
        <v/>
      </c>
      <c r="F498" s="25" t="str">
        <f>IF($M498="H","결제금액 "&amp;TEXT(INDEX($V$5:$V$16,$J498),"#,##0")&amp;"원",IF($M498="C","결제금액",IF($M498="I",INDEX('완료 체험단'!$G$4:$G$2000,$N498),IF($M498="T",INDEX($V$5:$V$16,$J498),""))))</f>
        <v/>
      </c>
      <c r="G498" s="25" t="str">
        <f>IF($M498="H","실수익 "&amp;TEXT(INDEX($W$5:$W$16,$J498),"#,##0")&amp;"원",IF($M498="C","실수익",IF($M498="I",INDEX('완료 체험단'!$H$4:$H$2000,$N498),IF($M498="T",INDEX($W$5:$W$16,$J498),""))))</f>
        <v/>
      </c>
      <c r="I498" s="31">
        <f>ROWS(I$5:I498)</f>
        <v>494</v>
      </c>
      <c r="J498" t="str">
        <f t="shared" si="31"/>
        <v/>
      </c>
      <c r="K498" t="str">
        <f t="shared" si="32"/>
        <v/>
      </c>
      <c r="L498" t="str">
        <f t="shared" si="33"/>
        <v/>
      </c>
      <c r="M498" t="str">
        <f t="shared" si="34"/>
        <v/>
      </c>
      <c r="N498" t="str">
        <f>IF($M498="I",MATCH(SMALL('완료 체험단'!$K$4:$K$2000,INDEX($T$5:$T$16,$J498)+$K498-2),'완료 체험단'!$K$4:$K$2000,0),"")</f>
        <v/>
      </c>
    </row>
    <row r="499" spans="2:14">
      <c r="B499" s="23" t="str">
        <f>IF($M499="H",$J499&amp;"월",IF($M499="C","매장명",IF($M499="I",INDEX('완료 체험단'!$A$4:$A$2000,$N499),IF($M499="T","합계",""))))</f>
        <v/>
      </c>
      <c r="C499" s="29" t="str">
        <f>IF($M499="H",$L499&amp;"건",IF($M499="C","사이트",IF($M499="I",INDEX('완료 체험단'!$C$4:$C$2000,$N499),IF($M499="T",$L499&amp;"건",""))))</f>
        <v/>
      </c>
      <c r="D499" s="30" t="str">
        <f>IF($M499="C","방문일",IF($M499="I",INDEX('완료 체험단'!$D$4:$D$2000,$N499),""))</f>
        <v/>
      </c>
      <c r="E499" s="25" t="str">
        <f>IF($M499="H","제공금액 "&amp;TEXT(INDEX($U$5:$U$16,$J499),"#,##0")&amp;"원",IF($M499="C","제공금액",IF($M499="I",INDEX('완료 체험단'!$F$4:$F$2000,$N499),IF($M499="T",INDEX($U$5:$U$16,$J499),""))))</f>
        <v/>
      </c>
      <c r="F499" s="25" t="str">
        <f>IF($M499="H","결제금액 "&amp;TEXT(INDEX($V$5:$V$16,$J499),"#,##0")&amp;"원",IF($M499="C","결제금액",IF($M499="I",INDEX('완료 체험단'!$G$4:$G$2000,$N499),IF($M499="T",INDEX($V$5:$V$16,$J499),""))))</f>
        <v/>
      </c>
      <c r="G499" s="25" t="str">
        <f>IF($M499="H","실수익 "&amp;TEXT(INDEX($W$5:$W$16,$J499),"#,##0")&amp;"원",IF($M499="C","실수익",IF($M499="I",INDEX('완료 체험단'!$H$4:$H$2000,$N499),IF($M499="T",INDEX($W$5:$W$16,$J499),""))))</f>
        <v/>
      </c>
      <c r="I499" s="31">
        <f>ROWS(I$5:I499)</f>
        <v>495</v>
      </c>
      <c r="J499" t="str">
        <f t="shared" si="31"/>
        <v/>
      </c>
      <c r="K499" t="str">
        <f t="shared" si="32"/>
        <v/>
      </c>
      <c r="L499" t="str">
        <f t="shared" si="33"/>
        <v/>
      </c>
      <c r="M499" t="str">
        <f t="shared" si="34"/>
        <v/>
      </c>
      <c r="N499" t="str">
        <f>IF($M499="I",MATCH(SMALL('완료 체험단'!$K$4:$K$2000,INDEX($T$5:$T$16,$J499)+$K499-2),'완료 체험단'!$K$4:$K$2000,0),"")</f>
        <v/>
      </c>
    </row>
    <row r="500" spans="2:14">
      <c r="B500" s="23" t="str">
        <f>IF($M500="H",$J500&amp;"월",IF($M500="C","매장명",IF($M500="I",INDEX('완료 체험단'!$A$4:$A$2000,$N500),IF($M500="T","합계",""))))</f>
        <v/>
      </c>
      <c r="C500" s="29" t="str">
        <f>IF($M500="H",$L500&amp;"건",IF($M500="C","사이트",IF($M500="I",INDEX('완료 체험단'!$C$4:$C$2000,$N500),IF($M500="T",$L500&amp;"건",""))))</f>
        <v/>
      </c>
      <c r="D500" s="30" t="str">
        <f>IF($M500="C","방문일",IF($M500="I",INDEX('완료 체험단'!$D$4:$D$2000,$N500),""))</f>
        <v/>
      </c>
      <c r="E500" s="25" t="str">
        <f>IF($M500="H","제공금액 "&amp;TEXT(INDEX($U$5:$U$16,$J500),"#,##0")&amp;"원",IF($M500="C","제공금액",IF($M500="I",INDEX('완료 체험단'!$F$4:$F$2000,$N500),IF($M500="T",INDEX($U$5:$U$16,$J500),""))))</f>
        <v/>
      </c>
      <c r="F500" s="25" t="str">
        <f>IF($M500="H","결제금액 "&amp;TEXT(INDEX($V$5:$V$16,$J500),"#,##0")&amp;"원",IF($M500="C","결제금액",IF($M500="I",INDEX('완료 체험단'!$G$4:$G$2000,$N500),IF($M500="T",INDEX($V$5:$V$16,$J500),""))))</f>
        <v/>
      </c>
      <c r="G500" s="25" t="str">
        <f>IF($M500="H","실수익 "&amp;TEXT(INDEX($W$5:$W$16,$J500),"#,##0")&amp;"원",IF($M500="C","실수익",IF($M500="I",INDEX('완료 체험단'!$H$4:$H$2000,$N500),IF($M500="T",INDEX($W$5:$W$16,$J500),""))))</f>
        <v/>
      </c>
      <c r="I500" s="31">
        <f>ROWS(I$5:I500)</f>
        <v>496</v>
      </c>
      <c r="J500" t="str">
        <f t="shared" si="31"/>
        <v/>
      </c>
      <c r="K500" t="str">
        <f t="shared" si="32"/>
        <v/>
      </c>
      <c r="L500" t="str">
        <f t="shared" si="33"/>
        <v/>
      </c>
      <c r="M500" t="str">
        <f t="shared" si="34"/>
        <v/>
      </c>
      <c r="N500" t="str">
        <f>IF($M500="I",MATCH(SMALL('완료 체험단'!$K$4:$K$2000,INDEX($T$5:$T$16,$J500)+$K500-2),'완료 체험단'!$K$4:$K$2000,0),"")</f>
        <v/>
      </c>
    </row>
    <row r="501" spans="2:14">
      <c r="B501" s="23" t="str">
        <f>IF($M501="H",$J501&amp;"월",IF($M501="C","매장명",IF($M501="I",INDEX('완료 체험단'!$A$4:$A$2000,$N501),IF($M501="T","합계",""))))</f>
        <v/>
      </c>
      <c r="C501" s="29" t="str">
        <f>IF($M501="H",$L501&amp;"건",IF($M501="C","사이트",IF($M501="I",INDEX('완료 체험단'!$C$4:$C$2000,$N501),IF($M501="T",$L501&amp;"건",""))))</f>
        <v/>
      </c>
      <c r="D501" s="30" t="str">
        <f>IF($M501="C","방문일",IF($M501="I",INDEX('완료 체험단'!$D$4:$D$2000,$N501),""))</f>
        <v/>
      </c>
      <c r="E501" s="25" t="str">
        <f>IF($M501="H","제공금액 "&amp;TEXT(INDEX($U$5:$U$16,$J501),"#,##0")&amp;"원",IF($M501="C","제공금액",IF($M501="I",INDEX('완료 체험단'!$F$4:$F$2000,$N501),IF($M501="T",INDEX($U$5:$U$16,$J501),""))))</f>
        <v/>
      </c>
      <c r="F501" s="25" t="str">
        <f>IF($M501="H","결제금액 "&amp;TEXT(INDEX($V$5:$V$16,$J501),"#,##0")&amp;"원",IF($M501="C","결제금액",IF($M501="I",INDEX('완료 체험단'!$G$4:$G$2000,$N501),IF($M501="T",INDEX($V$5:$V$16,$J501),""))))</f>
        <v/>
      </c>
      <c r="G501" s="25" t="str">
        <f>IF($M501="H","실수익 "&amp;TEXT(INDEX($W$5:$W$16,$J501),"#,##0")&amp;"원",IF($M501="C","실수익",IF($M501="I",INDEX('완료 체험단'!$H$4:$H$2000,$N501),IF($M501="T",INDEX($W$5:$W$16,$J501),""))))</f>
        <v/>
      </c>
      <c r="I501" s="31">
        <f>ROWS(I$5:I501)</f>
        <v>497</v>
      </c>
      <c r="J501" t="str">
        <f t="shared" si="31"/>
        <v/>
      </c>
      <c r="K501" t="str">
        <f t="shared" si="32"/>
        <v/>
      </c>
      <c r="L501" t="str">
        <f t="shared" si="33"/>
        <v/>
      </c>
      <c r="M501" t="str">
        <f t="shared" si="34"/>
        <v/>
      </c>
      <c r="N501" t="str">
        <f>IF($M501="I",MATCH(SMALL('완료 체험단'!$K$4:$K$2000,INDEX($T$5:$T$16,$J501)+$K501-2),'완료 체험단'!$K$4:$K$2000,0),"")</f>
        <v/>
      </c>
    </row>
    <row r="502" spans="2:14">
      <c r="B502" s="23" t="str">
        <f>IF($M502="H",$J502&amp;"월",IF($M502="C","매장명",IF($M502="I",INDEX('완료 체험단'!$A$4:$A$2000,$N502),IF($M502="T","합계",""))))</f>
        <v/>
      </c>
      <c r="C502" s="29" t="str">
        <f>IF($M502="H",$L502&amp;"건",IF($M502="C","사이트",IF($M502="I",INDEX('완료 체험단'!$C$4:$C$2000,$N502),IF($M502="T",$L502&amp;"건",""))))</f>
        <v/>
      </c>
      <c r="D502" s="30" t="str">
        <f>IF($M502="C","방문일",IF($M502="I",INDEX('완료 체험단'!$D$4:$D$2000,$N502),""))</f>
        <v/>
      </c>
      <c r="E502" s="25" t="str">
        <f>IF($M502="H","제공금액 "&amp;TEXT(INDEX($U$5:$U$16,$J502),"#,##0")&amp;"원",IF($M502="C","제공금액",IF($M502="I",INDEX('완료 체험단'!$F$4:$F$2000,$N502),IF($M502="T",INDEX($U$5:$U$16,$J502),""))))</f>
        <v/>
      </c>
      <c r="F502" s="25" t="str">
        <f>IF($M502="H","결제금액 "&amp;TEXT(INDEX($V$5:$V$16,$J502),"#,##0")&amp;"원",IF($M502="C","결제금액",IF($M502="I",INDEX('완료 체험단'!$G$4:$G$2000,$N502),IF($M502="T",INDEX($V$5:$V$16,$J502),""))))</f>
        <v/>
      </c>
      <c r="G502" s="25" t="str">
        <f>IF($M502="H","실수익 "&amp;TEXT(INDEX($W$5:$W$16,$J502),"#,##0")&amp;"원",IF($M502="C","실수익",IF($M502="I",INDEX('완료 체험단'!$H$4:$H$2000,$N502),IF($M502="T",INDEX($W$5:$W$16,$J502),""))))</f>
        <v/>
      </c>
      <c r="I502" s="31">
        <f>ROWS(I$5:I502)</f>
        <v>498</v>
      </c>
      <c r="J502" t="str">
        <f t="shared" si="31"/>
        <v/>
      </c>
      <c r="K502" t="str">
        <f t="shared" si="32"/>
        <v/>
      </c>
      <c r="L502" t="str">
        <f t="shared" si="33"/>
        <v/>
      </c>
      <c r="M502" t="str">
        <f t="shared" si="34"/>
        <v/>
      </c>
      <c r="N502" t="str">
        <f>IF($M502="I",MATCH(SMALL('완료 체험단'!$K$4:$K$2000,INDEX($T$5:$T$16,$J502)+$K502-2),'완료 체험단'!$K$4:$K$2000,0),"")</f>
        <v/>
      </c>
    </row>
    <row r="503" spans="2:14">
      <c r="B503" s="23" t="str">
        <f>IF($M503="H",$J503&amp;"월",IF($M503="C","매장명",IF($M503="I",INDEX('완료 체험단'!$A$4:$A$2000,$N503),IF($M503="T","합계",""))))</f>
        <v/>
      </c>
      <c r="C503" s="29" t="str">
        <f>IF($M503="H",$L503&amp;"건",IF($M503="C","사이트",IF($M503="I",INDEX('완료 체험단'!$C$4:$C$2000,$N503),IF($M503="T",$L503&amp;"건",""))))</f>
        <v/>
      </c>
      <c r="D503" s="30" t="str">
        <f>IF($M503="C","방문일",IF($M503="I",INDEX('완료 체험단'!$D$4:$D$2000,$N503),""))</f>
        <v/>
      </c>
      <c r="E503" s="25" t="str">
        <f>IF($M503="H","제공금액 "&amp;TEXT(INDEX($U$5:$U$16,$J503),"#,##0")&amp;"원",IF($M503="C","제공금액",IF($M503="I",INDEX('완료 체험단'!$F$4:$F$2000,$N503),IF($M503="T",INDEX($U$5:$U$16,$J503),""))))</f>
        <v/>
      </c>
      <c r="F503" s="25" t="str">
        <f>IF($M503="H","결제금액 "&amp;TEXT(INDEX($V$5:$V$16,$J503),"#,##0")&amp;"원",IF($M503="C","결제금액",IF($M503="I",INDEX('완료 체험단'!$G$4:$G$2000,$N503),IF($M503="T",INDEX($V$5:$V$16,$J503),""))))</f>
        <v/>
      </c>
      <c r="G503" s="25" t="str">
        <f>IF($M503="H","실수익 "&amp;TEXT(INDEX($W$5:$W$16,$J503),"#,##0")&amp;"원",IF($M503="C","실수익",IF($M503="I",INDEX('완료 체험단'!$H$4:$H$2000,$N503),IF($M503="T",INDEX($W$5:$W$16,$J503),""))))</f>
        <v/>
      </c>
      <c r="I503" s="31">
        <f>ROWS(I$5:I503)</f>
        <v>499</v>
      </c>
      <c r="J503" t="str">
        <f t="shared" si="31"/>
        <v/>
      </c>
      <c r="K503" t="str">
        <f t="shared" si="32"/>
        <v/>
      </c>
      <c r="L503" t="str">
        <f t="shared" si="33"/>
        <v/>
      </c>
      <c r="M503" t="str">
        <f t="shared" si="34"/>
        <v/>
      </c>
      <c r="N503" t="str">
        <f>IF($M503="I",MATCH(SMALL('완료 체험단'!$K$4:$K$2000,INDEX($T$5:$T$16,$J503)+$K503-2),'완료 체험단'!$K$4:$K$2000,0),"")</f>
        <v/>
      </c>
    </row>
    <row r="504" spans="2:14">
      <c r="B504" s="23" t="str">
        <f>IF($M504="H",$J504&amp;"월",IF($M504="C","매장명",IF($M504="I",INDEX('완료 체험단'!$A$4:$A$2000,$N504),IF($M504="T","합계",""))))</f>
        <v/>
      </c>
      <c r="C504" s="29" t="str">
        <f>IF($M504="H",$L504&amp;"건",IF($M504="C","사이트",IF($M504="I",INDEX('완료 체험단'!$C$4:$C$2000,$N504),IF($M504="T",$L504&amp;"건",""))))</f>
        <v/>
      </c>
      <c r="D504" s="30" t="str">
        <f>IF($M504="C","방문일",IF($M504="I",INDEX('완료 체험단'!$D$4:$D$2000,$N504),""))</f>
        <v/>
      </c>
      <c r="E504" s="25" t="str">
        <f>IF($M504="H","제공금액 "&amp;TEXT(INDEX($U$5:$U$16,$J504),"#,##0")&amp;"원",IF($M504="C","제공금액",IF($M504="I",INDEX('완료 체험단'!$F$4:$F$2000,$N504),IF($M504="T",INDEX($U$5:$U$16,$J504),""))))</f>
        <v/>
      </c>
      <c r="F504" s="25" t="str">
        <f>IF($M504="H","결제금액 "&amp;TEXT(INDEX($V$5:$V$16,$J504),"#,##0")&amp;"원",IF($M504="C","결제금액",IF($M504="I",INDEX('완료 체험단'!$G$4:$G$2000,$N504),IF($M504="T",INDEX($V$5:$V$16,$J504),""))))</f>
        <v/>
      </c>
      <c r="G504" s="25" t="str">
        <f>IF($M504="H","실수익 "&amp;TEXT(INDEX($W$5:$W$16,$J504),"#,##0")&amp;"원",IF($M504="C","실수익",IF($M504="I",INDEX('완료 체험단'!$H$4:$H$2000,$N504),IF($M504="T",INDEX($W$5:$W$16,$J504),""))))</f>
        <v/>
      </c>
      <c r="I504" s="31">
        <f>ROWS(I$5:I504)</f>
        <v>500</v>
      </c>
      <c r="J504" t="str">
        <f t="shared" si="31"/>
        <v/>
      </c>
      <c r="K504" t="str">
        <f t="shared" si="32"/>
        <v/>
      </c>
      <c r="L504" t="str">
        <f t="shared" si="33"/>
        <v/>
      </c>
      <c r="M504" t="str">
        <f t="shared" si="34"/>
        <v/>
      </c>
      <c r="N504" t="str">
        <f>IF($M504="I",MATCH(SMALL('완료 체험단'!$K$4:$K$2000,INDEX($T$5:$T$16,$J504)+$K504-2),'완료 체험단'!$K$4:$K$2000,0),"")</f>
        <v/>
      </c>
    </row>
    <row r="505" spans="2:14">
      <c r="B505" s="23" t="str">
        <f>IF($M505="H",$J505&amp;"월",IF($M505="C","매장명",IF($M505="I",INDEX('완료 체험단'!$A$4:$A$2000,$N505),IF($M505="T","합계",""))))</f>
        <v/>
      </c>
      <c r="C505" s="29" t="str">
        <f>IF($M505="H",$L505&amp;"건",IF($M505="C","사이트",IF($M505="I",INDEX('완료 체험단'!$C$4:$C$2000,$N505),IF($M505="T",$L505&amp;"건",""))))</f>
        <v/>
      </c>
      <c r="D505" s="30" t="str">
        <f>IF($M505="C","방문일",IF($M505="I",INDEX('완료 체험단'!$D$4:$D$2000,$N505),""))</f>
        <v/>
      </c>
      <c r="E505" s="25" t="str">
        <f>IF($M505="H","제공금액 "&amp;TEXT(INDEX($U$5:$U$16,$J505),"#,##0")&amp;"원",IF($M505="C","제공금액",IF($M505="I",INDEX('완료 체험단'!$F$4:$F$2000,$N505),IF($M505="T",INDEX($U$5:$U$16,$J505),""))))</f>
        <v/>
      </c>
      <c r="F505" s="25" t="str">
        <f>IF($M505="H","결제금액 "&amp;TEXT(INDEX($V$5:$V$16,$J505),"#,##0")&amp;"원",IF($M505="C","결제금액",IF($M505="I",INDEX('완료 체험단'!$G$4:$G$2000,$N505),IF($M505="T",INDEX($V$5:$V$16,$J505),""))))</f>
        <v/>
      </c>
      <c r="G505" s="25" t="str">
        <f>IF($M505="H","실수익 "&amp;TEXT(INDEX($W$5:$W$16,$J505),"#,##0")&amp;"원",IF($M505="C","실수익",IF($M505="I",INDEX('완료 체험단'!$H$4:$H$2000,$N505),IF($M505="T",INDEX($W$5:$W$16,$J505),""))))</f>
        <v/>
      </c>
      <c r="I505" s="31">
        <f>ROWS(I$5:I505)</f>
        <v>501</v>
      </c>
      <c r="J505" t="str">
        <f t="shared" si="31"/>
        <v/>
      </c>
      <c r="K505" t="str">
        <f t="shared" si="32"/>
        <v/>
      </c>
      <c r="L505" t="str">
        <f t="shared" si="33"/>
        <v/>
      </c>
      <c r="M505" t="str">
        <f t="shared" si="34"/>
        <v/>
      </c>
      <c r="N505" t="str">
        <f>IF($M505="I",MATCH(SMALL('완료 체험단'!$K$4:$K$2000,INDEX($T$5:$T$16,$J505)+$K505-2),'완료 체험단'!$K$4:$K$2000,0),"")</f>
        <v/>
      </c>
    </row>
    <row r="506" spans="2:14">
      <c r="B506" s="23" t="str">
        <f>IF($M506="H",$J506&amp;"월",IF($M506="C","매장명",IF($M506="I",INDEX('완료 체험단'!$A$4:$A$2000,$N506),IF($M506="T","합계",""))))</f>
        <v/>
      </c>
      <c r="C506" s="29" t="str">
        <f>IF($M506="H",$L506&amp;"건",IF($M506="C","사이트",IF($M506="I",INDEX('완료 체험단'!$C$4:$C$2000,$N506),IF($M506="T",$L506&amp;"건",""))))</f>
        <v/>
      </c>
      <c r="D506" s="30" t="str">
        <f>IF($M506="C","방문일",IF($M506="I",INDEX('완료 체험단'!$D$4:$D$2000,$N506),""))</f>
        <v/>
      </c>
      <c r="E506" s="25" t="str">
        <f>IF($M506="H","제공금액 "&amp;TEXT(INDEX($U$5:$U$16,$J506),"#,##0")&amp;"원",IF($M506="C","제공금액",IF($M506="I",INDEX('완료 체험단'!$F$4:$F$2000,$N506),IF($M506="T",INDEX($U$5:$U$16,$J506),""))))</f>
        <v/>
      </c>
      <c r="F506" s="25" t="str">
        <f>IF($M506="H","결제금액 "&amp;TEXT(INDEX($V$5:$V$16,$J506),"#,##0")&amp;"원",IF($M506="C","결제금액",IF($M506="I",INDEX('완료 체험단'!$G$4:$G$2000,$N506),IF($M506="T",INDEX($V$5:$V$16,$J506),""))))</f>
        <v/>
      </c>
      <c r="G506" s="25" t="str">
        <f>IF($M506="H","실수익 "&amp;TEXT(INDEX($W$5:$W$16,$J506),"#,##0")&amp;"원",IF($M506="C","실수익",IF($M506="I",INDEX('완료 체험단'!$H$4:$H$2000,$N506),IF($M506="T",INDEX($W$5:$W$16,$J506),""))))</f>
        <v/>
      </c>
      <c r="I506" s="31">
        <f>ROWS(I$5:I506)</f>
        <v>502</v>
      </c>
      <c r="J506" t="str">
        <f t="shared" si="31"/>
        <v/>
      </c>
      <c r="K506" t="str">
        <f t="shared" si="32"/>
        <v/>
      </c>
      <c r="L506" t="str">
        <f t="shared" si="33"/>
        <v/>
      </c>
      <c r="M506" t="str">
        <f t="shared" si="34"/>
        <v/>
      </c>
      <c r="N506" t="str">
        <f>IF($M506="I",MATCH(SMALL('완료 체험단'!$K$4:$K$2000,INDEX($T$5:$T$16,$J506)+$K506-2),'완료 체험단'!$K$4:$K$2000,0),"")</f>
        <v/>
      </c>
    </row>
    <row r="507" spans="2:14">
      <c r="B507" s="23" t="str">
        <f>IF($M507="H",$J507&amp;"월",IF($M507="C","매장명",IF($M507="I",INDEX('완료 체험단'!$A$4:$A$2000,$N507),IF($M507="T","합계",""))))</f>
        <v/>
      </c>
      <c r="C507" s="29" t="str">
        <f>IF($M507="H",$L507&amp;"건",IF($M507="C","사이트",IF($M507="I",INDEX('완료 체험단'!$C$4:$C$2000,$N507),IF($M507="T",$L507&amp;"건",""))))</f>
        <v/>
      </c>
      <c r="D507" s="30" t="str">
        <f>IF($M507="C","방문일",IF($M507="I",INDEX('완료 체험단'!$D$4:$D$2000,$N507),""))</f>
        <v/>
      </c>
      <c r="E507" s="25" t="str">
        <f>IF($M507="H","제공금액 "&amp;TEXT(INDEX($U$5:$U$16,$J507),"#,##0")&amp;"원",IF($M507="C","제공금액",IF($M507="I",INDEX('완료 체험단'!$F$4:$F$2000,$N507),IF($M507="T",INDEX($U$5:$U$16,$J507),""))))</f>
        <v/>
      </c>
      <c r="F507" s="25" t="str">
        <f>IF($M507="H","결제금액 "&amp;TEXT(INDEX($V$5:$V$16,$J507),"#,##0")&amp;"원",IF($M507="C","결제금액",IF($M507="I",INDEX('완료 체험단'!$G$4:$G$2000,$N507),IF($M507="T",INDEX($V$5:$V$16,$J507),""))))</f>
        <v/>
      </c>
      <c r="G507" s="25" t="str">
        <f>IF($M507="H","실수익 "&amp;TEXT(INDEX($W$5:$W$16,$J507),"#,##0")&amp;"원",IF($M507="C","실수익",IF($M507="I",INDEX('완료 체험단'!$H$4:$H$2000,$N507),IF($M507="T",INDEX($W$5:$W$16,$J507),""))))</f>
        <v/>
      </c>
      <c r="I507" s="31">
        <f>ROWS(I$5:I507)</f>
        <v>503</v>
      </c>
      <c r="J507" t="str">
        <f t="shared" si="31"/>
        <v/>
      </c>
      <c r="K507" t="str">
        <f t="shared" si="32"/>
        <v/>
      </c>
      <c r="L507" t="str">
        <f t="shared" si="33"/>
        <v/>
      </c>
      <c r="M507" t="str">
        <f t="shared" si="34"/>
        <v/>
      </c>
      <c r="N507" t="str">
        <f>IF($M507="I",MATCH(SMALL('완료 체험단'!$K$4:$K$2000,INDEX($T$5:$T$16,$J507)+$K507-2),'완료 체험단'!$K$4:$K$2000,0),"")</f>
        <v/>
      </c>
    </row>
    <row r="508" spans="2:14">
      <c r="B508" s="23" t="str">
        <f>IF($M508="H",$J508&amp;"월",IF($M508="C","매장명",IF($M508="I",INDEX('완료 체험단'!$A$4:$A$2000,$N508),IF($M508="T","합계",""))))</f>
        <v/>
      </c>
      <c r="C508" s="29" t="str">
        <f>IF($M508="H",$L508&amp;"건",IF($M508="C","사이트",IF($M508="I",INDEX('완료 체험단'!$C$4:$C$2000,$N508),IF($M508="T",$L508&amp;"건",""))))</f>
        <v/>
      </c>
      <c r="D508" s="30" t="str">
        <f>IF($M508="C","방문일",IF($M508="I",INDEX('완료 체험단'!$D$4:$D$2000,$N508),""))</f>
        <v/>
      </c>
      <c r="E508" s="25" t="str">
        <f>IF($M508="H","제공금액 "&amp;TEXT(INDEX($U$5:$U$16,$J508),"#,##0")&amp;"원",IF($M508="C","제공금액",IF($M508="I",INDEX('완료 체험단'!$F$4:$F$2000,$N508),IF($M508="T",INDEX($U$5:$U$16,$J508),""))))</f>
        <v/>
      </c>
      <c r="F508" s="25" t="str">
        <f>IF($M508="H","결제금액 "&amp;TEXT(INDEX($V$5:$V$16,$J508),"#,##0")&amp;"원",IF($M508="C","결제금액",IF($M508="I",INDEX('완료 체험단'!$G$4:$G$2000,$N508),IF($M508="T",INDEX($V$5:$V$16,$J508),""))))</f>
        <v/>
      </c>
      <c r="G508" s="25" t="str">
        <f>IF($M508="H","실수익 "&amp;TEXT(INDEX($W$5:$W$16,$J508),"#,##0")&amp;"원",IF($M508="C","실수익",IF($M508="I",INDEX('완료 체험단'!$H$4:$H$2000,$N508),IF($M508="T",INDEX($W$5:$W$16,$J508),""))))</f>
        <v/>
      </c>
      <c r="I508" s="31">
        <f>ROWS(I$5:I508)</f>
        <v>504</v>
      </c>
      <c r="J508" t="str">
        <f t="shared" si="31"/>
        <v/>
      </c>
      <c r="K508" t="str">
        <f t="shared" si="32"/>
        <v/>
      </c>
      <c r="L508" t="str">
        <f t="shared" si="33"/>
        <v/>
      </c>
      <c r="M508" t="str">
        <f t="shared" si="34"/>
        <v/>
      </c>
      <c r="N508" t="str">
        <f>IF($M508="I",MATCH(SMALL('완료 체험단'!$K$4:$K$2000,INDEX($T$5:$T$16,$J508)+$K508-2),'완료 체험단'!$K$4:$K$2000,0),"")</f>
        <v/>
      </c>
    </row>
    <row r="509" spans="2:14">
      <c r="B509" s="23" t="str">
        <f>IF($M509="H",$J509&amp;"월",IF($M509="C","매장명",IF($M509="I",INDEX('완료 체험단'!$A$4:$A$2000,$N509),IF($M509="T","합계",""))))</f>
        <v/>
      </c>
      <c r="C509" s="29" t="str">
        <f>IF($M509="H",$L509&amp;"건",IF($M509="C","사이트",IF($M509="I",INDEX('완료 체험단'!$C$4:$C$2000,$N509),IF($M509="T",$L509&amp;"건",""))))</f>
        <v/>
      </c>
      <c r="D509" s="30" t="str">
        <f>IF($M509="C","방문일",IF($M509="I",INDEX('완료 체험단'!$D$4:$D$2000,$N509),""))</f>
        <v/>
      </c>
      <c r="E509" s="25" t="str">
        <f>IF($M509="H","제공금액 "&amp;TEXT(INDEX($U$5:$U$16,$J509),"#,##0")&amp;"원",IF($M509="C","제공금액",IF($M509="I",INDEX('완료 체험단'!$F$4:$F$2000,$N509),IF($M509="T",INDEX($U$5:$U$16,$J509),""))))</f>
        <v/>
      </c>
      <c r="F509" s="25" t="str">
        <f>IF($M509="H","결제금액 "&amp;TEXT(INDEX($V$5:$V$16,$J509),"#,##0")&amp;"원",IF($M509="C","결제금액",IF($M509="I",INDEX('완료 체험단'!$G$4:$G$2000,$N509),IF($M509="T",INDEX($V$5:$V$16,$J509),""))))</f>
        <v/>
      </c>
      <c r="G509" s="25" t="str">
        <f>IF($M509="H","실수익 "&amp;TEXT(INDEX($W$5:$W$16,$J509),"#,##0")&amp;"원",IF($M509="C","실수익",IF($M509="I",INDEX('완료 체험단'!$H$4:$H$2000,$N509),IF($M509="T",INDEX($W$5:$W$16,$J509),""))))</f>
        <v/>
      </c>
      <c r="I509" s="31">
        <f>ROWS(I$5:I509)</f>
        <v>505</v>
      </c>
      <c r="J509" t="str">
        <f t="shared" si="31"/>
        <v/>
      </c>
      <c r="K509" t="str">
        <f t="shared" si="32"/>
        <v/>
      </c>
      <c r="L509" t="str">
        <f t="shared" si="33"/>
        <v/>
      </c>
      <c r="M509" t="str">
        <f t="shared" si="34"/>
        <v/>
      </c>
      <c r="N509" t="str">
        <f>IF($M509="I",MATCH(SMALL('완료 체험단'!$K$4:$K$2000,INDEX($T$5:$T$16,$J509)+$K509-2),'완료 체험단'!$K$4:$K$2000,0),"")</f>
        <v/>
      </c>
    </row>
    <row r="510" spans="2:14">
      <c r="B510" s="23" t="str">
        <f>IF($M510="H",$J510&amp;"월",IF($M510="C","매장명",IF($M510="I",INDEX('완료 체험단'!$A$4:$A$2000,$N510),IF($M510="T","합계",""))))</f>
        <v/>
      </c>
      <c r="C510" s="29" t="str">
        <f>IF($M510="H",$L510&amp;"건",IF($M510="C","사이트",IF($M510="I",INDEX('완료 체험단'!$C$4:$C$2000,$N510),IF($M510="T",$L510&amp;"건",""))))</f>
        <v/>
      </c>
      <c r="D510" s="30" t="str">
        <f>IF($M510="C","방문일",IF($M510="I",INDEX('완료 체험단'!$D$4:$D$2000,$N510),""))</f>
        <v/>
      </c>
      <c r="E510" s="25" t="str">
        <f>IF($M510="H","제공금액 "&amp;TEXT(INDEX($U$5:$U$16,$J510),"#,##0")&amp;"원",IF($M510="C","제공금액",IF($M510="I",INDEX('완료 체험단'!$F$4:$F$2000,$N510),IF($M510="T",INDEX($U$5:$U$16,$J510),""))))</f>
        <v/>
      </c>
      <c r="F510" s="25" t="str">
        <f>IF($M510="H","결제금액 "&amp;TEXT(INDEX($V$5:$V$16,$J510),"#,##0")&amp;"원",IF($M510="C","결제금액",IF($M510="I",INDEX('완료 체험단'!$G$4:$G$2000,$N510),IF($M510="T",INDEX($V$5:$V$16,$J510),""))))</f>
        <v/>
      </c>
      <c r="G510" s="25" t="str">
        <f>IF($M510="H","실수익 "&amp;TEXT(INDEX($W$5:$W$16,$J510),"#,##0")&amp;"원",IF($M510="C","실수익",IF($M510="I",INDEX('완료 체험단'!$H$4:$H$2000,$N510),IF($M510="T",INDEX($W$5:$W$16,$J510),""))))</f>
        <v/>
      </c>
      <c r="I510" s="31">
        <f>ROWS(I$5:I510)</f>
        <v>506</v>
      </c>
      <c r="J510" t="str">
        <f t="shared" si="31"/>
        <v/>
      </c>
      <c r="K510" t="str">
        <f t="shared" si="32"/>
        <v/>
      </c>
      <c r="L510" t="str">
        <f t="shared" si="33"/>
        <v/>
      </c>
      <c r="M510" t="str">
        <f t="shared" si="34"/>
        <v/>
      </c>
      <c r="N510" t="str">
        <f>IF($M510="I",MATCH(SMALL('완료 체험단'!$K$4:$K$2000,INDEX($T$5:$T$16,$J510)+$K510-2),'완료 체험단'!$K$4:$K$2000,0),"")</f>
        <v/>
      </c>
    </row>
    <row r="511" spans="2:14">
      <c r="B511" s="23" t="str">
        <f>IF($M511="H",$J511&amp;"월",IF($M511="C","매장명",IF($M511="I",INDEX('완료 체험단'!$A$4:$A$2000,$N511),IF($M511="T","합계",""))))</f>
        <v/>
      </c>
      <c r="C511" s="29" t="str">
        <f>IF($M511="H",$L511&amp;"건",IF($M511="C","사이트",IF($M511="I",INDEX('완료 체험단'!$C$4:$C$2000,$N511),IF($M511="T",$L511&amp;"건",""))))</f>
        <v/>
      </c>
      <c r="D511" s="30" t="str">
        <f>IF($M511="C","방문일",IF($M511="I",INDEX('완료 체험단'!$D$4:$D$2000,$N511),""))</f>
        <v/>
      </c>
      <c r="E511" s="25" t="str">
        <f>IF($M511="H","제공금액 "&amp;TEXT(INDEX($U$5:$U$16,$J511),"#,##0")&amp;"원",IF($M511="C","제공금액",IF($M511="I",INDEX('완료 체험단'!$F$4:$F$2000,$N511),IF($M511="T",INDEX($U$5:$U$16,$J511),""))))</f>
        <v/>
      </c>
      <c r="F511" s="25" t="str">
        <f>IF($M511="H","결제금액 "&amp;TEXT(INDEX($V$5:$V$16,$J511),"#,##0")&amp;"원",IF($M511="C","결제금액",IF($M511="I",INDEX('완료 체험단'!$G$4:$G$2000,$N511),IF($M511="T",INDEX($V$5:$V$16,$J511),""))))</f>
        <v/>
      </c>
      <c r="G511" s="25" t="str">
        <f>IF($M511="H","실수익 "&amp;TEXT(INDEX($W$5:$W$16,$J511),"#,##0")&amp;"원",IF($M511="C","실수익",IF($M511="I",INDEX('완료 체험단'!$H$4:$H$2000,$N511),IF($M511="T",INDEX($W$5:$W$16,$J511),""))))</f>
        <v/>
      </c>
      <c r="I511" s="31">
        <f>ROWS(I$5:I511)</f>
        <v>507</v>
      </c>
      <c r="J511" t="str">
        <f t="shared" si="31"/>
        <v/>
      </c>
      <c r="K511" t="str">
        <f t="shared" si="32"/>
        <v/>
      </c>
      <c r="L511" t="str">
        <f t="shared" si="33"/>
        <v/>
      </c>
      <c r="M511" t="str">
        <f t="shared" si="34"/>
        <v/>
      </c>
      <c r="N511" t="str">
        <f>IF($M511="I",MATCH(SMALL('완료 체험단'!$K$4:$K$2000,INDEX($T$5:$T$16,$J511)+$K511-2),'완료 체험단'!$K$4:$K$2000,0),"")</f>
        <v/>
      </c>
    </row>
    <row r="512" spans="2:14">
      <c r="B512" s="23" t="str">
        <f>IF($M512="H",$J512&amp;"월",IF($M512="C","매장명",IF($M512="I",INDEX('완료 체험단'!$A$4:$A$2000,$N512),IF($M512="T","합계",""))))</f>
        <v/>
      </c>
      <c r="C512" s="29" t="str">
        <f>IF($M512="H",$L512&amp;"건",IF($M512="C","사이트",IF($M512="I",INDEX('완료 체험단'!$C$4:$C$2000,$N512),IF($M512="T",$L512&amp;"건",""))))</f>
        <v/>
      </c>
      <c r="D512" s="30" t="str">
        <f>IF($M512="C","방문일",IF($M512="I",INDEX('완료 체험단'!$D$4:$D$2000,$N512),""))</f>
        <v/>
      </c>
      <c r="E512" s="25" t="str">
        <f>IF($M512="H","제공금액 "&amp;TEXT(INDEX($U$5:$U$16,$J512),"#,##0")&amp;"원",IF($M512="C","제공금액",IF($M512="I",INDEX('완료 체험단'!$F$4:$F$2000,$N512),IF($M512="T",INDEX($U$5:$U$16,$J512),""))))</f>
        <v/>
      </c>
      <c r="F512" s="25" t="str">
        <f>IF($M512="H","결제금액 "&amp;TEXT(INDEX($V$5:$V$16,$J512),"#,##0")&amp;"원",IF($M512="C","결제금액",IF($M512="I",INDEX('완료 체험단'!$G$4:$G$2000,$N512),IF($M512="T",INDEX($V$5:$V$16,$J512),""))))</f>
        <v/>
      </c>
      <c r="G512" s="25" t="str">
        <f>IF($M512="H","실수익 "&amp;TEXT(INDEX($W$5:$W$16,$J512),"#,##0")&amp;"원",IF($M512="C","실수익",IF($M512="I",INDEX('완료 체험단'!$H$4:$H$2000,$N512),IF($M512="T",INDEX($W$5:$W$16,$J512),""))))</f>
        <v/>
      </c>
      <c r="I512" s="31">
        <f>ROWS(I$5:I512)</f>
        <v>508</v>
      </c>
      <c r="J512" t="str">
        <f t="shared" si="31"/>
        <v/>
      </c>
      <c r="K512" t="str">
        <f t="shared" si="32"/>
        <v/>
      </c>
      <c r="L512" t="str">
        <f t="shared" si="33"/>
        <v/>
      </c>
      <c r="M512" t="str">
        <f t="shared" si="34"/>
        <v/>
      </c>
      <c r="N512" t="str">
        <f>IF($M512="I",MATCH(SMALL('완료 체험단'!$K$4:$K$2000,INDEX($T$5:$T$16,$J512)+$K512-2),'완료 체험단'!$K$4:$K$2000,0),"")</f>
        <v/>
      </c>
    </row>
    <row r="513" spans="2:14">
      <c r="B513" s="23" t="str">
        <f>IF($M513="H",$J513&amp;"월",IF($M513="C","매장명",IF($M513="I",INDEX('완료 체험단'!$A$4:$A$2000,$N513),IF($M513="T","합계",""))))</f>
        <v/>
      </c>
      <c r="C513" s="29" t="str">
        <f>IF($M513="H",$L513&amp;"건",IF($M513="C","사이트",IF($M513="I",INDEX('완료 체험단'!$C$4:$C$2000,$N513),IF($M513="T",$L513&amp;"건",""))))</f>
        <v/>
      </c>
      <c r="D513" s="30" t="str">
        <f>IF($M513="C","방문일",IF($M513="I",INDEX('완료 체험단'!$D$4:$D$2000,$N513),""))</f>
        <v/>
      </c>
      <c r="E513" s="25" t="str">
        <f>IF($M513="H","제공금액 "&amp;TEXT(INDEX($U$5:$U$16,$J513),"#,##0")&amp;"원",IF($M513="C","제공금액",IF($M513="I",INDEX('완료 체험단'!$F$4:$F$2000,$N513),IF($M513="T",INDEX($U$5:$U$16,$J513),""))))</f>
        <v/>
      </c>
      <c r="F513" s="25" t="str">
        <f>IF($M513="H","결제금액 "&amp;TEXT(INDEX($V$5:$V$16,$J513),"#,##0")&amp;"원",IF($M513="C","결제금액",IF($M513="I",INDEX('완료 체험단'!$G$4:$G$2000,$N513),IF($M513="T",INDEX($V$5:$V$16,$J513),""))))</f>
        <v/>
      </c>
      <c r="G513" s="25" t="str">
        <f>IF($M513="H","실수익 "&amp;TEXT(INDEX($W$5:$W$16,$J513),"#,##0")&amp;"원",IF($M513="C","실수익",IF($M513="I",INDEX('완료 체험단'!$H$4:$H$2000,$N513),IF($M513="T",INDEX($W$5:$W$16,$J513),""))))</f>
        <v/>
      </c>
      <c r="I513" s="31">
        <f>ROWS(I$5:I513)</f>
        <v>509</v>
      </c>
      <c r="J513" t="str">
        <f t="shared" si="31"/>
        <v/>
      </c>
      <c r="K513" t="str">
        <f t="shared" si="32"/>
        <v/>
      </c>
      <c r="L513" t="str">
        <f t="shared" si="33"/>
        <v/>
      </c>
      <c r="M513" t="str">
        <f t="shared" si="34"/>
        <v/>
      </c>
      <c r="N513" t="str">
        <f>IF($M513="I",MATCH(SMALL('완료 체험단'!$K$4:$K$2000,INDEX($T$5:$T$16,$J513)+$K513-2),'완료 체험단'!$K$4:$K$2000,0),"")</f>
        <v/>
      </c>
    </row>
    <row r="514" spans="2:14">
      <c r="B514" s="23" t="str">
        <f>IF($M514="H",$J514&amp;"월",IF($M514="C","매장명",IF($M514="I",INDEX('완료 체험단'!$A$4:$A$2000,$N514),IF($M514="T","합계",""))))</f>
        <v/>
      </c>
      <c r="C514" s="29" t="str">
        <f>IF($M514="H",$L514&amp;"건",IF($M514="C","사이트",IF($M514="I",INDEX('완료 체험단'!$C$4:$C$2000,$N514),IF($M514="T",$L514&amp;"건",""))))</f>
        <v/>
      </c>
      <c r="D514" s="30" t="str">
        <f>IF($M514="C","방문일",IF($M514="I",INDEX('완료 체험단'!$D$4:$D$2000,$N514),""))</f>
        <v/>
      </c>
      <c r="E514" s="25" t="str">
        <f>IF($M514="H","제공금액 "&amp;TEXT(INDEX($U$5:$U$16,$J514),"#,##0")&amp;"원",IF($M514="C","제공금액",IF($M514="I",INDEX('완료 체험단'!$F$4:$F$2000,$N514),IF($M514="T",INDEX($U$5:$U$16,$J514),""))))</f>
        <v/>
      </c>
      <c r="F514" s="25" t="str">
        <f>IF($M514="H","결제금액 "&amp;TEXT(INDEX($V$5:$V$16,$J514),"#,##0")&amp;"원",IF($M514="C","결제금액",IF($M514="I",INDEX('완료 체험단'!$G$4:$G$2000,$N514),IF($M514="T",INDEX($V$5:$V$16,$J514),""))))</f>
        <v/>
      </c>
      <c r="G514" s="25" t="str">
        <f>IF($M514="H","실수익 "&amp;TEXT(INDEX($W$5:$W$16,$J514),"#,##0")&amp;"원",IF($M514="C","실수익",IF($M514="I",INDEX('완료 체험단'!$H$4:$H$2000,$N514),IF($M514="T",INDEX($W$5:$W$16,$J514),""))))</f>
        <v/>
      </c>
      <c r="I514" s="31">
        <f>ROWS(I$5:I514)</f>
        <v>510</v>
      </c>
      <c r="J514" t="str">
        <f t="shared" si="31"/>
        <v/>
      </c>
      <c r="K514" t="str">
        <f t="shared" si="32"/>
        <v/>
      </c>
      <c r="L514" t="str">
        <f t="shared" si="33"/>
        <v/>
      </c>
      <c r="M514" t="str">
        <f t="shared" si="34"/>
        <v/>
      </c>
      <c r="N514" t="str">
        <f>IF($M514="I",MATCH(SMALL('완료 체험단'!$K$4:$K$2000,INDEX($T$5:$T$16,$J514)+$K514-2),'완료 체험단'!$K$4:$K$2000,0),"")</f>
        <v/>
      </c>
    </row>
    <row r="515" spans="2:14">
      <c r="B515" s="23" t="str">
        <f>IF($M515="H",$J515&amp;"월",IF($M515="C","매장명",IF($M515="I",INDEX('완료 체험단'!$A$4:$A$2000,$N515),IF($M515="T","합계",""))))</f>
        <v/>
      </c>
      <c r="C515" s="29" t="str">
        <f>IF($M515="H",$L515&amp;"건",IF($M515="C","사이트",IF($M515="I",INDEX('완료 체험단'!$C$4:$C$2000,$N515),IF($M515="T",$L515&amp;"건",""))))</f>
        <v/>
      </c>
      <c r="D515" s="30" t="str">
        <f>IF($M515="C","방문일",IF($M515="I",INDEX('완료 체험단'!$D$4:$D$2000,$N515),""))</f>
        <v/>
      </c>
      <c r="E515" s="25" t="str">
        <f>IF($M515="H","제공금액 "&amp;TEXT(INDEX($U$5:$U$16,$J515),"#,##0")&amp;"원",IF($M515="C","제공금액",IF($M515="I",INDEX('완료 체험단'!$F$4:$F$2000,$N515),IF($M515="T",INDEX($U$5:$U$16,$J515),""))))</f>
        <v/>
      </c>
      <c r="F515" s="25" t="str">
        <f>IF($M515="H","결제금액 "&amp;TEXT(INDEX($V$5:$V$16,$J515),"#,##0")&amp;"원",IF($M515="C","결제금액",IF($M515="I",INDEX('완료 체험단'!$G$4:$G$2000,$N515),IF($M515="T",INDEX($V$5:$V$16,$J515),""))))</f>
        <v/>
      </c>
      <c r="G515" s="25" t="str">
        <f>IF($M515="H","실수익 "&amp;TEXT(INDEX($W$5:$W$16,$J515),"#,##0")&amp;"원",IF($M515="C","실수익",IF($M515="I",INDEX('완료 체험단'!$H$4:$H$2000,$N515),IF($M515="T",INDEX($W$5:$W$16,$J515),""))))</f>
        <v/>
      </c>
      <c r="I515" s="31">
        <f>ROWS(I$5:I515)</f>
        <v>511</v>
      </c>
      <c r="J515" t="str">
        <f t="shared" si="31"/>
        <v/>
      </c>
      <c r="K515" t="str">
        <f t="shared" si="32"/>
        <v/>
      </c>
      <c r="L515" t="str">
        <f t="shared" si="33"/>
        <v/>
      </c>
      <c r="M515" t="str">
        <f t="shared" si="34"/>
        <v/>
      </c>
      <c r="N515" t="str">
        <f>IF($M515="I",MATCH(SMALL('완료 체험단'!$K$4:$K$2000,INDEX($T$5:$T$16,$J515)+$K515-2),'완료 체험단'!$K$4:$K$2000,0),"")</f>
        <v/>
      </c>
    </row>
    <row r="516" spans="2:14">
      <c r="B516" s="23" t="str">
        <f>IF($M516="H",$J516&amp;"월",IF($M516="C","매장명",IF($M516="I",INDEX('완료 체험단'!$A$4:$A$2000,$N516),IF($M516="T","합계",""))))</f>
        <v/>
      </c>
      <c r="C516" s="29" t="str">
        <f>IF($M516="H",$L516&amp;"건",IF($M516="C","사이트",IF($M516="I",INDEX('완료 체험단'!$C$4:$C$2000,$N516),IF($M516="T",$L516&amp;"건",""))))</f>
        <v/>
      </c>
      <c r="D516" s="30" t="str">
        <f>IF($M516="C","방문일",IF($M516="I",INDEX('완료 체험단'!$D$4:$D$2000,$N516),""))</f>
        <v/>
      </c>
      <c r="E516" s="25" t="str">
        <f>IF($M516="H","제공금액 "&amp;TEXT(INDEX($U$5:$U$16,$J516),"#,##0")&amp;"원",IF($M516="C","제공금액",IF($M516="I",INDEX('완료 체험단'!$F$4:$F$2000,$N516),IF($M516="T",INDEX($U$5:$U$16,$J516),""))))</f>
        <v/>
      </c>
      <c r="F516" s="25" t="str">
        <f>IF($M516="H","결제금액 "&amp;TEXT(INDEX($V$5:$V$16,$J516),"#,##0")&amp;"원",IF($M516="C","결제금액",IF($M516="I",INDEX('완료 체험단'!$G$4:$G$2000,$N516),IF($M516="T",INDEX($V$5:$V$16,$J516),""))))</f>
        <v/>
      </c>
      <c r="G516" s="25" t="str">
        <f>IF($M516="H","실수익 "&amp;TEXT(INDEX($W$5:$W$16,$J516),"#,##0")&amp;"원",IF($M516="C","실수익",IF($M516="I",INDEX('완료 체험단'!$H$4:$H$2000,$N516),IF($M516="T",INDEX($W$5:$W$16,$J516),""))))</f>
        <v/>
      </c>
      <c r="I516" s="31">
        <f>ROWS(I$5:I516)</f>
        <v>512</v>
      </c>
      <c r="J516" t="str">
        <f t="shared" si="31"/>
        <v/>
      </c>
      <c r="K516" t="str">
        <f t="shared" si="32"/>
        <v/>
      </c>
      <c r="L516" t="str">
        <f t="shared" si="33"/>
        <v/>
      </c>
      <c r="M516" t="str">
        <f t="shared" si="34"/>
        <v/>
      </c>
      <c r="N516" t="str">
        <f>IF($M516="I",MATCH(SMALL('완료 체험단'!$K$4:$K$2000,INDEX($T$5:$T$16,$J516)+$K516-2),'완료 체험단'!$K$4:$K$2000,0),"")</f>
        <v/>
      </c>
    </row>
    <row r="517" spans="2:14">
      <c r="B517" s="23" t="str">
        <f>IF($M517="H",$J517&amp;"월",IF($M517="C","매장명",IF($M517="I",INDEX('완료 체험단'!$A$4:$A$2000,$N517),IF($M517="T","합계",""))))</f>
        <v/>
      </c>
      <c r="C517" s="29" t="str">
        <f>IF($M517="H",$L517&amp;"건",IF($M517="C","사이트",IF($M517="I",INDEX('완료 체험단'!$C$4:$C$2000,$N517),IF($M517="T",$L517&amp;"건",""))))</f>
        <v/>
      </c>
      <c r="D517" s="30" t="str">
        <f>IF($M517="C","방문일",IF($M517="I",INDEX('완료 체험단'!$D$4:$D$2000,$N517),""))</f>
        <v/>
      </c>
      <c r="E517" s="25" t="str">
        <f>IF($M517="H","제공금액 "&amp;TEXT(INDEX($U$5:$U$16,$J517),"#,##0")&amp;"원",IF($M517="C","제공금액",IF($M517="I",INDEX('완료 체험단'!$F$4:$F$2000,$N517),IF($M517="T",INDEX($U$5:$U$16,$J517),""))))</f>
        <v/>
      </c>
      <c r="F517" s="25" t="str">
        <f>IF($M517="H","결제금액 "&amp;TEXT(INDEX($V$5:$V$16,$J517),"#,##0")&amp;"원",IF($M517="C","결제금액",IF($M517="I",INDEX('완료 체험단'!$G$4:$G$2000,$N517),IF($M517="T",INDEX($V$5:$V$16,$J517),""))))</f>
        <v/>
      </c>
      <c r="G517" s="25" t="str">
        <f>IF($M517="H","실수익 "&amp;TEXT(INDEX($W$5:$W$16,$J517),"#,##0")&amp;"원",IF($M517="C","실수익",IF($M517="I",INDEX('완료 체험단'!$H$4:$H$2000,$N517),IF($M517="T",INDEX($W$5:$W$16,$J517),""))))</f>
        <v/>
      </c>
      <c r="I517" s="31">
        <f>ROWS(I$5:I517)</f>
        <v>513</v>
      </c>
      <c r="J517" t="str">
        <f t="shared" ref="J517:J580" si="35">IF($I517&gt;$S$17,"",MATCH($I517-1,$S$5:$S$16,1))</f>
        <v/>
      </c>
      <c r="K517" t="str">
        <f t="shared" ref="K517:K580" si="36">IF($J517="","",$I517-INDEX($S$5:$S$16,$J517))</f>
        <v/>
      </c>
      <c r="L517" t="str">
        <f t="shared" ref="L517:L580" si="37">IF($J517="","",INDEX($Q$5:$Q$16,$J517))</f>
        <v/>
      </c>
      <c r="M517" t="str">
        <f t="shared" ref="M517:M580" si="38">IF($J517="","",IF($K517=1,"H",IF($L517=0,"S",IF($K517=2,"C",IF($K517&lt;=$L517+2,"I",IF($K517=$L517+3,"T","S"))))))</f>
        <v/>
      </c>
      <c r="N517" t="str">
        <f>IF($M517="I",MATCH(SMALL('완료 체험단'!$K$4:$K$2000,INDEX($T$5:$T$16,$J517)+$K517-2),'완료 체험단'!$K$4:$K$2000,0),"")</f>
        <v/>
      </c>
    </row>
    <row r="518" spans="2:14">
      <c r="B518" s="23" t="str">
        <f>IF($M518="H",$J518&amp;"월",IF($M518="C","매장명",IF($M518="I",INDEX('완료 체험단'!$A$4:$A$2000,$N518),IF($M518="T","합계",""))))</f>
        <v/>
      </c>
      <c r="C518" s="29" t="str">
        <f>IF($M518="H",$L518&amp;"건",IF($M518="C","사이트",IF($M518="I",INDEX('완료 체험단'!$C$4:$C$2000,$N518),IF($M518="T",$L518&amp;"건",""))))</f>
        <v/>
      </c>
      <c r="D518" s="30" t="str">
        <f>IF($M518="C","방문일",IF($M518="I",INDEX('완료 체험단'!$D$4:$D$2000,$N518),""))</f>
        <v/>
      </c>
      <c r="E518" s="25" t="str">
        <f>IF($M518="H","제공금액 "&amp;TEXT(INDEX($U$5:$U$16,$J518),"#,##0")&amp;"원",IF($M518="C","제공금액",IF($M518="I",INDEX('완료 체험단'!$F$4:$F$2000,$N518),IF($M518="T",INDEX($U$5:$U$16,$J518),""))))</f>
        <v/>
      </c>
      <c r="F518" s="25" t="str">
        <f>IF($M518="H","결제금액 "&amp;TEXT(INDEX($V$5:$V$16,$J518),"#,##0")&amp;"원",IF($M518="C","결제금액",IF($M518="I",INDEX('완료 체험단'!$G$4:$G$2000,$N518),IF($M518="T",INDEX($V$5:$V$16,$J518),""))))</f>
        <v/>
      </c>
      <c r="G518" s="25" t="str">
        <f>IF($M518="H","실수익 "&amp;TEXT(INDEX($W$5:$W$16,$J518),"#,##0")&amp;"원",IF($M518="C","실수익",IF($M518="I",INDEX('완료 체험단'!$H$4:$H$2000,$N518),IF($M518="T",INDEX($W$5:$W$16,$J518),""))))</f>
        <v/>
      </c>
      <c r="I518" s="31">
        <f>ROWS(I$5:I518)</f>
        <v>514</v>
      </c>
      <c r="J518" t="str">
        <f t="shared" si="35"/>
        <v/>
      </c>
      <c r="K518" t="str">
        <f t="shared" si="36"/>
        <v/>
      </c>
      <c r="L518" t="str">
        <f t="shared" si="37"/>
        <v/>
      </c>
      <c r="M518" t="str">
        <f t="shared" si="38"/>
        <v/>
      </c>
      <c r="N518" t="str">
        <f>IF($M518="I",MATCH(SMALL('완료 체험단'!$K$4:$K$2000,INDEX($T$5:$T$16,$J518)+$K518-2),'완료 체험단'!$K$4:$K$2000,0),"")</f>
        <v/>
      </c>
    </row>
    <row r="519" spans="2:14">
      <c r="B519" s="23" t="str">
        <f>IF($M519="H",$J519&amp;"월",IF($M519="C","매장명",IF($M519="I",INDEX('완료 체험단'!$A$4:$A$2000,$N519),IF($M519="T","합계",""))))</f>
        <v/>
      </c>
      <c r="C519" s="29" t="str">
        <f>IF($M519="H",$L519&amp;"건",IF($M519="C","사이트",IF($M519="I",INDEX('완료 체험단'!$C$4:$C$2000,$N519),IF($M519="T",$L519&amp;"건",""))))</f>
        <v/>
      </c>
      <c r="D519" s="30" t="str">
        <f>IF($M519="C","방문일",IF($M519="I",INDEX('완료 체험단'!$D$4:$D$2000,$N519),""))</f>
        <v/>
      </c>
      <c r="E519" s="25" t="str">
        <f>IF($M519="H","제공금액 "&amp;TEXT(INDEX($U$5:$U$16,$J519),"#,##0")&amp;"원",IF($M519="C","제공금액",IF($M519="I",INDEX('완료 체험단'!$F$4:$F$2000,$N519),IF($M519="T",INDEX($U$5:$U$16,$J519),""))))</f>
        <v/>
      </c>
      <c r="F519" s="25" t="str">
        <f>IF($M519="H","결제금액 "&amp;TEXT(INDEX($V$5:$V$16,$J519),"#,##0")&amp;"원",IF($M519="C","결제금액",IF($M519="I",INDEX('완료 체험단'!$G$4:$G$2000,$N519),IF($M519="T",INDEX($V$5:$V$16,$J519),""))))</f>
        <v/>
      </c>
      <c r="G519" s="25" t="str">
        <f>IF($M519="H","실수익 "&amp;TEXT(INDEX($W$5:$W$16,$J519),"#,##0")&amp;"원",IF($M519="C","실수익",IF($M519="I",INDEX('완료 체험단'!$H$4:$H$2000,$N519),IF($M519="T",INDEX($W$5:$W$16,$J519),""))))</f>
        <v/>
      </c>
      <c r="I519" s="31">
        <f>ROWS(I$5:I519)</f>
        <v>515</v>
      </c>
      <c r="J519" t="str">
        <f t="shared" si="35"/>
        <v/>
      </c>
      <c r="K519" t="str">
        <f t="shared" si="36"/>
        <v/>
      </c>
      <c r="L519" t="str">
        <f t="shared" si="37"/>
        <v/>
      </c>
      <c r="M519" t="str">
        <f t="shared" si="38"/>
        <v/>
      </c>
      <c r="N519" t="str">
        <f>IF($M519="I",MATCH(SMALL('완료 체험단'!$K$4:$K$2000,INDEX($T$5:$T$16,$J519)+$K519-2),'완료 체험단'!$K$4:$K$2000,0),"")</f>
        <v/>
      </c>
    </row>
    <row r="520" spans="2:14">
      <c r="B520" s="23" t="str">
        <f>IF($M520="H",$J520&amp;"월",IF($M520="C","매장명",IF($M520="I",INDEX('완료 체험단'!$A$4:$A$2000,$N520),IF($M520="T","합계",""))))</f>
        <v/>
      </c>
      <c r="C520" s="29" t="str">
        <f>IF($M520="H",$L520&amp;"건",IF($M520="C","사이트",IF($M520="I",INDEX('완료 체험단'!$C$4:$C$2000,$N520),IF($M520="T",$L520&amp;"건",""))))</f>
        <v/>
      </c>
      <c r="D520" s="30" t="str">
        <f>IF($M520="C","방문일",IF($M520="I",INDEX('완료 체험단'!$D$4:$D$2000,$N520),""))</f>
        <v/>
      </c>
      <c r="E520" s="25" t="str">
        <f>IF($M520="H","제공금액 "&amp;TEXT(INDEX($U$5:$U$16,$J520),"#,##0")&amp;"원",IF($M520="C","제공금액",IF($M520="I",INDEX('완료 체험단'!$F$4:$F$2000,$N520),IF($M520="T",INDEX($U$5:$U$16,$J520),""))))</f>
        <v/>
      </c>
      <c r="F520" s="25" t="str">
        <f>IF($M520="H","결제금액 "&amp;TEXT(INDEX($V$5:$V$16,$J520),"#,##0")&amp;"원",IF($M520="C","결제금액",IF($M520="I",INDEX('완료 체험단'!$G$4:$G$2000,$N520),IF($M520="T",INDEX($V$5:$V$16,$J520),""))))</f>
        <v/>
      </c>
      <c r="G520" s="25" t="str">
        <f>IF($M520="H","실수익 "&amp;TEXT(INDEX($W$5:$W$16,$J520),"#,##0")&amp;"원",IF($M520="C","실수익",IF($M520="I",INDEX('완료 체험단'!$H$4:$H$2000,$N520),IF($M520="T",INDEX($W$5:$W$16,$J520),""))))</f>
        <v/>
      </c>
      <c r="I520" s="31">
        <f>ROWS(I$5:I520)</f>
        <v>516</v>
      </c>
      <c r="J520" t="str">
        <f t="shared" si="35"/>
        <v/>
      </c>
      <c r="K520" t="str">
        <f t="shared" si="36"/>
        <v/>
      </c>
      <c r="L520" t="str">
        <f t="shared" si="37"/>
        <v/>
      </c>
      <c r="M520" t="str">
        <f t="shared" si="38"/>
        <v/>
      </c>
      <c r="N520" t="str">
        <f>IF($M520="I",MATCH(SMALL('완료 체험단'!$K$4:$K$2000,INDEX($T$5:$T$16,$J520)+$K520-2),'완료 체험단'!$K$4:$K$2000,0),"")</f>
        <v/>
      </c>
    </row>
    <row r="521" spans="2:14">
      <c r="B521" s="23" t="str">
        <f>IF($M521="H",$J521&amp;"월",IF($M521="C","매장명",IF($M521="I",INDEX('완료 체험단'!$A$4:$A$2000,$N521),IF($M521="T","합계",""))))</f>
        <v/>
      </c>
      <c r="C521" s="29" t="str">
        <f>IF($M521="H",$L521&amp;"건",IF($M521="C","사이트",IF($M521="I",INDEX('완료 체험단'!$C$4:$C$2000,$N521),IF($M521="T",$L521&amp;"건",""))))</f>
        <v/>
      </c>
      <c r="D521" s="30" t="str">
        <f>IF($M521="C","방문일",IF($M521="I",INDEX('완료 체험단'!$D$4:$D$2000,$N521),""))</f>
        <v/>
      </c>
      <c r="E521" s="25" t="str">
        <f>IF($M521="H","제공금액 "&amp;TEXT(INDEX($U$5:$U$16,$J521),"#,##0")&amp;"원",IF($M521="C","제공금액",IF($M521="I",INDEX('완료 체험단'!$F$4:$F$2000,$N521),IF($M521="T",INDEX($U$5:$U$16,$J521),""))))</f>
        <v/>
      </c>
      <c r="F521" s="25" t="str">
        <f>IF($M521="H","결제금액 "&amp;TEXT(INDEX($V$5:$V$16,$J521),"#,##0")&amp;"원",IF($M521="C","결제금액",IF($M521="I",INDEX('완료 체험단'!$G$4:$G$2000,$N521),IF($M521="T",INDEX($V$5:$V$16,$J521),""))))</f>
        <v/>
      </c>
      <c r="G521" s="25" t="str">
        <f>IF($M521="H","실수익 "&amp;TEXT(INDEX($W$5:$W$16,$J521),"#,##0")&amp;"원",IF($M521="C","실수익",IF($M521="I",INDEX('완료 체험단'!$H$4:$H$2000,$N521),IF($M521="T",INDEX($W$5:$W$16,$J521),""))))</f>
        <v/>
      </c>
      <c r="I521" s="31">
        <f>ROWS(I$5:I521)</f>
        <v>517</v>
      </c>
      <c r="J521" t="str">
        <f t="shared" si="35"/>
        <v/>
      </c>
      <c r="K521" t="str">
        <f t="shared" si="36"/>
        <v/>
      </c>
      <c r="L521" t="str">
        <f t="shared" si="37"/>
        <v/>
      </c>
      <c r="M521" t="str">
        <f t="shared" si="38"/>
        <v/>
      </c>
      <c r="N521" t="str">
        <f>IF($M521="I",MATCH(SMALL('완료 체험단'!$K$4:$K$2000,INDEX($T$5:$T$16,$J521)+$K521-2),'완료 체험단'!$K$4:$K$2000,0),"")</f>
        <v/>
      </c>
    </row>
    <row r="522" spans="2:14">
      <c r="B522" s="23" t="str">
        <f>IF($M522="H",$J522&amp;"월",IF($M522="C","매장명",IF($M522="I",INDEX('완료 체험단'!$A$4:$A$2000,$N522),IF($M522="T","합계",""))))</f>
        <v/>
      </c>
      <c r="C522" s="29" t="str">
        <f>IF($M522="H",$L522&amp;"건",IF($M522="C","사이트",IF($M522="I",INDEX('완료 체험단'!$C$4:$C$2000,$N522),IF($M522="T",$L522&amp;"건",""))))</f>
        <v/>
      </c>
      <c r="D522" s="30" t="str">
        <f>IF($M522="C","방문일",IF($M522="I",INDEX('완료 체험단'!$D$4:$D$2000,$N522),""))</f>
        <v/>
      </c>
      <c r="E522" s="25" t="str">
        <f>IF($M522="H","제공금액 "&amp;TEXT(INDEX($U$5:$U$16,$J522),"#,##0")&amp;"원",IF($M522="C","제공금액",IF($M522="I",INDEX('완료 체험단'!$F$4:$F$2000,$N522),IF($M522="T",INDEX($U$5:$U$16,$J522),""))))</f>
        <v/>
      </c>
      <c r="F522" s="25" t="str">
        <f>IF($M522="H","결제금액 "&amp;TEXT(INDEX($V$5:$V$16,$J522),"#,##0")&amp;"원",IF($M522="C","결제금액",IF($M522="I",INDEX('완료 체험단'!$G$4:$G$2000,$N522),IF($M522="T",INDEX($V$5:$V$16,$J522),""))))</f>
        <v/>
      </c>
      <c r="G522" s="25" t="str">
        <f>IF($M522="H","실수익 "&amp;TEXT(INDEX($W$5:$W$16,$J522),"#,##0")&amp;"원",IF($M522="C","실수익",IF($M522="I",INDEX('완료 체험단'!$H$4:$H$2000,$N522),IF($M522="T",INDEX($W$5:$W$16,$J522),""))))</f>
        <v/>
      </c>
      <c r="I522" s="31">
        <f>ROWS(I$5:I522)</f>
        <v>518</v>
      </c>
      <c r="J522" t="str">
        <f t="shared" si="35"/>
        <v/>
      </c>
      <c r="K522" t="str">
        <f t="shared" si="36"/>
        <v/>
      </c>
      <c r="L522" t="str">
        <f t="shared" si="37"/>
        <v/>
      </c>
      <c r="M522" t="str">
        <f t="shared" si="38"/>
        <v/>
      </c>
      <c r="N522" t="str">
        <f>IF($M522="I",MATCH(SMALL('완료 체험단'!$K$4:$K$2000,INDEX($T$5:$T$16,$J522)+$K522-2),'완료 체험단'!$K$4:$K$2000,0),"")</f>
        <v/>
      </c>
    </row>
    <row r="523" spans="2:14">
      <c r="B523" s="23" t="str">
        <f>IF($M523="H",$J523&amp;"월",IF($M523="C","매장명",IF($M523="I",INDEX('완료 체험단'!$A$4:$A$2000,$N523),IF($M523="T","합계",""))))</f>
        <v/>
      </c>
      <c r="C523" s="29" t="str">
        <f>IF($M523="H",$L523&amp;"건",IF($M523="C","사이트",IF($M523="I",INDEX('완료 체험단'!$C$4:$C$2000,$N523),IF($M523="T",$L523&amp;"건",""))))</f>
        <v/>
      </c>
      <c r="D523" s="30" t="str">
        <f>IF($M523="C","방문일",IF($M523="I",INDEX('완료 체험단'!$D$4:$D$2000,$N523),""))</f>
        <v/>
      </c>
      <c r="E523" s="25" t="str">
        <f>IF($M523="H","제공금액 "&amp;TEXT(INDEX($U$5:$U$16,$J523),"#,##0")&amp;"원",IF($M523="C","제공금액",IF($M523="I",INDEX('완료 체험단'!$F$4:$F$2000,$N523),IF($M523="T",INDEX($U$5:$U$16,$J523),""))))</f>
        <v/>
      </c>
      <c r="F523" s="25" t="str">
        <f>IF($M523="H","결제금액 "&amp;TEXT(INDEX($V$5:$V$16,$J523),"#,##0")&amp;"원",IF($M523="C","결제금액",IF($M523="I",INDEX('완료 체험단'!$G$4:$G$2000,$N523),IF($M523="T",INDEX($V$5:$V$16,$J523),""))))</f>
        <v/>
      </c>
      <c r="G523" s="25" t="str">
        <f>IF($M523="H","실수익 "&amp;TEXT(INDEX($W$5:$W$16,$J523),"#,##0")&amp;"원",IF($M523="C","실수익",IF($M523="I",INDEX('완료 체험단'!$H$4:$H$2000,$N523),IF($M523="T",INDEX($W$5:$W$16,$J523),""))))</f>
        <v/>
      </c>
      <c r="I523" s="31">
        <f>ROWS(I$5:I523)</f>
        <v>519</v>
      </c>
      <c r="J523" t="str">
        <f t="shared" si="35"/>
        <v/>
      </c>
      <c r="K523" t="str">
        <f t="shared" si="36"/>
        <v/>
      </c>
      <c r="L523" t="str">
        <f t="shared" si="37"/>
        <v/>
      </c>
      <c r="M523" t="str">
        <f t="shared" si="38"/>
        <v/>
      </c>
      <c r="N523" t="str">
        <f>IF($M523="I",MATCH(SMALL('완료 체험단'!$K$4:$K$2000,INDEX($T$5:$T$16,$J523)+$K523-2),'완료 체험단'!$K$4:$K$2000,0),"")</f>
        <v/>
      </c>
    </row>
    <row r="524" spans="2:14">
      <c r="B524" s="23" t="str">
        <f>IF($M524="H",$J524&amp;"월",IF($M524="C","매장명",IF($M524="I",INDEX('완료 체험단'!$A$4:$A$2000,$N524),IF($M524="T","합계",""))))</f>
        <v/>
      </c>
      <c r="C524" s="29" t="str">
        <f>IF($M524="H",$L524&amp;"건",IF($M524="C","사이트",IF($M524="I",INDEX('완료 체험단'!$C$4:$C$2000,$N524),IF($M524="T",$L524&amp;"건",""))))</f>
        <v/>
      </c>
      <c r="D524" s="30" t="str">
        <f>IF($M524="C","방문일",IF($M524="I",INDEX('완료 체험단'!$D$4:$D$2000,$N524),""))</f>
        <v/>
      </c>
      <c r="E524" s="25" t="str">
        <f>IF($M524="H","제공금액 "&amp;TEXT(INDEX($U$5:$U$16,$J524),"#,##0")&amp;"원",IF($M524="C","제공금액",IF($M524="I",INDEX('완료 체험단'!$F$4:$F$2000,$N524),IF($M524="T",INDEX($U$5:$U$16,$J524),""))))</f>
        <v/>
      </c>
      <c r="F524" s="25" t="str">
        <f>IF($M524="H","결제금액 "&amp;TEXT(INDEX($V$5:$V$16,$J524),"#,##0")&amp;"원",IF($M524="C","결제금액",IF($M524="I",INDEX('완료 체험단'!$G$4:$G$2000,$N524),IF($M524="T",INDEX($V$5:$V$16,$J524),""))))</f>
        <v/>
      </c>
      <c r="G524" s="25" t="str">
        <f>IF($M524="H","실수익 "&amp;TEXT(INDEX($W$5:$W$16,$J524),"#,##0")&amp;"원",IF($M524="C","실수익",IF($M524="I",INDEX('완료 체험단'!$H$4:$H$2000,$N524),IF($M524="T",INDEX($W$5:$W$16,$J524),""))))</f>
        <v/>
      </c>
      <c r="I524" s="31">
        <f>ROWS(I$5:I524)</f>
        <v>520</v>
      </c>
      <c r="J524" t="str">
        <f t="shared" si="35"/>
        <v/>
      </c>
      <c r="K524" t="str">
        <f t="shared" si="36"/>
        <v/>
      </c>
      <c r="L524" t="str">
        <f t="shared" si="37"/>
        <v/>
      </c>
      <c r="M524" t="str">
        <f t="shared" si="38"/>
        <v/>
      </c>
      <c r="N524" t="str">
        <f>IF($M524="I",MATCH(SMALL('완료 체험단'!$K$4:$K$2000,INDEX($T$5:$T$16,$J524)+$K524-2),'완료 체험단'!$K$4:$K$2000,0),"")</f>
        <v/>
      </c>
    </row>
    <row r="525" spans="2:14">
      <c r="B525" s="23" t="str">
        <f>IF($M525="H",$J525&amp;"월",IF($M525="C","매장명",IF($M525="I",INDEX('완료 체험단'!$A$4:$A$2000,$N525),IF($M525="T","합계",""))))</f>
        <v/>
      </c>
      <c r="C525" s="29" t="str">
        <f>IF($M525="H",$L525&amp;"건",IF($M525="C","사이트",IF($M525="I",INDEX('완료 체험단'!$C$4:$C$2000,$N525),IF($M525="T",$L525&amp;"건",""))))</f>
        <v/>
      </c>
      <c r="D525" s="30" t="str">
        <f>IF($M525="C","방문일",IF($M525="I",INDEX('완료 체험단'!$D$4:$D$2000,$N525),""))</f>
        <v/>
      </c>
      <c r="E525" s="25" t="str">
        <f>IF($M525="H","제공금액 "&amp;TEXT(INDEX($U$5:$U$16,$J525),"#,##0")&amp;"원",IF($M525="C","제공금액",IF($M525="I",INDEX('완료 체험단'!$F$4:$F$2000,$N525),IF($M525="T",INDEX($U$5:$U$16,$J525),""))))</f>
        <v/>
      </c>
      <c r="F525" s="25" t="str">
        <f>IF($M525="H","결제금액 "&amp;TEXT(INDEX($V$5:$V$16,$J525),"#,##0")&amp;"원",IF($M525="C","결제금액",IF($M525="I",INDEX('완료 체험단'!$G$4:$G$2000,$N525),IF($M525="T",INDEX($V$5:$V$16,$J525),""))))</f>
        <v/>
      </c>
      <c r="G525" s="25" t="str">
        <f>IF($M525="H","실수익 "&amp;TEXT(INDEX($W$5:$W$16,$J525),"#,##0")&amp;"원",IF($M525="C","실수익",IF($M525="I",INDEX('완료 체험단'!$H$4:$H$2000,$N525),IF($M525="T",INDEX($W$5:$W$16,$J525),""))))</f>
        <v/>
      </c>
      <c r="I525" s="31">
        <f>ROWS(I$5:I525)</f>
        <v>521</v>
      </c>
      <c r="J525" t="str">
        <f t="shared" si="35"/>
        <v/>
      </c>
      <c r="K525" t="str">
        <f t="shared" si="36"/>
        <v/>
      </c>
      <c r="L525" t="str">
        <f t="shared" si="37"/>
        <v/>
      </c>
      <c r="M525" t="str">
        <f t="shared" si="38"/>
        <v/>
      </c>
      <c r="N525" t="str">
        <f>IF($M525="I",MATCH(SMALL('완료 체험단'!$K$4:$K$2000,INDEX($T$5:$T$16,$J525)+$K525-2),'완료 체험단'!$K$4:$K$2000,0),"")</f>
        <v/>
      </c>
    </row>
    <row r="526" spans="2:14">
      <c r="B526" s="23" t="str">
        <f>IF($M526="H",$J526&amp;"월",IF($M526="C","매장명",IF($M526="I",INDEX('완료 체험단'!$A$4:$A$2000,$N526),IF($M526="T","합계",""))))</f>
        <v/>
      </c>
      <c r="C526" s="29" t="str">
        <f>IF($M526="H",$L526&amp;"건",IF($M526="C","사이트",IF($M526="I",INDEX('완료 체험단'!$C$4:$C$2000,$N526),IF($M526="T",$L526&amp;"건",""))))</f>
        <v/>
      </c>
      <c r="D526" s="30" t="str">
        <f>IF($M526="C","방문일",IF($M526="I",INDEX('완료 체험단'!$D$4:$D$2000,$N526),""))</f>
        <v/>
      </c>
      <c r="E526" s="25" t="str">
        <f>IF($M526="H","제공금액 "&amp;TEXT(INDEX($U$5:$U$16,$J526),"#,##0")&amp;"원",IF($M526="C","제공금액",IF($M526="I",INDEX('완료 체험단'!$F$4:$F$2000,$N526),IF($M526="T",INDEX($U$5:$U$16,$J526),""))))</f>
        <v/>
      </c>
      <c r="F526" s="25" t="str">
        <f>IF($M526="H","결제금액 "&amp;TEXT(INDEX($V$5:$V$16,$J526),"#,##0")&amp;"원",IF($M526="C","결제금액",IF($M526="I",INDEX('완료 체험단'!$G$4:$G$2000,$N526),IF($M526="T",INDEX($V$5:$V$16,$J526),""))))</f>
        <v/>
      </c>
      <c r="G526" s="25" t="str">
        <f>IF($M526="H","실수익 "&amp;TEXT(INDEX($W$5:$W$16,$J526),"#,##0")&amp;"원",IF($M526="C","실수익",IF($M526="I",INDEX('완료 체험단'!$H$4:$H$2000,$N526),IF($M526="T",INDEX($W$5:$W$16,$J526),""))))</f>
        <v/>
      </c>
      <c r="I526" s="31">
        <f>ROWS(I$5:I526)</f>
        <v>522</v>
      </c>
      <c r="J526" t="str">
        <f t="shared" si="35"/>
        <v/>
      </c>
      <c r="K526" t="str">
        <f t="shared" si="36"/>
        <v/>
      </c>
      <c r="L526" t="str">
        <f t="shared" si="37"/>
        <v/>
      </c>
      <c r="M526" t="str">
        <f t="shared" si="38"/>
        <v/>
      </c>
      <c r="N526" t="str">
        <f>IF($M526="I",MATCH(SMALL('완료 체험단'!$K$4:$K$2000,INDEX($T$5:$T$16,$J526)+$K526-2),'완료 체험단'!$K$4:$K$2000,0),"")</f>
        <v/>
      </c>
    </row>
    <row r="527" spans="2:14">
      <c r="B527" s="23" t="str">
        <f>IF($M527="H",$J527&amp;"월",IF($M527="C","매장명",IF($M527="I",INDEX('완료 체험단'!$A$4:$A$2000,$N527),IF($M527="T","합계",""))))</f>
        <v/>
      </c>
      <c r="C527" s="29" t="str">
        <f>IF($M527="H",$L527&amp;"건",IF($M527="C","사이트",IF($M527="I",INDEX('완료 체험단'!$C$4:$C$2000,$N527),IF($M527="T",$L527&amp;"건",""))))</f>
        <v/>
      </c>
      <c r="D527" s="30" t="str">
        <f>IF($M527="C","방문일",IF($M527="I",INDEX('완료 체험단'!$D$4:$D$2000,$N527),""))</f>
        <v/>
      </c>
      <c r="E527" s="25" t="str">
        <f>IF($M527="H","제공금액 "&amp;TEXT(INDEX($U$5:$U$16,$J527),"#,##0")&amp;"원",IF($M527="C","제공금액",IF($M527="I",INDEX('완료 체험단'!$F$4:$F$2000,$N527),IF($M527="T",INDEX($U$5:$U$16,$J527),""))))</f>
        <v/>
      </c>
      <c r="F527" s="25" t="str">
        <f>IF($M527="H","결제금액 "&amp;TEXT(INDEX($V$5:$V$16,$J527),"#,##0")&amp;"원",IF($M527="C","결제금액",IF($M527="I",INDEX('완료 체험단'!$G$4:$G$2000,$N527),IF($M527="T",INDEX($V$5:$V$16,$J527),""))))</f>
        <v/>
      </c>
      <c r="G527" s="25" t="str">
        <f>IF($M527="H","실수익 "&amp;TEXT(INDEX($W$5:$W$16,$J527),"#,##0")&amp;"원",IF($M527="C","실수익",IF($M527="I",INDEX('완료 체험단'!$H$4:$H$2000,$N527),IF($M527="T",INDEX($W$5:$W$16,$J527),""))))</f>
        <v/>
      </c>
      <c r="I527" s="31">
        <f>ROWS(I$5:I527)</f>
        <v>523</v>
      </c>
      <c r="J527" t="str">
        <f t="shared" si="35"/>
        <v/>
      </c>
      <c r="K527" t="str">
        <f t="shared" si="36"/>
        <v/>
      </c>
      <c r="L527" t="str">
        <f t="shared" si="37"/>
        <v/>
      </c>
      <c r="M527" t="str">
        <f t="shared" si="38"/>
        <v/>
      </c>
      <c r="N527" t="str">
        <f>IF($M527="I",MATCH(SMALL('완료 체험단'!$K$4:$K$2000,INDEX($T$5:$T$16,$J527)+$K527-2),'완료 체험단'!$K$4:$K$2000,0),"")</f>
        <v/>
      </c>
    </row>
    <row r="528" spans="2:14">
      <c r="B528" s="23" t="str">
        <f>IF($M528="H",$J528&amp;"월",IF($M528="C","매장명",IF($M528="I",INDEX('완료 체험단'!$A$4:$A$2000,$N528),IF($M528="T","합계",""))))</f>
        <v/>
      </c>
      <c r="C528" s="29" t="str">
        <f>IF($M528="H",$L528&amp;"건",IF($M528="C","사이트",IF($M528="I",INDEX('완료 체험단'!$C$4:$C$2000,$N528),IF($M528="T",$L528&amp;"건",""))))</f>
        <v/>
      </c>
      <c r="D528" s="30" t="str">
        <f>IF($M528="C","방문일",IF($M528="I",INDEX('완료 체험단'!$D$4:$D$2000,$N528),""))</f>
        <v/>
      </c>
      <c r="E528" s="25" t="str">
        <f>IF($M528="H","제공금액 "&amp;TEXT(INDEX($U$5:$U$16,$J528),"#,##0")&amp;"원",IF($M528="C","제공금액",IF($M528="I",INDEX('완료 체험단'!$F$4:$F$2000,$N528),IF($M528="T",INDEX($U$5:$U$16,$J528),""))))</f>
        <v/>
      </c>
      <c r="F528" s="25" t="str">
        <f>IF($M528="H","결제금액 "&amp;TEXT(INDEX($V$5:$V$16,$J528),"#,##0")&amp;"원",IF($M528="C","결제금액",IF($M528="I",INDEX('완료 체험단'!$G$4:$G$2000,$N528),IF($M528="T",INDEX($V$5:$V$16,$J528),""))))</f>
        <v/>
      </c>
      <c r="G528" s="25" t="str">
        <f>IF($M528="H","실수익 "&amp;TEXT(INDEX($W$5:$W$16,$J528),"#,##0")&amp;"원",IF($M528="C","실수익",IF($M528="I",INDEX('완료 체험단'!$H$4:$H$2000,$N528),IF($M528="T",INDEX($W$5:$W$16,$J528),""))))</f>
        <v/>
      </c>
      <c r="I528" s="31">
        <f>ROWS(I$5:I528)</f>
        <v>524</v>
      </c>
      <c r="J528" t="str">
        <f t="shared" si="35"/>
        <v/>
      </c>
      <c r="K528" t="str">
        <f t="shared" si="36"/>
        <v/>
      </c>
      <c r="L528" t="str">
        <f t="shared" si="37"/>
        <v/>
      </c>
      <c r="M528" t="str">
        <f t="shared" si="38"/>
        <v/>
      </c>
      <c r="N528" t="str">
        <f>IF($M528="I",MATCH(SMALL('완료 체험단'!$K$4:$K$2000,INDEX($T$5:$T$16,$J528)+$K528-2),'완료 체험단'!$K$4:$K$2000,0),"")</f>
        <v/>
      </c>
    </row>
    <row r="529" spans="2:14">
      <c r="B529" s="23" t="str">
        <f>IF($M529="H",$J529&amp;"월",IF($M529="C","매장명",IF($M529="I",INDEX('완료 체험단'!$A$4:$A$2000,$N529),IF($M529="T","합계",""))))</f>
        <v/>
      </c>
      <c r="C529" s="29" t="str">
        <f>IF($M529="H",$L529&amp;"건",IF($M529="C","사이트",IF($M529="I",INDEX('완료 체험단'!$C$4:$C$2000,$N529),IF($M529="T",$L529&amp;"건",""))))</f>
        <v/>
      </c>
      <c r="D529" s="30" t="str">
        <f>IF($M529="C","방문일",IF($M529="I",INDEX('완료 체험단'!$D$4:$D$2000,$N529),""))</f>
        <v/>
      </c>
      <c r="E529" s="25" t="str">
        <f>IF($M529="H","제공금액 "&amp;TEXT(INDEX($U$5:$U$16,$J529),"#,##0")&amp;"원",IF($M529="C","제공금액",IF($M529="I",INDEX('완료 체험단'!$F$4:$F$2000,$N529),IF($M529="T",INDEX($U$5:$U$16,$J529),""))))</f>
        <v/>
      </c>
      <c r="F529" s="25" t="str">
        <f>IF($M529="H","결제금액 "&amp;TEXT(INDEX($V$5:$V$16,$J529),"#,##0")&amp;"원",IF($M529="C","결제금액",IF($M529="I",INDEX('완료 체험단'!$G$4:$G$2000,$N529),IF($M529="T",INDEX($V$5:$V$16,$J529),""))))</f>
        <v/>
      </c>
      <c r="G529" s="25" t="str">
        <f>IF($M529="H","실수익 "&amp;TEXT(INDEX($W$5:$W$16,$J529),"#,##0")&amp;"원",IF($M529="C","실수익",IF($M529="I",INDEX('완료 체험단'!$H$4:$H$2000,$N529),IF($M529="T",INDEX($W$5:$W$16,$J529),""))))</f>
        <v/>
      </c>
      <c r="I529" s="31">
        <f>ROWS(I$5:I529)</f>
        <v>525</v>
      </c>
      <c r="J529" t="str">
        <f t="shared" si="35"/>
        <v/>
      </c>
      <c r="K529" t="str">
        <f t="shared" si="36"/>
        <v/>
      </c>
      <c r="L529" t="str">
        <f t="shared" si="37"/>
        <v/>
      </c>
      <c r="M529" t="str">
        <f t="shared" si="38"/>
        <v/>
      </c>
      <c r="N529" t="str">
        <f>IF($M529="I",MATCH(SMALL('완료 체험단'!$K$4:$K$2000,INDEX($T$5:$T$16,$J529)+$K529-2),'완료 체험단'!$K$4:$K$2000,0),"")</f>
        <v/>
      </c>
    </row>
    <row r="530" spans="2:14">
      <c r="B530" s="23" t="str">
        <f>IF($M530="H",$J530&amp;"월",IF($M530="C","매장명",IF($M530="I",INDEX('완료 체험단'!$A$4:$A$2000,$N530),IF($M530="T","합계",""))))</f>
        <v/>
      </c>
      <c r="C530" s="29" t="str">
        <f>IF($M530="H",$L530&amp;"건",IF($M530="C","사이트",IF($M530="I",INDEX('완료 체험단'!$C$4:$C$2000,$N530),IF($M530="T",$L530&amp;"건",""))))</f>
        <v/>
      </c>
      <c r="D530" s="30" t="str">
        <f>IF($M530="C","방문일",IF($M530="I",INDEX('완료 체험단'!$D$4:$D$2000,$N530),""))</f>
        <v/>
      </c>
      <c r="E530" s="25" t="str">
        <f>IF($M530="H","제공금액 "&amp;TEXT(INDEX($U$5:$U$16,$J530),"#,##0")&amp;"원",IF($M530="C","제공금액",IF($M530="I",INDEX('완료 체험단'!$F$4:$F$2000,$N530),IF($M530="T",INDEX($U$5:$U$16,$J530),""))))</f>
        <v/>
      </c>
      <c r="F530" s="25" t="str">
        <f>IF($M530="H","결제금액 "&amp;TEXT(INDEX($V$5:$V$16,$J530),"#,##0")&amp;"원",IF($M530="C","결제금액",IF($M530="I",INDEX('완료 체험단'!$G$4:$G$2000,$N530),IF($M530="T",INDEX($V$5:$V$16,$J530),""))))</f>
        <v/>
      </c>
      <c r="G530" s="25" t="str">
        <f>IF($M530="H","실수익 "&amp;TEXT(INDEX($W$5:$W$16,$J530),"#,##0")&amp;"원",IF($M530="C","실수익",IF($M530="I",INDEX('완료 체험단'!$H$4:$H$2000,$N530),IF($M530="T",INDEX($W$5:$W$16,$J530),""))))</f>
        <v/>
      </c>
      <c r="I530" s="31">
        <f>ROWS(I$5:I530)</f>
        <v>526</v>
      </c>
      <c r="J530" t="str">
        <f t="shared" si="35"/>
        <v/>
      </c>
      <c r="K530" t="str">
        <f t="shared" si="36"/>
        <v/>
      </c>
      <c r="L530" t="str">
        <f t="shared" si="37"/>
        <v/>
      </c>
      <c r="M530" t="str">
        <f t="shared" si="38"/>
        <v/>
      </c>
      <c r="N530" t="str">
        <f>IF($M530="I",MATCH(SMALL('완료 체험단'!$K$4:$K$2000,INDEX($T$5:$T$16,$J530)+$K530-2),'완료 체험단'!$K$4:$K$2000,0),"")</f>
        <v/>
      </c>
    </row>
    <row r="531" spans="2:14">
      <c r="B531" s="23" t="str">
        <f>IF($M531="H",$J531&amp;"월",IF($M531="C","매장명",IF($M531="I",INDEX('완료 체험단'!$A$4:$A$2000,$N531),IF($M531="T","합계",""))))</f>
        <v/>
      </c>
      <c r="C531" s="29" t="str">
        <f>IF($M531="H",$L531&amp;"건",IF($M531="C","사이트",IF($M531="I",INDEX('완료 체험단'!$C$4:$C$2000,$N531),IF($M531="T",$L531&amp;"건",""))))</f>
        <v/>
      </c>
      <c r="D531" s="30" t="str">
        <f>IF($M531="C","방문일",IF($M531="I",INDEX('완료 체험단'!$D$4:$D$2000,$N531),""))</f>
        <v/>
      </c>
      <c r="E531" s="25" t="str">
        <f>IF($M531="H","제공금액 "&amp;TEXT(INDEX($U$5:$U$16,$J531),"#,##0")&amp;"원",IF($M531="C","제공금액",IF($M531="I",INDEX('완료 체험단'!$F$4:$F$2000,$N531),IF($M531="T",INDEX($U$5:$U$16,$J531),""))))</f>
        <v/>
      </c>
      <c r="F531" s="25" t="str">
        <f>IF($M531="H","결제금액 "&amp;TEXT(INDEX($V$5:$V$16,$J531),"#,##0")&amp;"원",IF($M531="C","결제금액",IF($M531="I",INDEX('완료 체험단'!$G$4:$G$2000,$N531),IF($M531="T",INDEX($V$5:$V$16,$J531),""))))</f>
        <v/>
      </c>
      <c r="G531" s="25" t="str">
        <f>IF($M531="H","실수익 "&amp;TEXT(INDEX($W$5:$W$16,$J531),"#,##0")&amp;"원",IF($M531="C","실수익",IF($M531="I",INDEX('완료 체험단'!$H$4:$H$2000,$N531),IF($M531="T",INDEX($W$5:$W$16,$J531),""))))</f>
        <v/>
      </c>
      <c r="I531" s="31">
        <f>ROWS(I$5:I531)</f>
        <v>527</v>
      </c>
      <c r="J531" t="str">
        <f t="shared" si="35"/>
        <v/>
      </c>
      <c r="K531" t="str">
        <f t="shared" si="36"/>
        <v/>
      </c>
      <c r="L531" t="str">
        <f t="shared" si="37"/>
        <v/>
      </c>
      <c r="M531" t="str">
        <f t="shared" si="38"/>
        <v/>
      </c>
      <c r="N531" t="str">
        <f>IF($M531="I",MATCH(SMALL('완료 체험단'!$K$4:$K$2000,INDEX($T$5:$T$16,$J531)+$K531-2),'완료 체험단'!$K$4:$K$2000,0),"")</f>
        <v/>
      </c>
    </row>
    <row r="532" spans="2:14">
      <c r="B532" s="23" t="str">
        <f>IF($M532="H",$J532&amp;"월",IF($M532="C","매장명",IF($M532="I",INDEX('완료 체험단'!$A$4:$A$2000,$N532),IF($M532="T","합계",""))))</f>
        <v/>
      </c>
      <c r="C532" s="29" t="str">
        <f>IF($M532="H",$L532&amp;"건",IF($M532="C","사이트",IF($M532="I",INDEX('완료 체험단'!$C$4:$C$2000,$N532),IF($M532="T",$L532&amp;"건",""))))</f>
        <v/>
      </c>
      <c r="D532" s="30" t="str">
        <f>IF($M532="C","방문일",IF($M532="I",INDEX('완료 체험단'!$D$4:$D$2000,$N532),""))</f>
        <v/>
      </c>
      <c r="E532" s="25" t="str">
        <f>IF($M532="H","제공금액 "&amp;TEXT(INDEX($U$5:$U$16,$J532),"#,##0")&amp;"원",IF($M532="C","제공금액",IF($M532="I",INDEX('완료 체험단'!$F$4:$F$2000,$N532),IF($M532="T",INDEX($U$5:$U$16,$J532),""))))</f>
        <v/>
      </c>
      <c r="F532" s="25" t="str">
        <f>IF($M532="H","결제금액 "&amp;TEXT(INDEX($V$5:$V$16,$J532),"#,##0")&amp;"원",IF($M532="C","결제금액",IF($M532="I",INDEX('완료 체험단'!$G$4:$G$2000,$N532),IF($M532="T",INDEX($V$5:$V$16,$J532),""))))</f>
        <v/>
      </c>
      <c r="G532" s="25" t="str">
        <f>IF($M532="H","실수익 "&amp;TEXT(INDEX($W$5:$W$16,$J532),"#,##0")&amp;"원",IF($M532="C","실수익",IF($M532="I",INDEX('완료 체험단'!$H$4:$H$2000,$N532),IF($M532="T",INDEX($W$5:$W$16,$J532),""))))</f>
        <v/>
      </c>
      <c r="I532" s="31">
        <f>ROWS(I$5:I532)</f>
        <v>528</v>
      </c>
      <c r="J532" t="str">
        <f t="shared" si="35"/>
        <v/>
      </c>
      <c r="K532" t="str">
        <f t="shared" si="36"/>
        <v/>
      </c>
      <c r="L532" t="str">
        <f t="shared" si="37"/>
        <v/>
      </c>
      <c r="M532" t="str">
        <f t="shared" si="38"/>
        <v/>
      </c>
      <c r="N532" t="str">
        <f>IF($M532="I",MATCH(SMALL('완료 체험단'!$K$4:$K$2000,INDEX($T$5:$T$16,$J532)+$K532-2),'완료 체험단'!$K$4:$K$2000,0),"")</f>
        <v/>
      </c>
    </row>
    <row r="533" spans="2:14">
      <c r="B533" s="23" t="str">
        <f>IF($M533="H",$J533&amp;"월",IF($M533="C","매장명",IF($M533="I",INDEX('완료 체험단'!$A$4:$A$2000,$N533),IF($M533="T","합계",""))))</f>
        <v/>
      </c>
      <c r="C533" s="29" t="str">
        <f>IF($M533="H",$L533&amp;"건",IF($M533="C","사이트",IF($M533="I",INDEX('완료 체험단'!$C$4:$C$2000,$N533),IF($M533="T",$L533&amp;"건",""))))</f>
        <v/>
      </c>
      <c r="D533" s="30" t="str">
        <f>IF($M533="C","방문일",IF($M533="I",INDEX('완료 체험단'!$D$4:$D$2000,$N533),""))</f>
        <v/>
      </c>
      <c r="E533" s="25" t="str">
        <f>IF($M533="H","제공금액 "&amp;TEXT(INDEX($U$5:$U$16,$J533),"#,##0")&amp;"원",IF($M533="C","제공금액",IF($M533="I",INDEX('완료 체험단'!$F$4:$F$2000,$N533),IF($M533="T",INDEX($U$5:$U$16,$J533),""))))</f>
        <v/>
      </c>
      <c r="F533" s="25" t="str">
        <f>IF($M533="H","결제금액 "&amp;TEXT(INDEX($V$5:$V$16,$J533),"#,##0")&amp;"원",IF($M533="C","결제금액",IF($M533="I",INDEX('완료 체험단'!$G$4:$G$2000,$N533),IF($M533="T",INDEX($V$5:$V$16,$J533),""))))</f>
        <v/>
      </c>
      <c r="G533" s="25" t="str">
        <f>IF($M533="H","실수익 "&amp;TEXT(INDEX($W$5:$W$16,$J533),"#,##0")&amp;"원",IF($M533="C","실수익",IF($M533="I",INDEX('완료 체험단'!$H$4:$H$2000,$N533),IF($M533="T",INDEX($W$5:$W$16,$J533),""))))</f>
        <v/>
      </c>
      <c r="I533" s="31">
        <f>ROWS(I$5:I533)</f>
        <v>529</v>
      </c>
      <c r="J533" t="str">
        <f t="shared" si="35"/>
        <v/>
      </c>
      <c r="K533" t="str">
        <f t="shared" si="36"/>
        <v/>
      </c>
      <c r="L533" t="str">
        <f t="shared" si="37"/>
        <v/>
      </c>
      <c r="M533" t="str">
        <f t="shared" si="38"/>
        <v/>
      </c>
      <c r="N533" t="str">
        <f>IF($M533="I",MATCH(SMALL('완료 체험단'!$K$4:$K$2000,INDEX($T$5:$T$16,$J533)+$K533-2),'완료 체험단'!$K$4:$K$2000,0),"")</f>
        <v/>
      </c>
    </row>
    <row r="534" spans="2:14">
      <c r="B534" s="23" t="str">
        <f>IF($M534="H",$J534&amp;"월",IF($M534="C","매장명",IF($M534="I",INDEX('완료 체험단'!$A$4:$A$2000,$N534),IF($M534="T","합계",""))))</f>
        <v/>
      </c>
      <c r="C534" s="29" t="str">
        <f>IF($M534="H",$L534&amp;"건",IF($M534="C","사이트",IF($M534="I",INDEX('완료 체험단'!$C$4:$C$2000,$N534),IF($M534="T",$L534&amp;"건",""))))</f>
        <v/>
      </c>
      <c r="D534" s="30" t="str">
        <f>IF($M534="C","방문일",IF($M534="I",INDEX('완료 체험단'!$D$4:$D$2000,$N534),""))</f>
        <v/>
      </c>
      <c r="E534" s="25" t="str">
        <f>IF($M534="H","제공금액 "&amp;TEXT(INDEX($U$5:$U$16,$J534),"#,##0")&amp;"원",IF($M534="C","제공금액",IF($M534="I",INDEX('완료 체험단'!$F$4:$F$2000,$N534),IF($M534="T",INDEX($U$5:$U$16,$J534),""))))</f>
        <v/>
      </c>
      <c r="F534" s="25" t="str">
        <f>IF($M534="H","결제금액 "&amp;TEXT(INDEX($V$5:$V$16,$J534),"#,##0")&amp;"원",IF($M534="C","결제금액",IF($M534="I",INDEX('완료 체험단'!$G$4:$G$2000,$N534),IF($M534="T",INDEX($V$5:$V$16,$J534),""))))</f>
        <v/>
      </c>
      <c r="G534" s="25" t="str">
        <f>IF($M534="H","실수익 "&amp;TEXT(INDEX($W$5:$W$16,$J534),"#,##0")&amp;"원",IF($M534="C","실수익",IF($M534="I",INDEX('완료 체험단'!$H$4:$H$2000,$N534),IF($M534="T",INDEX($W$5:$W$16,$J534),""))))</f>
        <v/>
      </c>
      <c r="I534" s="31">
        <f>ROWS(I$5:I534)</f>
        <v>530</v>
      </c>
      <c r="J534" t="str">
        <f t="shared" si="35"/>
        <v/>
      </c>
      <c r="K534" t="str">
        <f t="shared" si="36"/>
        <v/>
      </c>
      <c r="L534" t="str">
        <f t="shared" si="37"/>
        <v/>
      </c>
      <c r="M534" t="str">
        <f t="shared" si="38"/>
        <v/>
      </c>
      <c r="N534" t="str">
        <f>IF($M534="I",MATCH(SMALL('완료 체험단'!$K$4:$K$2000,INDEX($T$5:$T$16,$J534)+$K534-2),'완료 체험단'!$K$4:$K$2000,0),"")</f>
        <v/>
      </c>
    </row>
    <row r="535" spans="2:14">
      <c r="B535" s="23" t="str">
        <f>IF($M535="H",$J535&amp;"월",IF($M535="C","매장명",IF($M535="I",INDEX('완료 체험단'!$A$4:$A$2000,$N535),IF($M535="T","합계",""))))</f>
        <v/>
      </c>
      <c r="C535" s="29" t="str">
        <f>IF($M535="H",$L535&amp;"건",IF($M535="C","사이트",IF($M535="I",INDEX('완료 체험단'!$C$4:$C$2000,$N535),IF($M535="T",$L535&amp;"건",""))))</f>
        <v/>
      </c>
      <c r="D535" s="30" t="str">
        <f>IF($M535="C","방문일",IF($M535="I",INDEX('완료 체험단'!$D$4:$D$2000,$N535),""))</f>
        <v/>
      </c>
      <c r="E535" s="25" t="str">
        <f>IF($M535="H","제공금액 "&amp;TEXT(INDEX($U$5:$U$16,$J535),"#,##0")&amp;"원",IF($M535="C","제공금액",IF($M535="I",INDEX('완료 체험단'!$F$4:$F$2000,$N535),IF($M535="T",INDEX($U$5:$U$16,$J535),""))))</f>
        <v/>
      </c>
      <c r="F535" s="25" t="str">
        <f>IF($M535="H","결제금액 "&amp;TEXT(INDEX($V$5:$V$16,$J535),"#,##0")&amp;"원",IF($M535="C","결제금액",IF($M535="I",INDEX('완료 체험단'!$G$4:$G$2000,$N535),IF($M535="T",INDEX($V$5:$V$16,$J535),""))))</f>
        <v/>
      </c>
      <c r="G535" s="25" t="str">
        <f>IF($M535="H","실수익 "&amp;TEXT(INDEX($W$5:$W$16,$J535),"#,##0")&amp;"원",IF($M535="C","실수익",IF($M535="I",INDEX('완료 체험단'!$H$4:$H$2000,$N535),IF($M535="T",INDEX($W$5:$W$16,$J535),""))))</f>
        <v/>
      </c>
      <c r="I535" s="31">
        <f>ROWS(I$5:I535)</f>
        <v>531</v>
      </c>
      <c r="J535" t="str">
        <f t="shared" si="35"/>
        <v/>
      </c>
      <c r="K535" t="str">
        <f t="shared" si="36"/>
        <v/>
      </c>
      <c r="L535" t="str">
        <f t="shared" si="37"/>
        <v/>
      </c>
      <c r="M535" t="str">
        <f t="shared" si="38"/>
        <v/>
      </c>
      <c r="N535" t="str">
        <f>IF($M535="I",MATCH(SMALL('완료 체험단'!$K$4:$K$2000,INDEX($T$5:$T$16,$J535)+$K535-2),'완료 체험단'!$K$4:$K$2000,0),"")</f>
        <v/>
      </c>
    </row>
    <row r="536" spans="2:14">
      <c r="B536" s="23" t="str">
        <f>IF($M536="H",$J536&amp;"월",IF($M536="C","매장명",IF($M536="I",INDEX('완료 체험단'!$A$4:$A$2000,$N536),IF($M536="T","합계",""))))</f>
        <v/>
      </c>
      <c r="C536" s="29" t="str">
        <f>IF($M536="H",$L536&amp;"건",IF($M536="C","사이트",IF($M536="I",INDEX('완료 체험단'!$C$4:$C$2000,$N536),IF($M536="T",$L536&amp;"건",""))))</f>
        <v/>
      </c>
      <c r="D536" s="30" t="str">
        <f>IF($M536="C","방문일",IF($M536="I",INDEX('완료 체험단'!$D$4:$D$2000,$N536),""))</f>
        <v/>
      </c>
      <c r="E536" s="25" t="str">
        <f>IF($M536="H","제공금액 "&amp;TEXT(INDEX($U$5:$U$16,$J536),"#,##0")&amp;"원",IF($M536="C","제공금액",IF($M536="I",INDEX('완료 체험단'!$F$4:$F$2000,$N536),IF($M536="T",INDEX($U$5:$U$16,$J536),""))))</f>
        <v/>
      </c>
      <c r="F536" s="25" t="str">
        <f>IF($M536="H","결제금액 "&amp;TEXT(INDEX($V$5:$V$16,$J536),"#,##0")&amp;"원",IF($M536="C","결제금액",IF($M536="I",INDEX('완료 체험단'!$G$4:$G$2000,$N536),IF($M536="T",INDEX($V$5:$V$16,$J536),""))))</f>
        <v/>
      </c>
      <c r="G536" s="25" t="str">
        <f>IF($M536="H","실수익 "&amp;TEXT(INDEX($W$5:$W$16,$J536),"#,##0")&amp;"원",IF($M536="C","실수익",IF($M536="I",INDEX('완료 체험단'!$H$4:$H$2000,$N536),IF($M536="T",INDEX($W$5:$W$16,$J536),""))))</f>
        <v/>
      </c>
      <c r="I536" s="31">
        <f>ROWS(I$5:I536)</f>
        <v>532</v>
      </c>
      <c r="J536" t="str">
        <f t="shared" si="35"/>
        <v/>
      </c>
      <c r="K536" t="str">
        <f t="shared" si="36"/>
        <v/>
      </c>
      <c r="L536" t="str">
        <f t="shared" si="37"/>
        <v/>
      </c>
      <c r="M536" t="str">
        <f t="shared" si="38"/>
        <v/>
      </c>
      <c r="N536" t="str">
        <f>IF($M536="I",MATCH(SMALL('완료 체험단'!$K$4:$K$2000,INDEX($T$5:$T$16,$J536)+$K536-2),'완료 체험단'!$K$4:$K$2000,0),"")</f>
        <v/>
      </c>
    </row>
    <row r="537" spans="2:14">
      <c r="B537" s="23" t="str">
        <f>IF($M537="H",$J537&amp;"월",IF($M537="C","매장명",IF($M537="I",INDEX('완료 체험단'!$A$4:$A$2000,$N537),IF($M537="T","합계",""))))</f>
        <v/>
      </c>
      <c r="C537" s="29" t="str">
        <f>IF($M537="H",$L537&amp;"건",IF($M537="C","사이트",IF($M537="I",INDEX('완료 체험단'!$C$4:$C$2000,$N537),IF($M537="T",$L537&amp;"건",""))))</f>
        <v/>
      </c>
      <c r="D537" s="30" t="str">
        <f>IF($M537="C","방문일",IF($M537="I",INDEX('완료 체험단'!$D$4:$D$2000,$N537),""))</f>
        <v/>
      </c>
      <c r="E537" s="25" t="str">
        <f>IF($M537="H","제공금액 "&amp;TEXT(INDEX($U$5:$U$16,$J537),"#,##0")&amp;"원",IF($M537="C","제공금액",IF($M537="I",INDEX('완료 체험단'!$F$4:$F$2000,$N537),IF($M537="T",INDEX($U$5:$U$16,$J537),""))))</f>
        <v/>
      </c>
      <c r="F537" s="25" t="str">
        <f>IF($M537="H","결제금액 "&amp;TEXT(INDEX($V$5:$V$16,$J537),"#,##0")&amp;"원",IF($M537="C","결제금액",IF($M537="I",INDEX('완료 체험단'!$G$4:$G$2000,$N537),IF($M537="T",INDEX($V$5:$V$16,$J537),""))))</f>
        <v/>
      </c>
      <c r="G537" s="25" t="str">
        <f>IF($M537="H","실수익 "&amp;TEXT(INDEX($W$5:$W$16,$J537),"#,##0")&amp;"원",IF($M537="C","실수익",IF($M537="I",INDEX('완료 체험단'!$H$4:$H$2000,$N537),IF($M537="T",INDEX($W$5:$W$16,$J537),""))))</f>
        <v/>
      </c>
      <c r="I537" s="31">
        <f>ROWS(I$5:I537)</f>
        <v>533</v>
      </c>
      <c r="J537" t="str">
        <f t="shared" si="35"/>
        <v/>
      </c>
      <c r="K537" t="str">
        <f t="shared" si="36"/>
        <v/>
      </c>
      <c r="L537" t="str">
        <f t="shared" si="37"/>
        <v/>
      </c>
      <c r="M537" t="str">
        <f t="shared" si="38"/>
        <v/>
      </c>
      <c r="N537" t="str">
        <f>IF($M537="I",MATCH(SMALL('완료 체험단'!$K$4:$K$2000,INDEX($T$5:$T$16,$J537)+$K537-2),'완료 체험단'!$K$4:$K$2000,0),"")</f>
        <v/>
      </c>
    </row>
    <row r="538" spans="2:14">
      <c r="B538" s="23" t="str">
        <f>IF($M538="H",$J538&amp;"월",IF($M538="C","매장명",IF($M538="I",INDEX('완료 체험단'!$A$4:$A$2000,$N538),IF($M538="T","합계",""))))</f>
        <v/>
      </c>
      <c r="C538" s="29" t="str">
        <f>IF($M538="H",$L538&amp;"건",IF($M538="C","사이트",IF($M538="I",INDEX('완료 체험단'!$C$4:$C$2000,$N538),IF($M538="T",$L538&amp;"건",""))))</f>
        <v/>
      </c>
      <c r="D538" s="30" t="str">
        <f>IF($M538="C","방문일",IF($M538="I",INDEX('완료 체험단'!$D$4:$D$2000,$N538),""))</f>
        <v/>
      </c>
      <c r="E538" s="25" t="str">
        <f>IF($M538="H","제공금액 "&amp;TEXT(INDEX($U$5:$U$16,$J538),"#,##0")&amp;"원",IF($M538="C","제공금액",IF($M538="I",INDEX('완료 체험단'!$F$4:$F$2000,$N538),IF($M538="T",INDEX($U$5:$U$16,$J538),""))))</f>
        <v/>
      </c>
      <c r="F538" s="25" t="str">
        <f>IF($M538="H","결제금액 "&amp;TEXT(INDEX($V$5:$V$16,$J538),"#,##0")&amp;"원",IF($M538="C","결제금액",IF($M538="I",INDEX('완료 체험단'!$G$4:$G$2000,$N538),IF($M538="T",INDEX($V$5:$V$16,$J538),""))))</f>
        <v/>
      </c>
      <c r="G538" s="25" t="str">
        <f>IF($M538="H","실수익 "&amp;TEXT(INDEX($W$5:$W$16,$J538),"#,##0")&amp;"원",IF($M538="C","실수익",IF($M538="I",INDEX('완료 체험단'!$H$4:$H$2000,$N538),IF($M538="T",INDEX($W$5:$W$16,$J538),""))))</f>
        <v/>
      </c>
      <c r="I538" s="31">
        <f>ROWS(I$5:I538)</f>
        <v>534</v>
      </c>
      <c r="J538" t="str">
        <f t="shared" si="35"/>
        <v/>
      </c>
      <c r="K538" t="str">
        <f t="shared" si="36"/>
        <v/>
      </c>
      <c r="L538" t="str">
        <f t="shared" si="37"/>
        <v/>
      </c>
      <c r="M538" t="str">
        <f t="shared" si="38"/>
        <v/>
      </c>
      <c r="N538" t="str">
        <f>IF($M538="I",MATCH(SMALL('완료 체험단'!$K$4:$K$2000,INDEX($T$5:$T$16,$J538)+$K538-2),'완료 체험단'!$K$4:$K$2000,0),"")</f>
        <v/>
      </c>
    </row>
    <row r="539" spans="2:14">
      <c r="B539" s="23" t="str">
        <f>IF($M539="H",$J539&amp;"월",IF($M539="C","매장명",IF($M539="I",INDEX('완료 체험단'!$A$4:$A$2000,$N539),IF($M539="T","합계",""))))</f>
        <v/>
      </c>
      <c r="C539" s="29" t="str">
        <f>IF($M539="H",$L539&amp;"건",IF($M539="C","사이트",IF($M539="I",INDEX('완료 체험단'!$C$4:$C$2000,$N539),IF($M539="T",$L539&amp;"건",""))))</f>
        <v/>
      </c>
      <c r="D539" s="30" t="str">
        <f>IF($M539="C","방문일",IF($M539="I",INDEX('완료 체험단'!$D$4:$D$2000,$N539),""))</f>
        <v/>
      </c>
      <c r="E539" s="25" t="str">
        <f>IF($M539="H","제공금액 "&amp;TEXT(INDEX($U$5:$U$16,$J539),"#,##0")&amp;"원",IF($M539="C","제공금액",IF($M539="I",INDEX('완료 체험단'!$F$4:$F$2000,$N539),IF($M539="T",INDEX($U$5:$U$16,$J539),""))))</f>
        <v/>
      </c>
      <c r="F539" s="25" t="str">
        <f>IF($M539="H","결제금액 "&amp;TEXT(INDEX($V$5:$V$16,$J539),"#,##0")&amp;"원",IF($M539="C","결제금액",IF($M539="I",INDEX('완료 체험단'!$G$4:$G$2000,$N539),IF($M539="T",INDEX($V$5:$V$16,$J539),""))))</f>
        <v/>
      </c>
      <c r="G539" s="25" t="str">
        <f>IF($M539="H","실수익 "&amp;TEXT(INDEX($W$5:$W$16,$J539),"#,##0")&amp;"원",IF($M539="C","실수익",IF($M539="I",INDEX('완료 체험단'!$H$4:$H$2000,$N539),IF($M539="T",INDEX($W$5:$W$16,$J539),""))))</f>
        <v/>
      </c>
      <c r="I539" s="31">
        <f>ROWS(I$5:I539)</f>
        <v>535</v>
      </c>
      <c r="J539" t="str">
        <f t="shared" si="35"/>
        <v/>
      </c>
      <c r="K539" t="str">
        <f t="shared" si="36"/>
        <v/>
      </c>
      <c r="L539" t="str">
        <f t="shared" si="37"/>
        <v/>
      </c>
      <c r="M539" t="str">
        <f t="shared" si="38"/>
        <v/>
      </c>
      <c r="N539" t="str">
        <f>IF($M539="I",MATCH(SMALL('완료 체험단'!$K$4:$K$2000,INDEX($T$5:$T$16,$J539)+$K539-2),'완료 체험단'!$K$4:$K$2000,0),"")</f>
        <v/>
      </c>
    </row>
    <row r="540" spans="2:14">
      <c r="B540" s="23" t="str">
        <f>IF($M540="H",$J540&amp;"월",IF($M540="C","매장명",IF($M540="I",INDEX('완료 체험단'!$A$4:$A$2000,$N540),IF($M540="T","합계",""))))</f>
        <v/>
      </c>
      <c r="C540" s="29" t="str">
        <f>IF($M540="H",$L540&amp;"건",IF($M540="C","사이트",IF($M540="I",INDEX('완료 체험단'!$C$4:$C$2000,$N540),IF($M540="T",$L540&amp;"건",""))))</f>
        <v/>
      </c>
      <c r="D540" s="30" t="str">
        <f>IF($M540="C","방문일",IF($M540="I",INDEX('완료 체험단'!$D$4:$D$2000,$N540),""))</f>
        <v/>
      </c>
      <c r="E540" s="25" t="str">
        <f>IF($M540="H","제공금액 "&amp;TEXT(INDEX($U$5:$U$16,$J540),"#,##0")&amp;"원",IF($M540="C","제공금액",IF($M540="I",INDEX('완료 체험단'!$F$4:$F$2000,$N540),IF($M540="T",INDEX($U$5:$U$16,$J540),""))))</f>
        <v/>
      </c>
      <c r="F540" s="25" t="str">
        <f>IF($M540="H","결제금액 "&amp;TEXT(INDEX($V$5:$V$16,$J540),"#,##0")&amp;"원",IF($M540="C","결제금액",IF($M540="I",INDEX('완료 체험단'!$G$4:$G$2000,$N540),IF($M540="T",INDEX($V$5:$V$16,$J540),""))))</f>
        <v/>
      </c>
      <c r="G540" s="25" t="str">
        <f>IF($M540="H","실수익 "&amp;TEXT(INDEX($W$5:$W$16,$J540),"#,##0")&amp;"원",IF($M540="C","실수익",IF($M540="I",INDEX('완료 체험단'!$H$4:$H$2000,$N540),IF($M540="T",INDEX($W$5:$W$16,$J540),""))))</f>
        <v/>
      </c>
      <c r="I540" s="31">
        <f>ROWS(I$5:I540)</f>
        <v>536</v>
      </c>
      <c r="J540" t="str">
        <f t="shared" si="35"/>
        <v/>
      </c>
      <c r="K540" t="str">
        <f t="shared" si="36"/>
        <v/>
      </c>
      <c r="L540" t="str">
        <f t="shared" si="37"/>
        <v/>
      </c>
      <c r="M540" t="str">
        <f t="shared" si="38"/>
        <v/>
      </c>
      <c r="N540" t="str">
        <f>IF($M540="I",MATCH(SMALL('완료 체험단'!$K$4:$K$2000,INDEX($T$5:$T$16,$J540)+$K540-2),'완료 체험단'!$K$4:$K$2000,0),"")</f>
        <v/>
      </c>
    </row>
    <row r="541" spans="2:14">
      <c r="B541" s="23" t="str">
        <f>IF($M541="H",$J541&amp;"월",IF($M541="C","매장명",IF($M541="I",INDEX('완료 체험단'!$A$4:$A$2000,$N541),IF($M541="T","합계",""))))</f>
        <v/>
      </c>
      <c r="C541" s="29" t="str">
        <f>IF($M541="H",$L541&amp;"건",IF($M541="C","사이트",IF($M541="I",INDEX('완료 체험단'!$C$4:$C$2000,$N541),IF($M541="T",$L541&amp;"건",""))))</f>
        <v/>
      </c>
      <c r="D541" s="30" t="str">
        <f>IF($M541="C","방문일",IF($M541="I",INDEX('완료 체험단'!$D$4:$D$2000,$N541),""))</f>
        <v/>
      </c>
      <c r="E541" s="25" t="str">
        <f>IF($M541="H","제공금액 "&amp;TEXT(INDEX($U$5:$U$16,$J541),"#,##0")&amp;"원",IF($M541="C","제공금액",IF($M541="I",INDEX('완료 체험단'!$F$4:$F$2000,$N541),IF($M541="T",INDEX($U$5:$U$16,$J541),""))))</f>
        <v/>
      </c>
      <c r="F541" s="25" t="str">
        <f>IF($M541="H","결제금액 "&amp;TEXT(INDEX($V$5:$V$16,$J541),"#,##0")&amp;"원",IF($M541="C","결제금액",IF($M541="I",INDEX('완료 체험단'!$G$4:$G$2000,$N541),IF($M541="T",INDEX($V$5:$V$16,$J541),""))))</f>
        <v/>
      </c>
      <c r="G541" s="25" t="str">
        <f>IF($M541="H","실수익 "&amp;TEXT(INDEX($W$5:$W$16,$J541),"#,##0")&amp;"원",IF($M541="C","실수익",IF($M541="I",INDEX('완료 체험단'!$H$4:$H$2000,$N541),IF($M541="T",INDEX($W$5:$W$16,$J541),""))))</f>
        <v/>
      </c>
      <c r="I541" s="31">
        <f>ROWS(I$5:I541)</f>
        <v>537</v>
      </c>
      <c r="J541" t="str">
        <f t="shared" si="35"/>
        <v/>
      </c>
      <c r="K541" t="str">
        <f t="shared" si="36"/>
        <v/>
      </c>
      <c r="L541" t="str">
        <f t="shared" si="37"/>
        <v/>
      </c>
      <c r="M541" t="str">
        <f t="shared" si="38"/>
        <v/>
      </c>
      <c r="N541" t="str">
        <f>IF($M541="I",MATCH(SMALL('완료 체험단'!$K$4:$K$2000,INDEX($T$5:$T$16,$J541)+$K541-2),'완료 체험단'!$K$4:$K$2000,0),"")</f>
        <v/>
      </c>
    </row>
    <row r="542" spans="2:14">
      <c r="B542" s="23" t="str">
        <f>IF($M542="H",$J542&amp;"월",IF($M542="C","매장명",IF($M542="I",INDEX('완료 체험단'!$A$4:$A$2000,$N542),IF($M542="T","합계",""))))</f>
        <v/>
      </c>
      <c r="C542" s="29" t="str">
        <f>IF($M542="H",$L542&amp;"건",IF($M542="C","사이트",IF($M542="I",INDEX('완료 체험단'!$C$4:$C$2000,$N542),IF($M542="T",$L542&amp;"건",""))))</f>
        <v/>
      </c>
      <c r="D542" s="30" t="str">
        <f>IF($M542="C","방문일",IF($M542="I",INDEX('완료 체험단'!$D$4:$D$2000,$N542),""))</f>
        <v/>
      </c>
      <c r="E542" s="25" t="str">
        <f>IF($M542="H","제공금액 "&amp;TEXT(INDEX($U$5:$U$16,$J542),"#,##0")&amp;"원",IF($M542="C","제공금액",IF($M542="I",INDEX('완료 체험단'!$F$4:$F$2000,$N542),IF($M542="T",INDEX($U$5:$U$16,$J542),""))))</f>
        <v/>
      </c>
      <c r="F542" s="25" t="str">
        <f>IF($M542="H","결제금액 "&amp;TEXT(INDEX($V$5:$V$16,$J542),"#,##0")&amp;"원",IF($M542="C","결제금액",IF($M542="I",INDEX('완료 체험단'!$G$4:$G$2000,$N542),IF($M542="T",INDEX($V$5:$V$16,$J542),""))))</f>
        <v/>
      </c>
      <c r="G542" s="25" t="str">
        <f>IF($M542="H","실수익 "&amp;TEXT(INDEX($W$5:$W$16,$J542),"#,##0")&amp;"원",IF($M542="C","실수익",IF($M542="I",INDEX('완료 체험단'!$H$4:$H$2000,$N542),IF($M542="T",INDEX($W$5:$W$16,$J542),""))))</f>
        <v/>
      </c>
      <c r="I542" s="31">
        <f>ROWS(I$5:I542)</f>
        <v>538</v>
      </c>
      <c r="J542" t="str">
        <f t="shared" si="35"/>
        <v/>
      </c>
      <c r="K542" t="str">
        <f t="shared" si="36"/>
        <v/>
      </c>
      <c r="L542" t="str">
        <f t="shared" si="37"/>
        <v/>
      </c>
      <c r="M542" t="str">
        <f t="shared" si="38"/>
        <v/>
      </c>
      <c r="N542" t="str">
        <f>IF($M542="I",MATCH(SMALL('완료 체험단'!$K$4:$K$2000,INDEX($T$5:$T$16,$J542)+$K542-2),'완료 체험단'!$K$4:$K$2000,0),"")</f>
        <v/>
      </c>
    </row>
    <row r="543" spans="2:14">
      <c r="B543" s="23" t="str">
        <f>IF($M543="H",$J543&amp;"월",IF($M543="C","매장명",IF($M543="I",INDEX('완료 체험단'!$A$4:$A$2000,$N543),IF($M543="T","합계",""))))</f>
        <v/>
      </c>
      <c r="C543" s="29" t="str">
        <f>IF($M543="H",$L543&amp;"건",IF($M543="C","사이트",IF($M543="I",INDEX('완료 체험단'!$C$4:$C$2000,$N543),IF($M543="T",$L543&amp;"건",""))))</f>
        <v/>
      </c>
      <c r="D543" s="30" t="str">
        <f>IF($M543="C","방문일",IF($M543="I",INDEX('완료 체험단'!$D$4:$D$2000,$N543),""))</f>
        <v/>
      </c>
      <c r="E543" s="25" t="str">
        <f>IF($M543="H","제공금액 "&amp;TEXT(INDEX($U$5:$U$16,$J543),"#,##0")&amp;"원",IF($M543="C","제공금액",IF($M543="I",INDEX('완료 체험단'!$F$4:$F$2000,$N543),IF($M543="T",INDEX($U$5:$U$16,$J543),""))))</f>
        <v/>
      </c>
      <c r="F543" s="25" t="str">
        <f>IF($M543="H","결제금액 "&amp;TEXT(INDEX($V$5:$V$16,$J543),"#,##0")&amp;"원",IF($M543="C","결제금액",IF($M543="I",INDEX('완료 체험단'!$G$4:$G$2000,$N543),IF($M543="T",INDEX($V$5:$V$16,$J543),""))))</f>
        <v/>
      </c>
      <c r="G543" s="25" t="str">
        <f>IF($M543="H","실수익 "&amp;TEXT(INDEX($W$5:$W$16,$J543),"#,##0")&amp;"원",IF($M543="C","실수익",IF($M543="I",INDEX('완료 체험단'!$H$4:$H$2000,$N543),IF($M543="T",INDEX($W$5:$W$16,$J543),""))))</f>
        <v/>
      </c>
      <c r="I543" s="31">
        <f>ROWS(I$5:I543)</f>
        <v>539</v>
      </c>
      <c r="J543" t="str">
        <f t="shared" si="35"/>
        <v/>
      </c>
      <c r="K543" t="str">
        <f t="shared" si="36"/>
        <v/>
      </c>
      <c r="L543" t="str">
        <f t="shared" si="37"/>
        <v/>
      </c>
      <c r="M543" t="str">
        <f t="shared" si="38"/>
        <v/>
      </c>
      <c r="N543" t="str">
        <f>IF($M543="I",MATCH(SMALL('완료 체험단'!$K$4:$K$2000,INDEX($T$5:$T$16,$J543)+$K543-2),'완료 체험단'!$K$4:$K$2000,0),"")</f>
        <v/>
      </c>
    </row>
    <row r="544" spans="2:14">
      <c r="B544" s="23" t="str">
        <f>IF($M544="H",$J544&amp;"월",IF($M544="C","매장명",IF($M544="I",INDEX('완료 체험단'!$A$4:$A$2000,$N544),IF($M544="T","합계",""))))</f>
        <v/>
      </c>
      <c r="C544" s="29" t="str">
        <f>IF($M544="H",$L544&amp;"건",IF($M544="C","사이트",IF($M544="I",INDEX('완료 체험단'!$C$4:$C$2000,$N544),IF($M544="T",$L544&amp;"건",""))))</f>
        <v/>
      </c>
      <c r="D544" s="30" t="str">
        <f>IF($M544="C","방문일",IF($M544="I",INDEX('완료 체험단'!$D$4:$D$2000,$N544),""))</f>
        <v/>
      </c>
      <c r="E544" s="25" t="str">
        <f>IF($M544="H","제공금액 "&amp;TEXT(INDEX($U$5:$U$16,$J544),"#,##0")&amp;"원",IF($M544="C","제공금액",IF($M544="I",INDEX('완료 체험단'!$F$4:$F$2000,$N544),IF($M544="T",INDEX($U$5:$U$16,$J544),""))))</f>
        <v/>
      </c>
      <c r="F544" s="25" t="str">
        <f>IF($M544="H","결제금액 "&amp;TEXT(INDEX($V$5:$V$16,$J544),"#,##0")&amp;"원",IF($M544="C","결제금액",IF($M544="I",INDEX('완료 체험단'!$G$4:$G$2000,$N544),IF($M544="T",INDEX($V$5:$V$16,$J544),""))))</f>
        <v/>
      </c>
      <c r="G544" s="25" t="str">
        <f>IF($M544="H","실수익 "&amp;TEXT(INDEX($W$5:$W$16,$J544),"#,##0")&amp;"원",IF($M544="C","실수익",IF($M544="I",INDEX('완료 체험단'!$H$4:$H$2000,$N544),IF($M544="T",INDEX($W$5:$W$16,$J544),""))))</f>
        <v/>
      </c>
      <c r="I544" s="31">
        <f>ROWS(I$5:I544)</f>
        <v>540</v>
      </c>
      <c r="J544" t="str">
        <f t="shared" si="35"/>
        <v/>
      </c>
      <c r="K544" t="str">
        <f t="shared" si="36"/>
        <v/>
      </c>
      <c r="L544" t="str">
        <f t="shared" si="37"/>
        <v/>
      </c>
      <c r="M544" t="str">
        <f t="shared" si="38"/>
        <v/>
      </c>
      <c r="N544" t="str">
        <f>IF($M544="I",MATCH(SMALL('완료 체험단'!$K$4:$K$2000,INDEX($T$5:$T$16,$J544)+$K544-2),'완료 체험단'!$K$4:$K$2000,0),"")</f>
        <v/>
      </c>
    </row>
    <row r="545" spans="2:14">
      <c r="B545" s="23" t="str">
        <f>IF($M545="H",$J545&amp;"월",IF($M545="C","매장명",IF($M545="I",INDEX('완료 체험단'!$A$4:$A$2000,$N545),IF($M545="T","합계",""))))</f>
        <v/>
      </c>
      <c r="C545" s="29" t="str">
        <f>IF($M545="H",$L545&amp;"건",IF($M545="C","사이트",IF($M545="I",INDEX('완료 체험단'!$C$4:$C$2000,$N545),IF($M545="T",$L545&amp;"건",""))))</f>
        <v/>
      </c>
      <c r="D545" s="30" t="str">
        <f>IF($M545="C","방문일",IF($M545="I",INDEX('완료 체험단'!$D$4:$D$2000,$N545),""))</f>
        <v/>
      </c>
      <c r="E545" s="25" t="str">
        <f>IF($M545="H","제공금액 "&amp;TEXT(INDEX($U$5:$U$16,$J545),"#,##0")&amp;"원",IF($M545="C","제공금액",IF($M545="I",INDEX('완료 체험단'!$F$4:$F$2000,$N545),IF($M545="T",INDEX($U$5:$U$16,$J545),""))))</f>
        <v/>
      </c>
      <c r="F545" s="25" t="str">
        <f>IF($M545="H","결제금액 "&amp;TEXT(INDEX($V$5:$V$16,$J545),"#,##0")&amp;"원",IF($M545="C","결제금액",IF($M545="I",INDEX('완료 체험단'!$G$4:$G$2000,$N545),IF($M545="T",INDEX($V$5:$V$16,$J545),""))))</f>
        <v/>
      </c>
      <c r="G545" s="25" t="str">
        <f>IF($M545="H","실수익 "&amp;TEXT(INDEX($W$5:$W$16,$J545),"#,##0")&amp;"원",IF($M545="C","실수익",IF($M545="I",INDEX('완료 체험단'!$H$4:$H$2000,$N545),IF($M545="T",INDEX($W$5:$W$16,$J545),""))))</f>
        <v/>
      </c>
      <c r="I545" s="31">
        <f>ROWS(I$5:I545)</f>
        <v>541</v>
      </c>
      <c r="J545" t="str">
        <f t="shared" si="35"/>
        <v/>
      </c>
      <c r="K545" t="str">
        <f t="shared" si="36"/>
        <v/>
      </c>
      <c r="L545" t="str">
        <f t="shared" si="37"/>
        <v/>
      </c>
      <c r="M545" t="str">
        <f t="shared" si="38"/>
        <v/>
      </c>
      <c r="N545" t="str">
        <f>IF($M545="I",MATCH(SMALL('완료 체험단'!$K$4:$K$2000,INDEX($T$5:$T$16,$J545)+$K545-2),'완료 체험단'!$K$4:$K$2000,0),"")</f>
        <v/>
      </c>
    </row>
    <row r="546" spans="2:14">
      <c r="B546" s="23" t="str">
        <f>IF($M546="H",$J546&amp;"월",IF($M546="C","매장명",IF($M546="I",INDEX('완료 체험단'!$A$4:$A$2000,$N546),IF($M546="T","합계",""))))</f>
        <v/>
      </c>
      <c r="C546" s="29" t="str">
        <f>IF($M546="H",$L546&amp;"건",IF($M546="C","사이트",IF($M546="I",INDEX('완료 체험단'!$C$4:$C$2000,$N546),IF($M546="T",$L546&amp;"건",""))))</f>
        <v/>
      </c>
      <c r="D546" s="30" t="str">
        <f>IF($M546="C","방문일",IF($M546="I",INDEX('완료 체험단'!$D$4:$D$2000,$N546),""))</f>
        <v/>
      </c>
      <c r="E546" s="25" t="str">
        <f>IF($M546="H","제공금액 "&amp;TEXT(INDEX($U$5:$U$16,$J546),"#,##0")&amp;"원",IF($M546="C","제공금액",IF($M546="I",INDEX('완료 체험단'!$F$4:$F$2000,$N546),IF($M546="T",INDEX($U$5:$U$16,$J546),""))))</f>
        <v/>
      </c>
      <c r="F546" s="25" t="str">
        <f>IF($M546="H","결제금액 "&amp;TEXT(INDEX($V$5:$V$16,$J546),"#,##0")&amp;"원",IF($M546="C","결제금액",IF($M546="I",INDEX('완료 체험단'!$G$4:$G$2000,$N546),IF($M546="T",INDEX($V$5:$V$16,$J546),""))))</f>
        <v/>
      </c>
      <c r="G546" s="25" t="str">
        <f>IF($M546="H","실수익 "&amp;TEXT(INDEX($W$5:$W$16,$J546),"#,##0")&amp;"원",IF($M546="C","실수익",IF($M546="I",INDEX('완료 체험단'!$H$4:$H$2000,$N546),IF($M546="T",INDEX($W$5:$W$16,$J546),""))))</f>
        <v/>
      </c>
      <c r="I546" s="31">
        <f>ROWS(I$5:I546)</f>
        <v>542</v>
      </c>
      <c r="J546" t="str">
        <f t="shared" si="35"/>
        <v/>
      </c>
      <c r="K546" t="str">
        <f t="shared" si="36"/>
        <v/>
      </c>
      <c r="L546" t="str">
        <f t="shared" si="37"/>
        <v/>
      </c>
      <c r="M546" t="str">
        <f t="shared" si="38"/>
        <v/>
      </c>
      <c r="N546" t="str">
        <f>IF($M546="I",MATCH(SMALL('완료 체험단'!$K$4:$K$2000,INDEX($T$5:$T$16,$J546)+$K546-2),'완료 체험단'!$K$4:$K$2000,0),"")</f>
        <v/>
      </c>
    </row>
    <row r="547" spans="2:14">
      <c r="B547" s="23" t="str">
        <f>IF($M547="H",$J547&amp;"월",IF($M547="C","매장명",IF($M547="I",INDEX('완료 체험단'!$A$4:$A$2000,$N547),IF($M547="T","합계",""))))</f>
        <v/>
      </c>
      <c r="C547" s="29" t="str">
        <f>IF($M547="H",$L547&amp;"건",IF($M547="C","사이트",IF($M547="I",INDEX('완료 체험단'!$C$4:$C$2000,$N547),IF($M547="T",$L547&amp;"건",""))))</f>
        <v/>
      </c>
      <c r="D547" s="30" t="str">
        <f>IF($M547="C","방문일",IF($M547="I",INDEX('완료 체험단'!$D$4:$D$2000,$N547),""))</f>
        <v/>
      </c>
      <c r="E547" s="25" t="str">
        <f>IF($M547="H","제공금액 "&amp;TEXT(INDEX($U$5:$U$16,$J547),"#,##0")&amp;"원",IF($M547="C","제공금액",IF($M547="I",INDEX('완료 체험단'!$F$4:$F$2000,$N547),IF($M547="T",INDEX($U$5:$U$16,$J547),""))))</f>
        <v/>
      </c>
      <c r="F547" s="25" t="str">
        <f>IF($M547="H","결제금액 "&amp;TEXT(INDEX($V$5:$V$16,$J547),"#,##0")&amp;"원",IF($M547="C","결제금액",IF($M547="I",INDEX('완료 체험단'!$G$4:$G$2000,$N547),IF($M547="T",INDEX($V$5:$V$16,$J547),""))))</f>
        <v/>
      </c>
      <c r="G547" s="25" t="str">
        <f>IF($M547="H","실수익 "&amp;TEXT(INDEX($W$5:$W$16,$J547),"#,##0")&amp;"원",IF($M547="C","실수익",IF($M547="I",INDEX('완료 체험단'!$H$4:$H$2000,$N547),IF($M547="T",INDEX($W$5:$W$16,$J547),""))))</f>
        <v/>
      </c>
      <c r="I547" s="31">
        <f>ROWS(I$5:I547)</f>
        <v>543</v>
      </c>
      <c r="J547" t="str">
        <f t="shared" si="35"/>
        <v/>
      </c>
      <c r="K547" t="str">
        <f t="shared" si="36"/>
        <v/>
      </c>
      <c r="L547" t="str">
        <f t="shared" si="37"/>
        <v/>
      </c>
      <c r="M547" t="str">
        <f t="shared" si="38"/>
        <v/>
      </c>
      <c r="N547" t="str">
        <f>IF($M547="I",MATCH(SMALL('완료 체험단'!$K$4:$K$2000,INDEX($T$5:$T$16,$J547)+$K547-2),'완료 체험단'!$K$4:$K$2000,0),"")</f>
        <v/>
      </c>
    </row>
    <row r="548" spans="2:14">
      <c r="B548" s="23" t="str">
        <f>IF($M548="H",$J548&amp;"월",IF($M548="C","매장명",IF($M548="I",INDEX('완료 체험단'!$A$4:$A$2000,$N548),IF($M548="T","합계",""))))</f>
        <v/>
      </c>
      <c r="C548" s="29" t="str">
        <f>IF($M548="H",$L548&amp;"건",IF($M548="C","사이트",IF($M548="I",INDEX('완료 체험단'!$C$4:$C$2000,$N548),IF($M548="T",$L548&amp;"건",""))))</f>
        <v/>
      </c>
      <c r="D548" s="30" t="str">
        <f>IF($M548="C","방문일",IF($M548="I",INDEX('완료 체험단'!$D$4:$D$2000,$N548),""))</f>
        <v/>
      </c>
      <c r="E548" s="25" t="str">
        <f>IF($M548="H","제공금액 "&amp;TEXT(INDEX($U$5:$U$16,$J548),"#,##0")&amp;"원",IF($M548="C","제공금액",IF($M548="I",INDEX('완료 체험단'!$F$4:$F$2000,$N548),IF($M548="T",INDEX($U$5:$U$16,$J548),""))))</f>
        <v/>
      </c>
      <c r="F548" s="25" t="str">
        <f>IF($M548="H","결제금액 "&amp;TEXT(INDEX($V$5:$V$16,$J548),"#,##0")&amp;"원",IF($M548="C","결제금액",IF($M548="I",INDEX('완료 체험단'!$G$4:$G$2000,$N548),IF($M548="T",INDEX($V$5:$V$16,$J548),""))))</f>
        <v/>
      </c>
      <c r="G548" s="25" t="str">
        <f>IF($M548="H","실수익 "&amp;TEXT(INDEX($W$5:$W$16,$J548),"#,##0")&amp;"원",IF($M548="C","실수익",IF($M548="I",INDEX('완료 체험단'!$H$4:$H$2000,$N548),IF($M548="T",INDEX($W$5:$W$16,$J548),""))))</f>
        <v/>
      </c>
      <c r="I548" s="31">
        <f>ROWS(I$5:I548)</f>
        <v>544</v>
      </c>
      <c r="J548" t="str">
        <f t="shared" si="35"/>
        <v/>
      </c>
      <c r="K548" t="str">
        <f t="shared" si="36"/>
        <v/>
      </c>
      <c r="L548" t="str">
        <f t="shared" si="37"/>
        <v/>
      </c>
      <c r="M548" t="str">
        <f t="shared" si="38"/>
        <v/>
      </c>
      <c r="N548" t="str">
        <f>IF($M548="I",MATCH(SMALL('완료 체험단'!$K$4:$K$2000,INDEX($T$5:$T$16,$J548)+$K548-2),'완료 체험단'!$K$4:$K$2000,0),"")</f>
        <v/>
      </c>
    </row>
    <row r="549" spans="2:14">
      <c r="B549" s="23" t="str">
        <f>IF($M549="H",$J549&amp;"월",IF($M549="C","매장명",IF($M549="I",INDEX('완료 체험단'!$A$4:$A$2000,$N549),IF($M549="T","합계",""))))</f>
        <v/>
      </c>
      <c r="C549" s="29" t="str">
        <f>IF($M549="H",$L549&amp;"건",IF($M549="C","사이트",IF($M549="I",INDEX('완료 체험단'!$C$4:$C$2000,$N549),IF($M549="T",$L549&amp;"건",""))))</f>
        <v/>
      </c>
      <c r="D549" s="30" t="str">
        <f>IF($M549="C","방문일",IF($M549="I",INDEX('완료 체험단'!$D$4:$D$2000,$N549),""))</f>
        <v/>
      </c>
      <c r="E549" s="25" t="str">
        <f>IF($M549="H","제공금액 "&amp;TEXT(INDEX($U$5:$U$16,$J549),"#,##0")&amp;"원",IF($M549="C","제공금액",IF($M549="I",INDEX('완료 체험단'!$F$4:$F$2000,$N549),IF($M549="T",INDEX($U$5:$U$16,$J549),""))))</f>
        <v/>
      </c>
      <c r="F549" s="25" t="str">
        <f>IF($M549="H","결제금액 "&amp;TEXT(INDEX($V$5:$V$16,$J549),"#,##0")&amp;"원",IF($M549="C","결제금액",IF($M549="I",INDEX('완료 체험단'!$G$4:$G$2000,$N549),IF($M549="T",INDEX($V$5:$V$16,$J549),""))))</f>
        <v/>
      </c>
      <c r="G549" s="25" t="str">
        <f>IF($M549="H","실수익 "&amp;TEXT(INDEX($W$5:$W$16,$J549),"#,##0")&amp;"원",IF($M549="C","실수익",IF($M549="I",INDEX('완료 체험단'!$H$4:$H$2000,$N549),IF($M549="T",INDEX($W$5:$W$16,$J549),""))))</f>
        <v/>
      </c>
      <c r="I549" s="31">
        <f>ROWS(I$5:I549)</f>
        <v>545</v>
      </c>
      <c r="J549" t="str">
        <f t="shared" si="35"/>
        <v/>
      </c>
      <c r="K549" t="str">
        <f t="shared" si="36"/>
        <v/>
      </c>
      <c r="L549" t="str">
        <f t="shared" si="37"/>
        <v/>
      </c>
      <c r="M549" t="str">
        <f t="shared" si="38"/>
        <v/>
      </c>
      <c r="N549" t="str">
        <f>IF($M549="I",MATCH(SMALL('완료 체험단'!$K$4:$K$2000,INDEX($T$5:$T$16,$J549)+$K549-2),'완료 체험단'!$K$4:$K$2000,0),"")</f>
        <v/>
      </c>
    </row>
    <row r="550" spans="2:14">
      <c r="B550" s="23" t="str">
        <f>IF($M550="H",$J550&amp;"월",IF($M550="C","매장명",IF($M550="I",INDEX('완료 체험단'!$A$4:$A$2000,$N550),IF($M550="T","합계",""))))</f>
        <v/>
      </c>
      <c r="C550" s="29" t="str">
        <f>IF($M550="H",$L550&amp;"건",IF($M550="C","사이트",IF($M550="I",INDEX('완료 체험단'!$C$4:$C$2000,$N550),IF($M550="T",$L550&amp;"건",""))))</f>
        <v/>
      </c>
      <c r="D550" s="30" t="str">
        <f>IF($M550="C","방문일",IF($M550="I",INDEX('완료 체험단'!$D$4:$D$2000,$N550),""))</f>
        <v/>
      </c>
      <c r="E550" s="25" t="str">
        <f>IF($M550="H","제공금액 "&amp;TEXT(INDEX($U$5:$U$16,$J550),"#,##0")&amp;"원",IF($M550="C","제공금액",IF($M550="I",INDEX('완료 체험단'!$F$4:$F$2000,$N550),IF($M550="T",INDEX($U$5:$U$16,$J550),""))))</f>
        <v/>
      </c>
      <c r="F550" s="25" t="str">
        <f>IF($M550="H","결제금액 "&amp;TEXT(INDEX($V$5:$V$16,$J550),"#,##0")&amp;"원",IF($M550="C","결제금액",IF($M550="I",INDEX('완료 체험단'!$G$4:$G$2000,$N550),IF($M550="T",INDEX($V$5:$V$16,$J550),""))))</f>
        <v/>
      </c>
      <c r="G550" s="25" t="str">
        <f>IF($M550="H","실수익 "&amp;TEXT(INDEX($W$5:$W$16,$J550),"#,##0")&amp;"원",IF($M550="C","실수익",IF($M550="I",INDEX('완료 체험단'!$H$4:$H$2000,$N550),IF($M550="T",INDEX($W$5:$W$16,$J550),""))))</f>
        <v/>
      </c>
      <c r="I550" s="31">
        <f>ROWS(I$5:I550)</f>
        <v>546</v>
      </c>
      <c r="J550" t="str">
        <f t="shared" si="35"/>
        <v/>
      </c>
      <c r="K550" t="str">
        <f t="shared" si="36"/>
        <v/>
      </c>
      <c r="L550" t="str">
        <f t="shared" si="37"/>
        <v/>
      </c>
      <c r="M550" t="str">
        <f t="shared" si="38"/>
        <v/>
      </c>
      <c r="N550" t="str">
        <f>IF($M550="I",MATCH(SMALL('완료 체험단'!$K$4:$K$2000,INDEX($T$5:$T$16,$J550)+$K550-2),'완료 체험단'!$K$4:$K$2000,0),"")</f>
        <v/>
      </c>
    </row>
    <row r="551" spans="2:14">
      <c r="B551" s="23" t="str">
        <f>IF($M551="H",$J551&amp;"월",IF($M551="C","매장명",IF($M551="I",INDEX('완료 체험단'!$A$4:$A$2000,$N551),IF($M551="T","합계",""))))</f>
        <v/>
      </c>
      <c r="C551" s="29" t="str">
        <f>IF($M551="H",$L551&amp;"건",IF($M551="C","사이트",IF($M551="I",INDEX('완료 체험단'!$C$4:$C$2000,$N551),IF($M551="T",$L551&amp;"건",""))))</f>
        <v/>
      </c>
      <c r="D551" s="30" t="str">
        <f>IF($M551="C","방문일",IF($M551="I",INDEX('완료 체험단'!$D$4:$D$2000,$N551),""))</f>
        <v/>
      </c>
      <c r="E551" s="25" t="str">
        <f>IF($M551="H","제공금액 "&amp;TEXT(INDEX($U$5:$U$16,$J551),"#,##0")&amp;"원",IF($M551="C","제공금액",IF($M551="I",INDEX('완료 체험단'!$F$4:$F$2000,$N551),IF($M551="T",INDEX($U$5:$U$16,$J551),""))))</f>
        <v/>
      </c>
      <c r="F551" s="25" t="str">
        <f>IF($M551="H","결제금액 "&amp;TEXT(INDEX($V$5:$V$16,$J551),"#,##0")&amp;"원",IF($M551="C","결제금액",IF($M551="I",INDEX('완료 체험단'!$G$4:$G$2000,$N551),IF($M551="T",INDEX($V$5:$V$16,$J551),""))))</f>
        <v/>
      </c>
      <c r="G551" s="25" t="str">
        <f>IF($M551="H","실수익 "&amp;TEXT(INDEX($W$5:$W$16,$J551),"#,##0")&amp;"원",IF($M551="C","실수익",IF($M551="I",INDEX('완료 체험단'!$H$4:$H$2000,$N551),IF($M551="T",INDEX($W$5:$W$16,$J551),""))))</f>
        <v/>
      </c>
      <c r="I551" s="31">
        <f>ROWS(I$5:I551)</f>
        <v>547</v>
      </c>
      <c r="J551" t="str">
        <f t="shared" si="35"/>
        <v/>
      </c>
      <c r="K551" t="str">
        <f t="shared" si="36"/>
        <v/>
      </c>
      <c r="L551" t="str">
        <f t="shared" si="37"/>
        <v/>
      </c>
      <c r="M551" t="str">
        <f t="shared" si="38"/>
        <v/>
      </c>
      <c r="N551" t="str">
        <f>IF($M551="I",MATCH(SMALL('완료 체험단'!$K$4:$K$2000,INDEX($T$5:$T$16,$J551)+$K551-2),'완료 체험단'!$K$4:$K$2000,0),"")</f>
        <v/>
      </c>
    </row>
    <row r="552" spans="2:14">
      <c r="B552" s="23" t="str">
        <f>IF($M552="H",$J552&amp;"월",IF($M552="C","매장명",IF($M552="I",INDEX('완료 체험단'!$A$4:$A$2000,$N552),IF($M552="T","합계",""))))</f>
        <v/>
      </c>
      <c r="C552" s="29" t="str">
        <f>IF($M552="H",$L552&amp;"건",IF($M552="C","사이트",IF($M552="I",INDEX('완료 체험단'!$C$4:$C$2000,$N552),IF($M552="T",$L552&amp;"건",""))))</f>
        <v/>
      </c>
      <c r="D552" s="30" t="str">
        <f>IF($M552="C","방문일",IF($M552="I",INDEX('완료 체험단'!$D$4:$D$2000,$N552),""))</f>
        <v/>
      </c>
      <c r="E552" s="25" t="str">
        <f>IF($M552="H","제공금액 "&amp;TEXT(INDEX($U$5:$U$16,$J552),"#,##0")&amp;"원",IF($M552="C","제공금액",IF($M552="I",INDEX('완료 체험단'!$F$4:$F$2000,$N552),IF($M552="T",INDEX($U$5:$U$16,$J552),""))))</f>
        <v/>
      </c>
      <c r="F552" s="25" t="str">
        <f>IF($M552="H","결제금액 "&amp;TEXT(INDEX($V$5:$V$16,$J552),"#,##0")&amp;"원",IF($M552="C","결제금액",IF($M552="I",INDEX('완료 체험단'!$G$4:$G$2000,$N552),IF($M552="T",INDEX($V$5:$V$16,$J552),""))))</f>
        <v/>
      </c>
      <c r="G552" s="25" t="str">
        <f>IF($M552="H","실수익 "&amp;TEXT(INDEX($W$5:$W$16,$J552),"#,##0")&amp;"원",IF($M552="C","실수익",IF($M552="I",INDEX('완료 체험단'!$H$4:$H$2000,$N552),IF($M552="T",INDEX($W$5:$W$16,$J552),""))))</f>
        <v/>
      </c>
      <c r="I552" s="31">
        <f>ROWS(I$5:I552)</f>
        <v>548</v>
      </c>
      <c r="J552" t="str">
        <f t="shared" si="35"/>
        <v/>
      </c>
      <c r="K552" t="str">
        <f t="shared" si="36"/>
        <v/>
      </c>
      <c r="L552" t="str">
        <f t="shared" si="37"/>
        <v/>
      </c>
      <c r="M552" t="str">
        <f t="shared" si="38"/>
        <v/>
      </c>
      <c r="N552" t="str">
        <f>IF($M552="I",MATCH(SMALL('완료 체험단'!$K$4:$K$2000,INDEX($T$5:$T$16,$J552)+$K552-2),'완료 체험단'!$K$4:$K$2000,0),"")</f>
        <v/>
      </c>
    </row>
    <row r="553" spans="2:14">
      <c r="B553" s="23" t="str">
        <f>IF($M553="H",$J553&amp;"월",IF($M553="C","매장명",IF($M553="I",INDEX('완료 체험단'!$A$4:$A$2000,$N553),IF($M553="T","합계",""))))</f>
        <v/>
      </c>
      <c r="C553" s="29" t="str">
        <f>IF($M553="H",$L553&amp;"건",IF($M553="C","사이트",IF($M553="I",INDEX('완료 체험단'!$C$4:$C$2000,$N553),IF($M553="T",$L553&amp;"건",""))))</f>
        <v/>
      </c>
      <c r="D553" s="30" t="str">
        <f>IF($M553="C","방문일",IF($M553="I",INDEX('완료 체험단'!$D$4:$D$2000,$N553),""))</f>
        <v/>
      </c>
      <c r="E553" s="25" t="str">
        <f>IF($M553="H","제공금액 "&amp;TEXT(INDEX($U$5:$U$16,$J553),"#,##0")&amp;"원",IF($M553="C","제공금액",IF($M553="I",INDEX('완료 체험단'!$F$4:$F$2000,$N553),IF($M553="T",INDEX($U$5:$U$16,$J553),""))))</f>
        <v/>
      </c>
      <c r="F553" s="25" t="str">
        <f>IF($M553="H","결제금액 "&amp;TEXT(INDEX($V$5:$V$16,$J553),"#,##0")&amp;"원",IF($M553="C","결제금액",IF($M553="I",INDEX('완료 체험단'!$G$4:$G$2000,$N553),IF($M553="T",INDEX($V$5:$V$16,$J553),""))))</f>
        <v/>
      </c>
      <c r="G553" s="25" t="str">
        <f>IF($M553="H","실수익 "&amp;TEXT(INDEX($W$5:$W$16,$J553),"#,##0")&amp;"원",IF($M553="C","실수익",IF($M553="I",INDEX('완료 체험단'!$H$4:$H$2000,$N553),IF($M553="T",INDEX($W$5:$W$16,$J553),""))))</f>
        <v/>
      </c>
      <c r="I553" s="31">
        <f>ROWS(I$5:I553)</f>
        <v>549</v>
      </c>
      <c r="J553" t="str">
        <f t="shared" si="35"/>
        <v/>
      </c>
      <c r="K553" t="str">
        <f t="shared" si="36"/>
        <v/>
      </c>
      <c r="L553" t="str">
        <f t="shared" si="37"/>
        <v/>
      </c>
      <c r="M553" t="str">
        <f t="shared" si="38"/>
        <v/>
      </c>
      <c r="N553" t="str">
        <f>IF($M553="I",MATCH(SMALL('완료 체험단'!$K$4:$K$2000,INDEX($T$5:$T$16,$J553)+$K553-2),'완료 체험단'!$K$4:$K$2000,0),"")</f>
        <v/>
      </c>
    </row>
    <row r="554" spans="2:14">
      <c r="B554" s="23" t="str">
        <f>IF($M554="H",$J554&amp;"월",IF($M554="C","매장명",IF($M554="I",INDEX('완료 체험단'!$A$4:$A$2000,$N554),IF($M554="T","합계",""))))</f>
        <v/>
      </c>
      <c r="C554" s="29" t="str">
        <f>IF($M554="H",$L554&amp;"건",IF($M554="C","사이트",IF($M554="I",INDEX('완료 체험단'!$C$4:$C$2000,$N554),IF($M554="T",$L554&amp;"건",""))))</f>
        <v/>
      </c>
      <c r="D554" s="30" t="str">
        <f>IF($M554="C","방문일",IF($M554="I",INDEX('완료 체험단'!$D$4:$D$2000,$N554),""))</f>
        <v/>
      </c>
      <c r="E554" s="25" t="str">
        <f>IF($M554="H","제공금액 "&amp;TEXT(INDEX($U$5:$U$16,$J554),"#,##0")&amp;"원",IF($M554="C","제공금액",IF($M554="I",INDEX('완료 체험단'!$F$4:$F$2000,$N554),IF($M554="T",INDEX($U$5:$U$16,$J554),""))))</f>
        <v/>
      </c>
      <c r="F554" s="25" t="str">
        <f>IF($M554="H","결제금액 "&amp;TEXT(INDEX($V$5:$V$16,$J554),"#,##0")&amp;"원",IF($M554="C","결제금액",IF($M554="I",INDEX('완료 체험단'!$G$4:$G$2000,$N554),IF($M554="T",INDEX($V$5:$V$16,$J554),""))))</f>
        <v/>
      </c>
      <c r="G554" s="25" t="str">
        <f>IF($M554="H","실수익 "&amp;TEXT(INDEX($W$5:$W$16,$J554),"#,##0")&amp;"원",IF($M554="C","실수익",IF($M554="I",INDEX('완료 체험단'!$H$4:$H$2000,$N554),IF($M554="T",INDEX($W$5:$W$16,$J554),""))))</f>
        <v/>
      </c>
      <c r="I554" s="31">
        <f>ROWS(I$5:I554)</f>
        <v>550</v>
      </c>
      <c r="J554" t="str">
        <f t="shared" si="35"/>
        <v/>
      </c>
      <c r="K554" t="str">
        <f t="shared" si="36"/>
        <v/>
      </c>
      <c r="L554" t="str">
        <f t="shared" si="37"/>
        <v/>
      </c>
      <c r="M554" t="str">
        <f t="shared" si="38"/>
        <v/>
      </c>
      <c r="N554" t="str">
        <f>IF($M554="I",MATCH(SMALL('완료 체험단'!$K$4:$K$2000,INDEX($T$5:$T$16,$J554)+$K554-2),'완료 체험단'!$K$4:$K$2000,0),"")</f>
        <v/>
      </c>
    </row>
    <row r="555" spans="2:14">
      <c r="B555" s="23" t="str">
        <f>IF($M555="H",$J555&amp;"월",IF($M555="C","매장명",IF($M555="I",INDEX('완료 체험단'!$A$4:$A$2000,$N555),IF($M555="T","합계",""))))</f>
        <v/>
      </c>
      <c r="C555" s="29" t="str">
        <f>IF($M555="H",$L555&amp;"건",IF($M555="C","사이트",IF($M555="I",INDEX('완료 체험단'!$C$4:$C$2000,$N555),IF($M555="T",$L555&amp;"건",""))))</f>
        <v/>
      </c>
      <c r="D555" s="30" t="str">
        <f>IF($M555="C","방문일",IF($M555="I",INDEX('완료 체험단'!$D$4:$D$2000,$N555),""))</f>
        <v/>
      </c>
      <c r="E555" s="25" t="str">
        <f>IF($M555="H","제공금액 "&amp;TEXT(INDEX($U$5:$U$16,$J555),"#,##0")&amp;"원",IF($M555="C","제공금액",IF($M555="I",INDEX('완료 체험단'!$F$4:$F$2000,$N555),IF($M555="T",INDEX($U$5:$U$16,$J555),""))))</f>
        <v/>
      </c>
      <c r="F555" s="25" t="str">
        <f>IF($M555="H","결제금액 "&amp;TEXT(INDEX($V$5:$V$16,$J555),"#,##0")&amp;"원",IF($M555="C","결제금액",IF($M555="I",INDEX('완료 체험단'!$G$4:$G$2000,$N555),IF($M555="T",INDEX($V$5:$V$16,$J555),""))))</f>
        <v/>
      </c>
      <c r="G555" s="25" t="str">
        <f>IF($M555="H","실수익 "&amp;TEXT(INDEX($W$5:$W$16,$J555),"#,##0")&amp;"원",IF($M555="C","실수익",IF($M555="I",INDEX('완료 체험단'!$H$4:$H$2000,$N555),IF($M555="T",INDEX($W$5:$W$16,$J555),""))))</f>
        <v/>
      </c>
      <c r="I555" s="31">
        <f>ROWS(I$5:I555)</f>
        <v>551</v>
      </c>
      <c r="J555" t="str">
        <f t="shared" si="35"/>
        <v/>
      </c>
      <c r="K555" t="str">
        <f t="shared" si="36"/>
        <v/>
      </c>
      <c r="L555" t="str">
        <f t="shared" si="37"/>
        <v/>
      </c>
      <c r="M555" t="str">
        <f t="shared" si="38"/>
        <v/>
      </c>
      <c r="N555" t="str">
        <f>IF($M555="I",MATCH(SMALL('완료 체험단'!$K$4:$K$2000,INDEX($T$5:$T$16,$J555)+$K555-2),'완료 체험단'!$K$4:$K$2000,0),"")</f>
        <v/>
      </c>
    </row>
    <row r="556" spans="2:14">
      <c r="B556" s="23" t="str">
        <f>IF($M556="H",$J556&amp;"월",IF($M556="C","매장명",IF($M556="I",INDEX('완료 체험단'!$A$4:$A$2000,$N556),IF($M556="T","합계",""))))</f>
        <v/>
      </c>
      <c r="C556" s="29" t="str">
        <f>IF($M556="H",$L556&amp;"건",IF($M556="C","사이트",IF($M556="I",INDEX('완료 체험단'!$C$4:$C$2000,$N556),IF($M556="T",$L556&amp;"건",""))))</f>
        <v/>
      </c>
      <c r="D556" s="30" t="str">
        <f>IF($M556="C","방문일",IF($M556="I",INDEX('완료 체험단'!$D$4:$D$2000,$N556),""))</f>
        <v/>
      </c>
      <c r="E556" s="25" t="str">
        <f>IF($M556="H","제공금액 "&amp;TEXT(INDEX($U$5:$U$16,$J556),"#,##0")&amp;"원",IF($M556="C","제공금액",IF($M556="I",INDEX('완료 체험단'!$F$4:$F$2000,$N556),IF($M556="T",INDEX($U$5:$U$16,$J556),""))))</f>
        <v/>
      </c>
      <c r="F556" s="25" t="str">
        <f>IF($M556="H","결제금액 "&amp;TEXT(INDEX($V$5:$V$16,$J556),"#,##0")&amp;"원",IF($M556="C","결제금액",IF($M556="I",INDEX('완료 체험단'!$G$4:$G$2000,$N556),IF($M556="T",INDEX($V$5:$V$16,$J556),""))))</f>
        <v/>
      </c>
      <c r="G556" s="25" t="str">
        <f>IF($M556="H","실수익 "&amp;TEXT(INDEX($W$5:$W$16,$J556),"#,##0")&amp;"원",IF($M556="C","실수익",IF($M556="I",INDEX('완료 체험단'!$H$4:$H$2000,$N556),IF($M556="T",INDEX($W$5:$W$16,$J556),""))))</f>
        <v/>
      </c>
      <c r="I556" s="31">
        <f>ROWS(I$5:I556)</f>
        <v>552</v>
      </c>
      <c r="J556" t="str">
        <f t="shared" si="35"/>
        <v/>
      </c>
      <c r="K556" t="str">
        <f t="shared" si="36"/>
        <v/>
      </c>
      <c r="L556" t="str">
        <f t="shared" si="37"/>
        <v/>
      </c>
      <c r="M556" t="str">
        <f t="shared" si="38"/>
        <v/>
      </c>
      <c r="N556" t="str">
        <f>IF($M556="I",MATCH(SMALL('완료 체험단'!$K$4:$K$2000,INDEX($T$5:$T$16,$J556)+$K556-2),'완료 체험단'!$K$4:$K$2000,0),"")</f>
        <v/>
      </c>
    </row>
    <row r="557" spans="2:14">
      <c r="B557" s="23" t="str">
        <f>IF($M557="H",$J557&amp;"월",IF($M557="C","매장명",IF($M557="I",INDEX('완료 체험단'!$A$4:$A$2000,$N557),IF($M557="T","합계",""))))</f>
        <v/>
      </c>
      <c r="C557" s="29" t="str">
        <f>IF($M557="H",$L557&amp;"건",IF($M557="C","사이트",IF($M557="I",INDEX('완료 체험단'!$C$4:$C$2000,$N557),IF($M557="T",$L557&amp;"건",""))))</f>
        <v/>
      </c>
      <c r="D557" s="30" t="str">
        <f>IF($M557="C","방문일",IF($M557="I",INDEX('완료 체험단'!$D$4:$D$2000,$N557),""))</f>
        <v/>
      </c>
      <c r="E557" s="25" t="str">
        <f>IF($M557="H","제공금액 "&amp;TEXT(INDEX($U$5:$U$16,$J557),"#,##0")&amp;"원",IF($M557="C","제공금액",IF($M557="I",INDEX('완료 체험단'!$F$4:$F$2000,$N557),IF($M557="T",INDEX($U$5:$U$16,$J557),""))))</f>
        <v/>
      </c>
      <c r="F557" s="25" t="str">
        <f>IF($M557="H","결제금액 "&amp;TEXT(INDEX($V$5:$V$16,$J557),"#,##0")&amp;"원",IF($M557="C","결제금액",IF($M557="I",INDEX('완료 체험단'!$G$4:$G$2000,$N557),IF($M557="T",INDEX($V$5:$V$16,$J557),""))))</f>
        <v/>
      </c>
      <c r="G557" s="25" t="str">
        <f>IF($M557="H","실수익 "&amp;TEXT(INDEX($W$5:$W$16,$J557),"#,##0")&amp;"원",IF($M557="C","실수익",IF($M557="I",INDEX('완료 체험단'!$H$4:$H$2000,$N557),IF($M557="T",INDEX($W$5:$W$16,$J557),""))))</f>
        <v/>
      </c>
      <c r="I557" s="31">
        <f>ROWS(I$5:I557)</f>
        <v>553</v>
      </c>
      <c r="J557" t="str">
        <f t="shared" si="35"/>
        <v/>
      </c>
      <c r="K557" t="str">
        <f t="shared" si="36"/>
        <v/>
      </c>
      <c r="L557" t="str">
        <f t="shared" si="37"/>
        <v/>
      </c>
      <c r="M557" t="str">
        <f t="shared" si="38"/>
        <v/>
      </c>
      <c r="N557" t="str">
        <f>IF($M557="I",MATCH(SMALL('완료 체험단'!$K$4:$K$2000,INDEX($T$5:$T$16,$J557)+$K557-2),'완료 체험단'!$K$4:$K$2000,0),"")</f>
        <v/>
      </c>
    </row>
    <row r="558" spans="2:14">
      <c r="B558" s="23" t="str">
        <f>IF($M558="H",$J558&amp;"월",IF($M558="C","매장명",IF($M558="I",INDEX('완료 체험단'!$A$4:$A$2000,$N558),IF($M558="T","합계",""))))</f>
        <v/>
      </c>
      <c r="C558" s="29" t="str">
        <f>IF($M558="H",$L558&amp;"건",IF($M558="C","사이트",IF($M558="I",INDEX('완료 체험단'!$C$4:$C$2000,$N558),IF($M558="T",$L558&amp;"건",""))))</f>
        <v/>
      </c>
      <c r="D558" s="30" t="str">
        <f>IF($M558="C","방문일",IF($M558="I",INDEX('완료 체험단'!$D$4:$D$2000,$N558),""))</f>
        <v/>
      </c>
      <c r="E558" s="25" t="str">
        <f>IF($M558="H","제공금액 "&amp;TEXT(INDEX($U$5:$U$16,$J558),"#,##0")&amp;"원",IF($M558="C","제공금액",IF($M558="I",INDEX('완료 체험단'!$F$4:$F$2000,$N558),IF($M558="T",INDEX($U$5:$U$16,$J558),""))))</f>
        <v/>
      </c>
      <c r="F558" s="25" t="str">
        <f>IF($M558="H","결제금액 "&amp;TEXT(INDEX($V$5:$V$16,$J558),"#,##0")&amp;"원",IF($M558="C","결제금액",IF($M558="I",INDEX('완료 체험단'!$G$4:$G$2000,$N558),IF($M558="T",INDEX($V$5:$V$16,$J558),""))))</f>
        <v/>
      </c>
      <c r="G558" s="25" t="str">
        <f>IF($M558="H","실수익 "&amp;TEXT(INDEX($W$5:$W$16,$J558),"#,##0")&amp;"원",IF($M558="C","실수익",IF($M558="I",INDEX('완료 체험단'!$H$4:$H$2000,$N558),IF($M558="T",INDEX($W$5:$W$16,$J558),""))))</f>
        <v/>
      </c>
      <c r="I558" s="31">
        <f>ROWS(I$5:I558)</f>
        <v>554</v>
      </c>
      <c r="J558" t="str">
        <f t="shared" si="35"/>
        <v/>
      </c>
      <c r="K558" t="str">
        <f t="shared" si="36"/>
        <v/>
      </c>
      <c r="L558" t="str">
        <f t="shared" si="37"/>
        <v/>
      </c>
      <c r="M558" t="str">
        <f t="shared" si="38"/>
        <v/>
      </c>
      <c r="N558" t="str">
        <f>IF($M558="I",MATCH(SMALL('완료 체험단'!$K$4:$K$2000,INDEX($T$5:$T$16,$J558)+$K558-2),'완료 체험단'!$K$4:$K$2000,0),"")</f>
        <v/>
      </c>
    </row>
    <row r="559" spans="2:14">
      <c r="B559" s="23" t="str">
        <f>IF($M559="H",$J559&amp;"월",IF($M559="C","매장명",IF($M559="I",INDEX('완료 체험단'!$A$4:$A$2000,$N559),IF($M559="T","합계",""))))</f>
        <v/>
      </c>
      <c r="C559" s="29" t="str">
        <f>IF($M559="H",$L559&amp;"건",IF($M559="C","사이트",IF($M559="I",INDEX('완료 체험단'!$C$4:$C$2000,$N559),IF($M559="T",$L559&amp;"건",""))))</f>
        <v/>
      </c>
      <c r="D559" s="30" t="str">
        <f>IF($M559="C","방문일",IF($M559="I",INDEX('완료 체험단'!$D$4:$D$2000,$N559),""))</f>
        <v/>
      </c>
      <c r="E559" s="25" t="str">
        <f>IF($M559="H","제공금액 "&amp;TEXT(INDEX($U$5:$U$16,$J559),"#,##0")&amp;"원",IF($M559="C","제공금액",IF($M559="I",INDEX('완료 체험단'!$F$4:$F$2000,$N559),IF($M559="T",INDEX($U$5:$U$16,$J559),""))))</f>
        <v/>
      </c>
      <c r="F559" s="25" t="str">
        <f>IF($M559="H","결제금액 "&amp;TEXT(INDEX($V$5:$V$16,$J559),"#,##0")&amp;"원",IF($M559="C","결제금액",IF($M559="I",INDEX('완료 체험단'!$G$4:$G$2000,$N559),IF($M559="T",INDEX($V$5:$V$16,$J559),""))))</f>
        <v/>
      </c>
      <c r="G559" s="25" t="str">
        <f>IF($M559="H","실수익 "&amp;TEXT(INDEX($W$5:$W$16,$J559),"#,##0")&amp;"원",IF($M559="C","실수익",IF($M559="I",INDEX('완료 체험단'!$H$4:$H$2000,$N559),IF($M559="T",INDEX($W$5:$W$16,$J559),""))))</f>
        <v/>
      </c>
      <c r="I559" s="31">
        <f>ROWS(I$5:I559)</f>
        <v>555</v>
      </c>
      <c r="J559" t="str">
        <f t="shared" si="35"/>
        <v/>
      </c>
      <c r="K559" t="str">
        <f t="shared" si="36"/>
        <v/>
      </c>
      <c r="L559" t="str">
        <f t="shared" si="37"/>
        <v/>
      </c>
      <c r="M559" t="str">
        <f t="shared" si="38"/>
        <v/>
      </c>
      <c r="N559" t="str">
        <f>IF($M559="I",MATCH(SMALL('완료 체험단'!$K$4:$K$2000,INDEX($T$5:$T$16,$J559)+$K559-2),'완료 체험단'!$K$4:$K$2000,0),"")</f>
        <v/>
      </c>
    </row>
    <row r="560" spans="2:14">
      <c r="B560" s="23" t="str">
        <f>IF($M560="H",$J560&amp;"월",IF($M560="C","매장명",IF($M560="I",INDEX('완료 체험단'!$A$4:$A$2000,$N560),IF($M560="T","합계",""))))</f>
        <v/>
      </c>
      <c r="C560" s="29" t="str">
        <f>IF($M560="H",$L560&amp;"건",IF($M560="C","사이트",IF($M560="I",INDEX('완료 체험단'!$C$4:$C$2000,$N560),IF($M560="T",$L560&amp;"건",""))))</f>
        <v/>
      </c>
      <c r="D560" s="30" t="str">
        <f>IF($M560="C","방문일",IF($M560="I",INDEX('완료 체험단'!$D$4:$D$2000,$N560),""))</f>
        <v/>
      </c>
      <c r="E560" s="25" t="str">
        <f>IF($M560="H","제공금액 "&amp;TEXT(INDEX($U$5:$U$16,$J560),"#,##0")&amp;"원",IF($M560="C","제공금액",IF($M560="I",INDEX('완료 체험단'!$F$4:$F$2000,$N560),IF($M560="T",INDEX($U$5:$U$16,$J560),""))))</f>
        <v/>
      </c>
      <c r="F560" s="25" t="str">
        <f>IF($M560="H","결제금액 "&amp;TEXT(INDEX($V$5:$V$16,$J560),"#,##0")&amp;"원",IF($M560="C","결제금액",IF($M560="I",INDEX('완료 체험단'!$G$4:$G$2000,$N560),IF($M560="T",INDEX($V$5:$V$16,$J560),""))))</f>
        <v/>
      </c>
      <c r="G560" s="25" t="str">
        <f>IF($M560="H","실수익 "&amp;TEXT(INDEX($W$5:$W$16,$J560),"#,##0")&amp;"원",IF($M560="C","실수익",IF($M560="I",INDEX('완료 체험단'!$H$4:$H$2000,$N560),IF($M560="T",INDEX($W$5:$W$16,$J560),""))))</f>
        <v/>
      </c>
      <c r="I560" s="31">
        <f>ROWS(I$5:I560)</f>
        <v>556</v>
      </c>
      <c r="J560" t="str">
        <f t="shared" si="35"/>
        <v/>
      </c>
      <c r="K560" t="str">
        <f t="shared" si="36"/>
        <v/>
      </c>
      <c r="L560" t="str">
        <f t="shared" si="37"/>
        <v/>
      </c>
      <c r="M560" t="str">
        <f t="shared" si="38"/>
        <v/>
      </c>
      <c r="N560" t="str">
        <f>IF($M560="I",MATCH(SMALL('완료 체험단'!$K$4:$K$2000,INDEX($T$5:$T$16,$J560)+$K560-2),'완료 체험단'!$K$4:$K$2000,0),"")</f>
        <v/>
      </c>
    </row>
    <row r="561" spans="2:14">
      <c r="B561" s="23" t="str">
        <f>IF($M561="H",$J561&amp;"월",IF($M561="C","매장명",IF($M561="I",INDEX('완료 체험단'!$A$4:$A$2000,$N561),IF($M561="T","합계",""))))</f>
        <v/>
      </c>
      <c r="C561" s="29" t="str">
        <f>IF($M561="H",$L561&amp;"건",IF($M561="C","사이트",IF($M561="I",INDEX('완료 체험단'!$C$4:$C$2000,$N561),IF($M561="T",$L561&amp;"건",""))))</f>
        <v/>
      </c>
      <c r="D561" s="30" t="str">
        <f>IF($M561="C","방문일",IF($M561="I",INDEX('완료 체험단'!$D$4:$D$2000,$N561),""))</f>
        <v/>
      </c>
      <c r="E561" s="25" t="str">
        <f>IF($M561="H","제공금액 "&amp;TEXT(INDEX($U$5:$U$16,$J561),"#,##0")&amp;"원",IF($M561="C","제공금액",IF($M561="I",INDEX('완료 체험단'!$F$4:$F$2000,$N561),IF($M561="T",INDEX($U$5:$U$16,$J561),""))))</f>
        <v/>
      </c>
      <c r="F561" s="25" t="str">
        <f>IF($M561="H","결제금액 "&amp;TEXT(INDEX($V$5:$V$16,$J561),"#,##0")&amp;"원",IF($M561="C","결제금액",IF($M561="I",INDEX('완료 체험단'!$G$4:$G$2000,$N561),IF($M561="T",INDEX($V$5:$V$16,$J561),""))))</f>
        <v/>
      </c>
      <c r="G561" s="25" t="str">
        <f>IF($M561="H","실수익 "&amp;TEXT(INDEX($W$5:$W$16,$J561),"#,##0")&amp;"원",IF($M561="C","실수익",IF($M561="I",INDEX('완료 체험단'!$H$4:$H$2000,$N561),IF($M561="T",INDEX($W$5:$W$16,$J561),""))))</f>
        <v/>
      </c>
      <c r="I561" s="31">
        <f>ROWS(I$5:I561)</f>
        <v>557</v>
      </c>
      <c r="J561" t="str">
        <f t="shared" si="35"/>
        <v/>
      </c>
      <c r="K561" t="str">
        <f t="shared" si="36"/>
        <v/>
      </c>
      <c r="L561" t="str">
        <f t="shared" si="37"/>
        <v/>
      </c>
      <c r="M561" t="str">
        <f t="shared" si="38"/>
        <v/>
      </c>
      <c r="N561" t="str">
        <f>IF($M561="I",MATCH(SMALL('완료 체험단'!$K$4:$K$2000,INDEX($T$5:$T$16,$J561)+$K561-2),'완료 체험단'!$K$4:$K$2000,0),"")</f>
        <v/>
      </c>
    </row>
    <row r="562" spans="2:14">
      <c r="B562" s="23" t="str">
        <f>IF($M562="H",$J562&amp;"월",IF($M562="C","매장명",IF($M562="I",INDEX('완료 체험단'!$A$4:$A$2000,$N562),IF($M562="T","합계",""))))</f>
        <v/>
      </c>
      <c r="C562" s="29" t="str">
        <f>IF($M562="H",$L562&amp;"건",IF($M562="C","사이트",IF($M562="I",INDEX('완료 체험단'!$C$4:$C$2000,$N562),IF($M562="T",$L562&amp;"건",""))))</f>
        <v/>
      </c>
      <c r="D562" s="30" t="str">
        <f>IF($M562="C","방문일",IF($M562="I",INDEX('완료 체험단'!$D$4:$D$2000,$N562),""))</f>
        <v/>
      </c>
      <c r="E562" s="25" t="str">
        <f>IF($M562="H","제공금액 "&amp;TEXT(INDEX($U$5:$U$16,$J562),"#,##0")&amp;"원",IF($M562="C","제공금액",IF($M562="I",INDEX('완료 체험단'!$F$4:$F$2000,$N562),IF($M562="T",INDEX($U$5:$U$16,$J562),""))))</f>
        <v/>
      </c>
      <c r="F562" s="25" t="str">
        <f>IF($M562="H","결제금액 "&amp;TEXT(INDEX($V$5:$V$16,$J562),"#,##0")&amp;"원",IF($M562="C","결제금액",IF($M562="I",INDEX('완료 체험단'!$G$4:$G$2000,$N562),IF($M562="T",INDEX($V$5:$V$16,$J562),""))))</f>
        <v/>
      </c>
      <c r="G562" s="25" t="str">
        <f>IF($M562="H","실수익 "&amp;TEXT(INDEX($W$5:$W$16,$J562),"#,##0")&amp;"원",IF($M562="C","실수익",IF($M562="I",INDEX('완료 체험단'!$H$4:$H$2000,$N562),IF($M562="T",INDEX($W$5:$W$16,$J562),""))))</f>
        <v/>
      </c>
      <c r="I562" s="31">
        <f>ROWS(I$5:I562)</f>
        <v>558</v>
      </c>
      <c r="J562" t="str">
        <f t="shared" si="35"/>
        <v/>
      </c>
      <c r="K562" t="str">
        <f t="shared" si="36"/>
        <v/>
      </c>
      <c r="L562" t="str">
        <f t="shared" si="37"/>
        <v/>
      </c>
      <c r="M562" t="str">
        <f t="shared" si="38"/>
        <v/>
      </c>
      <c r="N562" t="str">
        <f>IF($M562="I",MATCH(SMALL('완료 체험단'!$K$4:$K$2000,INDEX($T$5:$T$16,$J562)+$K562-2),'완료 체험단'!$K$4:$K$2000,0),"")</f>
        <v/>
      </c>
    </row>
    <row r="563" spans="2:14">
      <c r="B563" s="23" t="str">
        <f>IF($M563="H",$J563&amp;"월",IF($M563="C","매장명",IF($M563="I",INDEX('완료 체험단'!$A$4:$A$2000,$N563),IF($M563="T","합계",""))))</f>
        <v/>
      </c>
      <c r="C563" s="29" t="str">
        <f>IF($M563="H",$L563&amp;"건",IF($M563="C","사이트",IF($M563="I",INDEX('완료 체험단'!$C$4:$C$2000,$N563),IF($M563="T",$L563&amp;"건",""))))</f>
        <v/>
      </c>
      <c r="D563" s="30" t="str">
        <f>IF($M563="C","방문일",IF($M563="I",INDEX('완료 체험단'!$D$4:$D$2000,$N563),""))</f>
        <v/>
      </c>
      <c r="E563" s="25" t="str">
        <f>IF($M563="H","제공금액 "&amp;TEXT(INDEX($U$5:$U$16,$J563),"#,##0")&amp;"원",IF($M563="C","제공금액",IF($M563="I",INDEX('완료 체험단'!$F$4:$F$2000,$N563),IF($M563="T",INDEX($U$5:$U$16,$J563),""))))</f>
        <v/>
      </c>
      <c r="F563" s="25" t="str">
        <f>IF($M563="H","결제금액 "&amp;TEXT(INDEX($V$5:$V$16,$J563),"#,##0")&amp;"원",IF($M563="C","결제금액",IF($M563="I",INDEX('완료 체험단'!$G$4:$G$2000,$N563),IF($M563="T",INDEX($V$5:$V$16,$J563),""))))</f>
        <v/>
      </c>
      <c r="G563" s="25" t="str">
        <f>IF($M563="H","실수익 "&amp;TEXT(INDEX($W$5:$W$16,$J563),"#,##0")&amp;"원",IF($M563="C","실수익",IF($M563="I",INDEX('완료 체험단'!$H$4:$H$2000,$N563),IF($M563="T",INDEX($W$5:$W$16,$J563),""))))</f>
        <v/>
      </c>
      <c r="I563" s="31">
        <f>ROWS(I$5:I563)</f>
        <v>559</v>
      </c>
      <c r="J563" t="str">
        <f t="shared" si="35"/>
        <v/>
      </c>
      <c r="K563" t="str">
        <f t="shared" si="36"/>
        <v/>
      </c>
      <c r="L563" t="str">
        <f t="shared" si="37"/>
        <v/>
      </c>
      <c r="M563" t="str">
        <f t="shared" si="38"/>
        <v/>
      </c>
      <c r="N563" t="str">
        <f>IF($M563="I",MATCH(SMALL('완료 체험단'!$K$4:$K$2000,INDEX($T$5:$T$16,$J563)+$K563-2),'완료 체험단'!$K$4:$K$2000,0),"")</f>
        <v/>
      </c>
    </row>
    <row r="564" spans="2:14">
      <c r="B564" s="23" t="str">
        <f>IF($M564="H",$J564&amp;"월",IF($M564="C","매장명",IF($M564="I",INDEX('완료 체험단'!$A$4:$A$2000,$N564),IF($M564="T","합계",""))))</f>
        <v/>
      </c>
      <c r="C564" s="29" t="str">
        <f>IF($M564="H",$L564&amp;"건",IF($M564="C","사이트",IF($M564="I",INDEX('완료 체험단'!$C$4:$C$2000,$N564),IF($M564="T",$L564&amp;"건",""))))</f>
        <v/>
      </c>
      <c r="D564" s="30" t="str">
        <f>IF($M564="C","방문일",IF($M564="I",INDEX('완료 체험단'!$D$4:$D$2000,$N564),""))</f>
        <v/>
      </c>
      <c r="E564" s="25" t="str">
        <f>IF($M564="H","제공금액 "&amp;TEXT(INDEX($U$5:$U$16,$J564),"#,##0")&amp;"원",IF($M564="C","제공금액",IF($M564="I",INDEX('완료 체험단'!$F$4:$F$2000,$N564),IF($M564="T",INDEX($U$5:$U$16,$J564),""))))</f>
        <v/>
      </c>
      <c r="F564" s="25" t="str">
        <f>IF($M564="H","결제금액 "&amp;TEXT(INDEX($V$5:$V$16,$J564),"#,##0")&amp;"원",IF($M564="C","결제금액",IF($M564="I",INDEX('완료 체험단'!$G$4:$G$2000,$N564),IF($M564="T",INDEX($V$5:$V$16,$J564),""))))</f>
        <v/>
      </c>
      <c r="G564" s="25" t="str">
        <f>IF($M564="H","실수익 "&amp;TEXT(INDEX($W$5:$W$16,$J564),"#,##0")&amp;"원",IF($M564="C","실수익",IF($M564="I",INDEX('완료 체험단'!$H$4:$H$2000,$N564),IF($M564="T",INDEX($W$5:$W$16,$J564),""))))</f>
        <v/>
      </c>
      <c r="I564" s="31">
        <f>ROWS(I$5:I564)</f>
        <v>560</v>
      </c>
      <c r="J564" t="str">
        <f t="shared" si="35"/>
        <v/>
      </c>
      <c r="K564" t="str">
        <f t="shared" si="36"/>
        <v/>
      </c>
      <c r="L564" t="str">
        <f t="shared" si="37"/>
        <v/>
      </c>
      <c r="M564" t="str">
        <f t="shared" si="38"/>
        <v/>
      </c>
      <c r="N564" t="str">
        <f>IF($M564="I",MATCH(SMALL('완료 체험단'!$K$4:$K$2000,INDEX($T$5:$T$16,$J564)+$K564-2),'완료 체험단'!$K$4:$K$2000,0),"")</f>
        <v/>
      </c>
    </row>
    <row r="565" spans="2:14">
      <c r="B565" s="23" t="str">
        <f>IF($M565="H",$J565&amp;"월",IF($M565="C","매장명",IF($M565="I",INDEX('완료 체험단'!$A$4:$A$2000,$N565),IF($M565="T","합계",""))))</f>
        <v/>
      </c>
      <c r="C565" s="29" t="str">
        <f>IF($M565="H",$L565&amp;"건",IF($M565="C","사이트",IF($M565="I",INDEX('완료 체험단'!$C$4:$C$2000,$N565),IF($M565="T",$L565&amp;"건",""))))</f>
        <v/>
      </c>
      <c r="D565" s="30" t="str">
        <f>IF($M565="C","방문일",IF($M565="I",INDEX('완료 체험단'!$D$4:$D$2000,$N565),""))</f>
        <v/>
      </c>
      <c r="E565" s="25" t="str">
        <f>IF($M565="H","제공금액 "&amp;TEXT(INDEX($U$5:$U$16,$J565),"#,##0")&amp;"원",IF($M565="C","제공금액",IF($M565="I",INDEX('완료 체험단'!$F$4:$F$2000,$N565),IF($M565="T",INDEX($U$5:$U$16,$J565),""))))</f>
        <v/>
      </c>
      <c r="F565" s="25" t="str">
        <f>IF($M565="H","결제금액 "&amp;TEXT(INDEX($V$5:$V$16,$J565),"#,##0")&amp;"원",IF($M565="C","결제금액",IF($M565="I",INDEX('완료 체험단'!$G$4:$G$2000,$N565),IF($M565="T",INDEX($V$5:$V$16,$J565),""))))</f>
        <v/>
      </c>
      <c r="G565" s="25" t="str">
        <f>IF($M565="H","실수익 "&amp;TEXT(INDEX($W$5:$W$16,$J565),"#,##0")&amp;"원",IF($M565="C","실수익",IF($M565="I",INDEX('완료 체험단'!$H$4:$H$2000,$N565),IF($M565="T",INDEX($W$5:$W$16,$J565),""))))</f>
        <v/>
      </c>
      <c r="I565" s="31">
        <f>ROWS(I$5:I565)</f>
        <v>561</v>
      </c>
      <c r="J565" t="str">
        <f t="shared" si="35"/>
        <v/>
      </c>
      <c r="K565" t="str">
        <f t="shared" si="36"/>
        <v/>
      </c>
      <c r="L565" t="str">
        <f t="shared" si="37"/>
        <v/>
      </c>
      <c r="M565" t="str">
        <f t="shared" si="38"/>
        <v/>
      </c>
      <c r="N565" t="str">
        <f>IF($M565="I",MATCH(SMALL('완료 체험단'!$K$4:$K$2000,INDEX($T$5:$T$16,$J565)+$K565-2),'완료 체험단'!$K$4:$K$2000,0),"")</f>
        <v/>
      </c>
    </row>
    <row r="566" spans="2:14">
      <c r="B566" s="23" t="str">
        <f>IF($M566="H",$J566&amp;"월",IF($M566="C","매장명",IF($M566="I",INDEX('완료 체험단'!$A$4:$A$2000,$N566),IF($M566="T","합계",""))))</f>
        <v/>
      </c>
      <c r="C566" s="29" t="str">
        <f>IF($M566="H",$L566&amp;"건",IF($M566="C","사이트",IF($M566="I",INDEX('완료 체험단'!$C$4:$C$2000,$N566),IF($M566="T",$L566&amp;"건",""))))</f>
        <v/>
      </c>
      <c r="D566" s="30" t="str">
        <f>IF($M566="C","방문일",IF($M566="I",INDEX('완료 체험단'!$D$4:$D$2000,$N566),""))</f>
        <v/>
      </c>
      <c r="E566" s="25" t="str">
        <f>IF($M566="H","제공금액 "&amp;TEXT(INDEX($U$5:$U$16,$J566),"#,##0")&amp;"원",IF($M566="C","제공금액",IF($M566="I",INDEX('완료 체험단'!$F$4:$F$2000,$N566),IF($M566="T",INDEX($U$5:$U$16,$J566),""))))</f>
        <v/>
      </c>
      <c r="F566" s="25" t="str">
        <f>IF($M566="H","결제금액 "&amp;TEXT(INDEX($V$5:$V$16,$J566),"#,##0")&amp;"원",IF($M566="C","결제금액",IF($M566="I",INDEX('완료 체험단'!$G$4:$G$2000,$N566),IF($M566="T",INDEX($V$5:$V$16,$J566),""))))</f>
        <v/>
      </c>
      <c r="G566" s="25" t="str">
        <f>IF($M566="H","실수익 "&amp;TEXT(INDEX($W$5:$W$16,$J566),"#,##0")&amp;"원",IF($M566="C","실수익",IF($M566="I",INDEX('완료 체험단'!$H$4:$H$2000,$N566),IF($M566="T",INDEX($W$5:$W$16,$J566),""))))</f>
        <v/>
      </c>
      <c r="I566" s="31">
        <f>ROWS(I$5:I566)</f>
        <v>562</v>
      </c>
      <c r="J566" t="str">
        <f t="shared" si="35"/>
        <v/>
      </c>
      <c r="K566" t="str">
        <f t="shared" si="36"/>
        <v/>
      </c>
      <c r="L566" t="str">
        <f t="shared" si="37"/>
        <v/>
      </c>
      <c r="M566" t="str">
        <f t="shared" si="38"/>
        <v/>
      </c>
      <c r="N566" t="str">
        <f>IF($M566="I",MATCH(SMALL('완료 체험단'!$K$4:$K$2000,INDEX($T$5:$T$16,$J566)+$K566-2),'완료 체험단'!$K$4:$K$2000,0),"")</f>
        <v/>
      </c>
    </row>
    <row r="567" spans="2:14">
      <c r="B567" s="23" t="str">
        <f>IF($M567="H",$J567&amp;"월",IF($M567="C","매장명",IF($M567="I",INDEX('완료 체험단'!$A$4:$A$2000,$N567),IF($M567="T","합계",""))))</f>
        <v/>
      </c>
      <c r="C567" s="29" t="str">
        <f>IF($M567="H",$L567&amp;"건",IF($M567="C","사이트",IF($M567="I",INDEX('완료 체험단'!$C$4:$C$2000,$N567),IF($M567="T",$L567&amp;"건",""))))</f>
        <v/>
      </c>
      <c r="D567" s="30" t="str">
        <f>IF($M567="C","방문일",IF($M567="I",INDEX('완료 체험단'!$D$4:$D$2000,$N567),""))</f>
        <v/>
      </c>
      <c r="E567" s="25" t="str">
        <f>IF($M567="H","제공금액 "&amp;TEXT(INDEX($U$5:$U$16,$J567),"#,##0")&amp;"원",IF($M567="C","제공금액",IF($M567="I",INDEX('완료 체험단'!$F$4:$F$2000,$N567),IF($M567="T",INDEX($U$5:$U$16,$J567),""))))</f>
        <v/>
      </c>
      <c r="F567" s="25" t="str">
        <f>IF($M567="H","결제금액 "&amp;TEXT(INDEX($V$5:$V$16,$J567),"#,##0")&amp;"원",IF($M567="C","결제금액",IF($M567="I",INDEX('완료 체험단'!$G$4:$G$2000,$N567),IF($M567="T",INDEX($V$5:$V$16,$J567),""))))</f>
        <v/>
      </c>
      <c r="G567" s="25" t="str">
        <f>IF($M567="H","실수익 "&amp;TEXT(INDEX($W$5:$W$16,$J567),"#,##0")&amp;"원",IF($M567="C","실수익",IF($M567="I",INDEX('완료 체험단'!$H$4:$H$2000,$N567),IF($M567="T",INDEX($W$5:$W$16,$J567),""))))</f>
        <v/>
      </c>
      <c r="I567" s="31">
        <f>ROWS(I$5:I567)</f>
        <v>563</v>
      </c>
      <c r="J567" t="str">
        <f t="shared" si="35"/>
        <v/>
      </c>
      <c r="K567" t="str">
        <f t="shared" si="36"/>
        <v/>
      </c>
      <c r="L567" t="str">
        <f t="shared" si="37"/>
        <v/>
      </c>
      <c r="M567" t="str">
        <f t="shared" si="38"/>
        <v/>
      </c>
      <c r="N567" t="str">
        <f>IF($M567="I",MATCH(SMALL('완료 체험단'!$K$4:$K$2000,INDEX($T$5:$T$16,$J567)+$K567-2),'완료 체험단'!$K$4:$K$2000,0),"")</f>
        <v/>
      </c>
    </row>
    <row r="568" spans="2:14">
      <c r="B568" s="23" t="str">
        <f>IF($M568="H",$J568&amp;"월",IF($M568="C","매장명",IF($M568="I",INDEX('완료 체험단'!$A$4:$A$2000,$N568),IF($M568="T","합계",""))))</f>
        <v/>
      </c>
      <c r="C568" s="29" t="str">
        <f>IF($M568="H",$L568&amp;"건",IF($M568="C","사이트",IF($M568="I",INDEX('완료 체험단'!$C$4:$C$2000,$N568),IF($M568="T",$L568&amp;"건",""))))</f>
        <v/>
      </c>
      <c r="D568" s="30" t="str">
        <f>IF($M568="C","방문일",IF($M568="I",INDEX('완료 체험단'!$D$4:$D$2000,$N568),""))</f>
        <v/>
      </c>
      <c r="E568" s="25" t="str">
        <f>IF($M568="H","제공금액 "&amp;TEXT(INDEX($U$5:$U$16,$J568),"#,##0")&amp;"원",IF($M568="C","제공금액",IF($M568="I",INDEX('완료 체험단'!$F$4:$F$2000,$N568),IF($M568="T",INDEX($U$5:$U$16,$J568),""))))</f>
        <v/>
      </c>
      <c r="F568" s="25" t="str">
        <f>IF($M568="H","결제금액 "&amp;TEXT(INDEX($V$5:$V$16,$J568),"#,##0")&amp;"원",IF($M568="C","결제금액",IF($M568="I",INDEX('완료 체험단'!$G$4:$G$2000,$N568),IF($M568="T",INDEX($V$5:$V$16,$J568),""))))</f>
        <v/>
      </c>
      <c r="G568" s="25" t="str">
        <f>IF($M568="H","실수익 "&amp;TEXT(INDEX($W$5:$W$16,$J568),"#,##0")&amp;"원",IF($M568="C","실수익",IF($M568="I",INDEX('완료 체험단'!$H$4:$H$2000,$N568),IF($M568="T",INDEX($W$5:$W$16,$J568),""))))</f>
        <v/>
      </c>
      <c r="I568" s="31">
        <f>ROWS(I$5:I568)</f>
        <v>564</v>
      </c>
      <c r="J568" t="str">
        <f t="shared" si="35"/>
        <v/>
      </c>
      <c r="K568" t="str">
        <f t="shared" si="36"/>
        <v/>
      </c>
      <c r="L568" t="str">
        <f t="shared" si="37"/>
        <v/>
      </c>
      <c r="M568" t="str">
        <f t="shared" si="38"/>
        <v/>
      </c>
      <c r="N568" t="str">
        <f>IF($M568="I",MATCH(SMALL('완료 체험단'!$K$4:$K$2000,INDEX($T$5:$T$16,$J568)+$K568-2),'완료 체험단'!$K$4:$K$2000,0),"")</f>
        <v/>
      </c>
    </row>
    <row r="569" spans="2:14">
      <c r="B569" s="23" t="str">
        <f>IF($M569="H",$J569&amp;"월",IF($M569="C","매장명",IF($M569="I",INDEX('완료 체험단'!$A$4:$A$2000,$N569),IF($M569="T","합계",""))))</f>
        <v/>
      </c>
      <c r="C569" s="29" t="str">
        <f>IF($M569="H",$L569&amp;"건",IF($M569="C","사이트",IF($M569="I",INDEX('완료 체험단'!$C$4:$C$2000,$N569),IF($M569="T",$L569&amp;"건",""))))</f>
        <v/>
      </c>
      <c r="D569" s="30" t="str">
        <f>IF($M569="C","방문일",IF($M569="I",INDEX('완료 체험단'!$D$4:$D$2000,$N569),""))</f>
        <v/>
      </c>
      <c r="E569" s="25" t="str">
        <f>IF($M569="H","제공금액 "&amp;TEXT(INDEX($U$5:$U$16,$J569),"#,##0")&amp;"원",IF($M569="C","제공금액",IF($M569="I",INDEX('완료 체험단'!$F$4:$F$2000,$N569),IF($M569="T",INDEX($U$5:$U$16,$J569),""))))</f>
        <v/>
      </c>
      <c r="F569" s="25" t="str">
        <f>IF($M569="H","결제금액 "&amp;TEXT(INDEX($V$5:$V$16,$J569),"#,##0")&amp;"원",IF($M569="C","결제금액",IF($M569="I",INDEX('완료 체험단'!$G$4:$G$2000,$N569),IF($M569="T",INDEX($V$5:$V$16,$J569),""))))</f>
        <v/>
      </c>
      <c r="G569" s="25" t="str">
        <f>IF($M569="H","실수익 "&amp;TEXT(INDEX($W$5:$W$16,$J569),"#,##0")&amp;"원",IF($M569="C","실수익",IF($M569="I",INDEX('완료 체험단'!$H$4:$H$2000,$N569),IF($M569="T",INDEX($W$5:$W$16,$J569),""))))</f>
        <v/>
      </c>
      <c r="I569" s="31">
        <f>ROWS(I$5:I569)</f>
        <v>565</v>
      </c>
      <c r="J569" t="str">
        <f t="shared" si="35"/>
        <v/>
      </c>
      <c r="K569" t="str">
        <f t="shared" si="36"/>
        <v/>
      </c>
      <c r="L569" t="str">
        <f t="shared" si="37"/>
        <v/>
      </c>
      <c r="M569" t="str">
        <f t="shared" si="38"/>
        <v/>
      </c>
      <c r="N569" t="str">
        <f>IF($M569="I",MATCH(SMALL('완료 체험단'!$K$4:$K$2000,INDEX($T$5:$T$16,$J569)+$K569-2),'완료 체험단'!$K$4:$K$2000,0),"")</f>
        <v/>
      </c>
    </row>
    <row r="570" spans="2:14">
      <c r="B570" s="23" t="str">
        <f>IF($M570="H",$J570&amp;"월",IF($M570="C","매장명",IF($M570="I",INDEX('완료 체험단'!$A$4:$A$2000,$N570),IF($M570="T","합계",""))))</f>
        <v/>
      </c>
      <c r="C570" s="29" t="str">
        <f>IF($M570="H",$L570&amp;"건",IF($M570="C","사이트",IF($M570="I",INDEX('완료 체험단'!$C$4:$C$2000,$N570),IF($M570="T",$L570&amp;"건",""))))</f>
        <v/>
      </c>
      <c r="D570" s="30" t="str">
        <f>IF($M570="C","방문일",IF($M570="I",INDEX('완료 체험단'!$D$4:$D$2000,$N570),""))</f>
        <v/>
      </c>
      <c r="E570" s="25" t="str">
        <f>IF($M570="H","제공금액 "&amp;TEXT(INDEX($U$5:$U$16,$J570),"#,##0")&amp;"원",IF($M570="C","제공금액",IF($M570="I",INDEX('완료 체험단'!$F$4:$F$2000,$N570),IF($M570="T",INDEX($U$5:$U$16,$J570),""))))</f>
        <v/>
      </c>
      <c r="F570" s="25" t="str">
        <f>IF($M570="H","결제금액 "&amp;TEXT(INDEX($V$5:$V$16,$J570),"#,##0")&amp;"원",IF($M570="C","결제금액",IF($M570="I",INDEX('완료 체험단'!$G$4:$G$2000,$N570),IF($M570="T",INDEX($V$5:$V$16,$J570),""))))</f>
        <v/>
      </c>
      <c r="G570" s="25" t="str">
        <f>IF($M570="H","실수익 "&amp;TEXT(INDEX($W$5:$W$16,$J570),"#,##0")&amp;"원",IF($M570="C","실수익",IF($M570="I",INDEX('완료 체험단'!$H$4:$H$2000,$N570),IF($M570="T",INDEX($W$5:$W$16,$J570),""))))</f>
        <v/>
      </c>
      <c r="I570" s="31">
        <f>ROWS(I$5:I570)</f>
        <v>566</v>
      </c>
      <c r="J570" t="str">
        <f t="shared" si="35"/>
        <v/>
      </c>
      <c r="K570" t="str">
        <f t="shared" si="36"/>
        <v/>
      </c>
      <c r="L570" t="str">
        <f t="shared" si="37"/>
        <v/>
      </c>
      <c r="M570" t="str">
        <f t="shared" si="38"/>
        <v/>
      </c>
      <c r="N570" t="str">
        <f>IF($M570="I",MATCH(SMALL('완료 체험단'!$K$4:$K$2000,INDEX($T$5:$T$16,$J570)+$K570-2),'완료 체험단'!$K$4:$K$2000,0),"")</f>
        <v/>
      </c>
    </row>
    <row r="571" spans="2:14">
      <c r="B571" s="23" t="str">
        <f>IF($M571="H",$J571&amp;"월",IF($M571="C","매장명",IF($M571="I",INDEX('완료 체험단'!$A$4:$A$2000,$N571),IF($M571="T","합계",""))))</f>
        <v/>
      </c>
      <c r="C571" s="29" t="str">
        <f>IF($M571="H",$L571&amp;"건",IF($M571="C","사이트",IF($M571="I",INDEX('완료 체험단'!$C$4:$C$2000,$N571),IF($M571="T",$L571&amp;"건",""))))</f>
        <v/>
      </c>
      <c r="D571" s="30" t="str">
        <f>IF($M571="C","방문일",IF($M571="I",INDEX('완료 체험단'!$D$4:$D$2000,$N571),""))</f>
        <v/>
      </c>
      <c r="E571" s="25" t="str">
        <f>IF($M571="H","제공금액 "&amp;TEXT(INDEX($U$5:$U$16,$J571),"#,##0")&amp;"원",IF($M571="C","제공금액",IF($M571="I",INDEX('완료 체험단'!$F$4:$F$2000,$N571),IF($M571="T",INDEX($U$5:$U$16,$J571),""))))</f>
        <v/>
      </c>
      <c r="F571" s="25" t="str">
        <f>IF($M571="H","결제금액 "&amp;TEXT(INDEX($V$5:$V$16,$J571),"#,##0")&amp;"원",IF($M571="C","결제금액",IF($M571="I",INDEX('완료 체험단'!$G$4:$G$2000,$N571),IF($M571="T",INDEX($V$5:$V$16,$J571),""))))</f>
        <v/>
      </c>
      <c r="G571" s="25" t="str">
        <f>IF($M571="H","실수익 "&amp;TEXT(INDEX($W$5:$W$16,$J571),"#,##0")&amp;"원",IF($M571="C","실수익",IF($M571="I",INDEX('완료 체험단'!$H$4:$H$2000,$N571),IF($M571="T",INDEX($W$5:$W$16,$J571),""))))</f>
        <v/>
      </c>
      <c r="I571" s="31">
        <f>ROWS(I$5:I571)</f>
        <v>567</v>
      </c>
      <c r="J571" t="str">
        <f t="shared" si="35"/>
        <v/>
      </c>
      <c r="K571" t="str">
        <f t="shared" si="36"/>
        <v/>
      </c>
      <c r="L571" t="str">
        <f t="shared" si="37"/>
        <v/>
      </c>
      <c r="M571" t="str">
        <f t="shared" si="38"/>
        <v/>
      </c>
      <c r="N571" t="str">
        <f>IF($M571="I",MATCH(SMALL('완료 체험단'!$K$4:$K$2000,INDEX($T$5:$T$16,$J571)+$K571-2),'완료 체험단'!$K$4:$K$2000,0),"")</f>
        <v/>
      </c>
    </row>
    <row r="572" spans="2:14">
      <c r="B572" s="23" t="str">
        <f>IF($M572="H",$J572&amp;"월",IF($M572="C","매장명",IF($M572="I",INDEX('완료 체험단'!$A$4:$A$2000,$N572),IF($M572="T","합계",""))))</f>
        <v/>
      </c>
      <c r="C572" s="29" t="str">
        <f>IF($M572="H",$L572&amp;"건",IF($M572="C","사이트",IF($M572="I",INDEX('완료 체험단'!$C$4:$C$2000,$N572),IF($M572="T",$L572&amp;"건",""))))</f>
        <v/>
      </c>
      <c r="D572" s="30" t="str">
        <f>IF($M572="C","방문일",IF($M572="I",INDEX('완료 체험단'!$D$4:$D$2000,$N572),""))</f>
        <v/>
      </c>
      <c r="E572" s="25" t="str">
        <f>IF($M572="H","제공금액 "&amp;TEXT(INDEX($U$5:$U$16,$J572),"#,##0")&amp;"원",IF($M572="C","제공금액",IF($M572="I",INDEX('완료 체험단'!$F$4:$F$2000,$N572),IF($M572="T",INDEX($U$5:$U$16,$J572),""))))</f>
        <v/>
      </c>
      <c r="F572" s="25" t="str">
        <f>IF($M572="H","결제금액 "&amp;TEXT(INDEX($V$5:$V$16,$J572),"#,##0")&amp;"원",IF($M572="C","결제금액",IF($M572="I",INDEX('완료 체험단'!$G$4:$G$2000,$N572),IF($M572="T",INDEX($V$5:$V$16,$J572),""))))</f>
        <v/>
      </c>
      <c r="G572" s="25" t="str">
        <f>IF($M572="H","실수익 "&amp;TEXT(INDEX($W$5:$W$16,$J572),"#,##0")&amp;"원",IF($M572="C","실수익",IF($M572="I",INDEX('완료 체험단'!$H$4:$H$2000,$N572),IF($M572="T",INDEX($W$5:$W$16,$J572),""))))</f>
        <v/>
      </c>
      <c r="I572" s="31">
        <f>ROWS(I$5:I572)</f>
        <v>568</v>
      </c>
      <c r="J572" t="str">
        <f t="shared" si="35"/>
        <v/>
      </c>
      <c r="K572" t="str">
        <f t="shared" si="36"/>
        <v/>
      </c>
      <c r="L572" t="str">
        <f t="shared" si="37"/>
        <v/>
      </c>
      <c r="M572" t="str">
        <f t="shared" si="38"/>
        <v/>
      </c>
      <c r="N572" t="str">
        <f>IF($M572="I",MATCH(SMALL('완료 체험단'!$K$4:$K$2000,INDEX($T$5:$T$16,$J572)+$K572-2),'완료 체험단'!$K$4:$K$2000,0),"")</f>
        <v/>
      </c>
    </row>
    <row r="573" spans="2:14">
      <c r="B573" s="23" t="str">
        <f>IF($M573="H",$J573&amp;"월",IF($M573="C","매장명",IF($M573="I",INDEX('완료 체험단'!$A$4:$A$2000,$N573),IF($M573="T","합계",""))))</f>
        <v/>
      </c>
      <c r="C573" s="29" t="str">
        <f>IF($M573="H",$L573&amp;"건",IF($M573="C","사이트",IF($M573="I",INDEX('완료 체험단'!$C$4:$C$2000,$N573),IF($M573="T",$L573&amp;"건",""))))</f>
        <v/>
      </c>
      <c r="D573" s="30" t="str">
        <f>IF($M573="C","방문일",IF($M573="I",INDEX('완료 체험단'!$D$4:$D$2000,$N573),""))</f>
        <v/>
      </c>
      <c r="E573" s="25" t="str">
        <f>IF($M573="H","제공금액 "&amp;TEXT(INDEX($U$5:$U$16,$J573),"#,##0")&amp;"원",IF($M573="C","제공금액",IF($M573="I",INDEX('완료 체험단'!$F$4:$F$2000,$N573),IF($M573="T",INDEX($U$5:$U$16,$J573),""))))</f>
        <v/>
      </c>
      <c r="F573" s="25" t="str">
        <f>IF($M573="H","결제금액 "&amp;TEXT(INDEX($V$5:$V$16,$J573),"#,##0")&amp;"원",IF($M573="C","결제금액",IF($M573="I",INDEX('완료 체험단'!$G$4:$G$2000,$N573),IF($M573="T",INDEX($V$5:$V$16,$J573),""))))</f>
        <v/>
      </c>
      <c r="G573" s="25" t="str">
        <f>IF($M573="H","실수익 "&amp;TEXT(INDEX($W$5:$W$16,$J573),"#,##0")&amp;"원",IF($M573="C","실수익",IF($M573="I",INDEX('완료 체험단'!$H$4:$H$2000,$N573),IF($M573="T",INDEX($W$5:$W$16,$J573),""))))</f>
        <v/>
      </c>
      <c r="I573" s="31">
        <f>ROWS(I$5:I573)</f>
        <v>569</v>
      </c>
      <c r="J573" t="str">
        <f t="shared" si="35"/>
        <v/>
      </c>
      <c r="K573" t="str">
        <f t="shared" si="36"/>
        <v/>
      </c>
      <c r="L573" t="str">
        <f t="shared" si="37"/>
        <v/>
      </c>
      <c r="M573" t="str">
        <f t="shared" si="38"/>
        <v/>
      </c>
      <c r="N573" t="str">
        <f>IF($M573="I",MATCH(SMALL('완료 체험단'!$K$4:$K$2000,INDEX($T$5:$T$16,$J573)+$K573-2),'완료 체험단'!$K$4:$K$2000,0),"")</f>
        <v/>
      </c>
    </row>
    <row r="574" spans="2:14">
      <c r="B574" s="23" t="str">
        <f>IF($M574="H",$J574&amp;"월",IF($M574="C","매장명",IF($M574="I",INDEX('완료 체험단'!$A$4:$A$2000,$N574),IF($M574="T","합계",""))))</f>
        <v/>
      </c>
      <c r="C574" s="29" t="str">
        <f>IF($M574="H",$L574&amp;"건",IF($M574="C","사이트",IF($M574="I",INDEX('완료 체험단'!$C$4:$C$2000,$N574),IF($M574="T",$L574&amp;"건",""))))</f>
        <v/>
      </c>
      <c r="D574" s="30" t="str">
        <f>IF($M574="C","방문일",IF($M574="I",INDEX('완료 체험단'!$D$4:$D$2000,$N574),""))</f>
        <v/>
      </c>
      <c r="E574" s="25" t="str">
        <f>IF($M574="H","제공금액 "&amp;TEXT(INDEX($U$5:$U$16,$J574),"#,##0")&amp;"원",IF($M574="C","제공금액",IF($M574="I",INDEX('완료 체험단'!$F$4:$F$2000,$N574),IF($M574="T",INDEX($U$5:$U$16,$J574),""))))</f>
        <v/>
      </c>
      <c r="F574" s="25" t="str">
        <f>IF($M574="H","결제금액 "&amp;TEXT(INDEX($V$5:$V$16,$J574),"#,##0")&amp;"원",IF($M574="C","결제금액",IF($M574="I",INDEX('완료 체험단'!$G$4:$G$2000,$N574),IF($M574="T",INDEX($V$5:$V$16,$J574),""))))</f>
        <v/>
      </c>
      <c r="G574" s="25" t="str">
        <f>IF($M574="H","실수익 "&amp;TEXT(INDEX($W$5:$W$16,$J574),"#,##0")&amp;"원",IF($M574="C","실수익",IF($M574="I",INDEX('완료 체험단'!$H$4:$H$2000,$N574),IF($M574="T",INDEX($W$5:$W$16,$J574),""))))</f>
        <v/>
      </c>
      <c r="I574" s="31">
        <f>ROWS(I$5:I574)</f>
        <v>570</v>
      </c>
      <c r="J574" t="str">
        <f t="shared" si="35"/>
        <v/>
      </c>
      <c r="K574" t="str">
        <f t="shared" si="36"/>
        <v/>
      </c>
      <c r="L574" t="str">
        <f t="shared" si="37"/>
        <v/>
      </c>
      <c r="M574" t="str">
        <f t="shared" si="38"/>
        <v/>
      </c>
      <c r="N574" t="str">
        <f>IF($M574="I",MATCH(SMALL('완료 체험단'!$K$4:$K$2000,INDEX($T$5:$T$16,$J574)+$K574-2),'완료 체험단'!$K$4:$K$2000,0),"")</f>
        <v/>
      </c>
    </row>
    <row r="575" spans="2:14">
      <c r="B575" s="23" t="str">
        <f>IF($M575="H",$J575&amp;"월",IF($M575="C","매장명",IF($M575="I",INDEX('완료 체험단'!$A$4:$A$2000,$N575),IF($M575="T","합계",""))))</f>
        <v/>
      </c>
      <c r="C575" s="29" t="str">
        <f>IF($M575="H",$L575&amp;"건",IF($M575="C","사이트",IF($M575="I",INDEX('완료 체험단'!$C$4:$C$2000,$N575),IF($M575="T",$L575&amp;"건",""))))</f>
        <v/>
      </c>
      <c r="D575" s="30" t="str">
        <f>IF($M575="C","방문일",IF($M575="I",INDEX('완료 체험단'!$D$4:$D$2000,$N575),""))</f>
        <v/>
      </c>
      <c r="E575" s="25" t="str">
        <f>IF($M575="H","제공금액 "&amp;TEXT(INDEX($U$5:$U$16,$J575),"#,##0")&amp;"원",IF($M575="C","제공금액",IF($M575="I",INDEX('완료 체험단'!$F$4:$F$2000,$N575),IF($M575="T",INDEX($U$5:$U$16,$J575),""))))</f>
        <v/>
      </c>
      <c r="F575" s="25" t="str">
        <f>IF($M575="H","결제금액 "&amp;TEXT(INDEX($V$5:$V$16,$J575),"#,##0")&amp;"원",IF($M575="C","결제금액",IF($M575="I",INDEX('완료 체험단'!$G$4:$G$2000,$N575),IF($M575="T",INDEX($V$5:$V$16,$J575),""))))</f>
        <v/>
      </c>
      <c r="G575" s="25" t="str">
        <f>IF($M575="H","실수익 "&amp;TEXT(INDEX($W$5:$W$16,$J575),"#,##0")&amp;"원",IF($M575="C","실수익",IF($M575="I",INDEX('완료 체험단'!$H$4:$H$2000,$N575),IF($M575="T",INDEX($W$5:$W$16,$J575),""))))</f>
        <v/>
      </c>
      <c r="I575" s="31">
        <f>ROWS(I$5:I575)</f>
        <v>571</v>
      </c>
      <c r="J575" t="str">
        <f t="shared" si="35"/>
        <v/>
      </c>
      <c r="K575" t="str">
        <f t="shared" si="36"/>
        <v/>
      </c>
      <c r="L575" t="str">
        <f t="shared" si="37"/>
        <v/>
      </c>
      <c r="M575" t="str">
        <f t="shared" si="38"/>
        <v/>
      </c>
      <c r="N575" t="str">
        <f>IF($M575="I",MATCH(SMALL('완료 체험단'!$K$4:$K$2000,INDEX($T$5:$T$16,$J575)+$K575-2),'완료 체험단'!$K$4:$K$2000,0),"")</f>
        <v/>
      </c>
    </row>
    <row r="576" spans="2:14">
      <c r="B576" s="23" t="str">
        <f>IF($M576="H",$J576&amp;"월",IF($M576="C","매장명",IF($M576="I",INDEX('완료 체험단'!$A$4:$A$2000,$N576),IF($M576="T","합계",""))))</f>
        <v/>
      </c>
      <c r="C576" s="29" t="str">
        <f>IF($M576="H",$L576&amp;"건",IF($M576="C","사이트",IF($M576="I",INDEX('완료 체험단'!$C$4:$C$2000,$N576),IF($M576="T",$L576&amp;"건",""))))</f>
        <v/>
      </c>
      <c r="D576" s="30" t="str">
        <f>IF($M576="C","방문일",IF($M576="I",INDEX('완료 체험단'!$D$4:$D$2000,$N576),""))</f>
        <v/>
      </c>
      <c r="E576" s="25" t="str">
        <f>IF($M576="H","제공금액 "&amp;TEXT(INDEX($U$5:$U$16,$J576),"#,##0")&amp;"원",IF($M576="C","제공금액",IF($M576="I",INDEX('완료 체험단'!$F$4:$F$2000,$N576),IF($M576="T",INDEX($U$5:$U$16,$J576),""))))</f>
        <v/>
      </c>
      <c r="F576" s="25" t="str">
        <f>IF($M576="H","결제금액 "&amp;TEXT(INDEX($V$5:$V$16,$J576),"#,##0")&amp;"원",IF($M576="C","결제금액",IF($M576="I",INDEX('완료 체험단'!$G$4:$G$2000,$N576),IF($M576="T",INDEX($V$5:$V$16,$J576),""))))</f>
        <v/>
      </c>
      <c r="G576" s="25" t="str">
        <f>IF($M576="H","실수익 "&amp;TEXT(INDEX($W$5:$W$16,$J576),"#,##0")&amp;"원",IF($M576="C","실수익",IF($M576="I",INDEX('완료 체험단'!$H$4:$H$2000,$N576),IF($M576="T",INDEX($W$5:$W$16,$J576),""))))</f>
        <v/>
      </c>
      <c r="I576" s="31">
        <f>ROWS(I$5:I576)</f>
        <v>572</v>
      </c>
      <c r="J576" t="str">
        <f t="shared" si="35"/>
        <v/>
      </c>
      <c r="K576" t="str">
        <f t="shared" si="36"/>
        <v/>
      </c>
      <c r="L576" t="str">
        <f t="shared" si="37"/>
        <v/>
      </c>
      <c r="M576" t="str">
        <f t="shared" si="38"/>
        <v/>
      </c>
      <c r="N576" t="str">
        <f>IF($M576="I",MATCH(SMALL('완료 체험단'!$K$4:$K$2000,INDEX($T$5:$T$16,$J576)+$K576-2),'완료 체험단'!$K$4:$K$2000,0),"")</f>
        <v/>
      </c>
    </row>
    <row r="577" spans="2:14">
      <c r="B577" s="23" t="str">
        <f>IF($M577="H",$J577&amp;"월",IF($M577="C","매장명",IF($M577="I",INDEX('완료 체험단'!$A$4:$A$2000,$N577),IF($M577="T","합계",""))))</f>
        <v/>
      </c>
      <c r="C577" s="29" t="str">
        <f>IF($M577="H",$L577&amp;"건",IF($M577="C","사이트",IF($M577="I",INDEX('완료 체험단'!$C$4:$C$2000,$N577),IF($M577="T",$L577&amp;"건",""))))</f>
        <v/>
      </c>
      <c r="D577" s="30" t="str">
        <f>IF($M577="C","방문일",IF($M577="I",INDEX('완료 체험단'!$D$4:$D$2000,$N577),""))</f>
        <v/>
      </c>
      <c r="E577" s="25" t="str">
        <f>IF($M577="H","제공금액 "&amp;TEXT(INDEX($U$5:$U$16,$J577),"#,##0")&amp;"원",IF($M577="C","제공금액",IF($M577="I",INDEX('완료 체험단'!$F$4:$F$2000,$N577),IF($M577="T",INDEX($U$5:$U$16,$J577),""))))</f>
        <v/>
      </c>
      <c r="F577" s="25" t="str">
        <f>IF($M577="H","결제금액 "&amp;TEXT(INDEX($V$5:$V$16,$J577),"#,##0")&amp;"원",IF($M577="C","결제금액",IF($M577="I",INDEX('완료 체험단'!$G$4:$G$2000,$N577),IF($M577="T",INDEX($V$5:$V$16,$J577),""))))</f>
        <v/>
      </c>
      <c r="G577" s="25" t="str">
        <f>IF($M577="H","실수익 "&amp;TEXT(INDEX($W$5:$W$16,$J577),"#,##0")&amp;"원",IF($M577="C","실수익",IF($M577="I",INDEX('완료 체험단'!$H$4:$H$2000,$N577),IF($M577="T",INDEX($W$5:$W$16,$J577),""))))</f>
        <v/>
      </c>
      <c r="I577" s="31">
        <f>ROWS(I$5:I577)</f>
        <v>573</v>
      </c>
      <c r="J577" t="str">
        <f t="shared" si="35"/>
        <v/>
      </c>
      <c r="K577" t="str">
        <f t="shared" si="36"/>
        <v/>
      </c>
      <c r="L577" t="str">
        <f t="shared" si="37"/>
        <v/>
      </c>
      <c r="M577" t="str">
        <f t="shared" si="38"/>
        <v/>
      </c>
      <c r="N577" t="str">
        <f>IF($M577="I",MATCH(SMALL('완료 체험단'!$K$4:$K$2000,INDEX($T$5:$T$16,$J577)+$K577-2),'완료 체험단'!$K$4:$K$2000,0),"")</f>
        <v/>
      </c>
    </row>
    <row r="578" spans="2:14">
      <c r="B578" s="23" t="str">
        <f>IF($M578="H",$J578&amp;"월",IF($M578="C","매장명",IF($M578="I",INDEX('완료 체험단'!$A$4:$A$2000,$N578),IF($M578="T","합계",""))))</f>
        <v/>
      </c>
      <c r="C578" s="29" t="str">
        <f>IF($M578="H",$L578&amp;"건",IF($M578="C","사이트",IF($M578="I",INDEX('완료 체험단'!$C$4:$C$2000,$N578),IF($M578="T",$L578&amp;"건",""))))</f>
        <v/>
      </c>
      <c r="D578" s="30" t="str">
        <f>IF($M578="C","방문일",IF($M578="I",INDEX('완료 체험단'!$D$4:$D$2000,$N578),""))</f>
        <v/>
      </c>
      <c r="E578" s="25" t="str">
        <f>IF($M578="H","제공금액 "&amp;TEXT(INDEX($U$5:$U$16,$J578),"#,##0")&amp;"원",IF($M578="C","제공금액",IF($M578="I",INDEX('완료 체험단'!$F$4:$F$2000,$N578),IF($M578="T",INDEX($U$5:$U$16,$J578),""))))</f>
        <v/>
      </c>
      <c r="F578" s="25" t="str">
        <f>IF($M578="H","결제금액 "&amp;TEXT(INDEX($V$5:$V$16,$J578),"#,##0")&amp;"원",IF($M578="C","결제금액",IF($M578="I",INDEX('완료 체험단'!$G$4:$G$2000,$N578),IF($M578="T",INDEX($V$5:$V$16,$J578),""))))</f>
        <v/>
      </c>
      <c r="G578" s="25" t="str">
        <f>IF($M578="H","실수익 "&amp;TEXT(INDEX($W$5:$W$16,$J578),"#,##0")&amp;"원",IF($M578="C","실수익",IF($M578="I",INDEX('완료 체험단'!$H$4:$H$2000,$N578),IF($M578="T",INDEX($W$5:$W$16,$J578),""))))</f>
        <v/>
      </c>
      <c r="I578" s="31">
        <f>ROWS(I$5:I578)</f>
        <v>574</v>
      </c>
      <c r="J578" t="str">
        <f t="shared" si="35"/>
        <v/>
      </c>
      <c r="K578" t="str">
        <f t="shared" si="36"/>
        <v/>
      </c>
      <c r="L578" t="str">
        <f t="shared" si="37"/>
        <v/>
      </c>
      <c r="M578" t="str">
        <f t="shared" si="38"/>
        <v/>
      </c>
      <c r="N578" t="str">
        <f>IF($M578="I",MATCH(SMALL('완료 체험단'!$K$4:$K$2000,INDEX($T$5:$T$16,$J578)+$K578-2),'완료 체험단'!$K$4:$K$2000,0),"")</f>
        <v/>
      </c>
    </row>
    <row r="579" spans="2:14">
      <c r="B579" s="23" t="str">
        <f>IF($M579="H",$J579&amp;"월",IF($M579="C","매장명",IF($M579="I",INDEX('완료 체험단'!$A$4:$A$2000,$N579),IF($M579="T","합계",""))))</f>
        <v/>
      </c>
      <c r="C579" s="29" t="str">
        <f>IF($M579="H",$L579&amp;"건",IF($M579="C","사이트",IF($M579="I",INDEX('완료 체험단'!$C$4:$C$2000,$N579),IF($M579="T",$L579&amp;"건",""))))</f>
        <v/>
      </c>
      <c r="D579" s="30" t="str">
        <f>IF($M579="C","방문일",IF($M579="I",INDEX('완료 체험단'!$D$4:$D$2000,$N579),""))</f>
        <v/>
      </c>
      <c r="E579" s="25" t="str">
        <f>IF($M579="H","제공금액 "&amp;TEXT(INDEX($U$5:$U$16,$J579),"#,##0")&amp;"원",IF($M579="C","제공금액",IF($M579="I",INDEX('완료 체험단'!$F$4:$F$2000,$N579),IF($M579="T",INDEX($U$5:$U$16,$J579),""))))</f>
        <v/>
      </c>
      <c r="F579" s="25" t="str">
        <f>IF($M579="H","결제금액 "&amp;TEXT(INDEX($V$5:$V$16,$J579),"#,##0")&amp;"원",IF($M579="C","결제금액",IF($M579="I",INDEX('완료 체험단'!$G$4:$G$2000,$N579),IF($M579="T",INDEX($V$5:$V$16,$J579),""))))</f>
        <v/>
      </c>
      <c r="G579" s="25" t="str">
        <f>IF($M579="H","실수익 "&amp;TEXT(INDEX($W$5:$W$16,$J579),"#,##0")&amp;"원",IF($M579="C","실수익",IF($M579="I",INDEX('완료 체험단'!$H$4:$H$2000,$N579),IF($M579="T",INDEX($W$5:$W$16,$J579),""))))</f>
        <v/>
      </c>
      <c r="I579" s="31">
        <f>ROWS(I$5:I579)</f>
        <v>575</v>
      </c>
      <c r="J579" t="str">
        <f t="shared" si="35"/>
        <v/>
      </c>
      <c r="K579" t="str">
        <f t="shared" si="36"/>
        <v/>
      </c>
      <c r="L579" t="str">
        <f t="shared" si="37"/>
        <v/>
      </c>
      <c r="M579" t="str">
        <f t="shared" si="38"/>
        <v/>
      </c>
      <c r="N579" t="str">
        <f>IF($M579="I",MATCH(SMALL('완료 체험단'!$K$4:$K$2000,INDEX($T$5:$T$16,$J579)+$K579-2),'완료 체험단'!$K$4:$K$2000,0),"")</f>
        <v/>
      </c>
    </row>
    <row r="580" spans="2:14">
      <c r="B580" s="23" t="str">
        <f>IF($M580="H",$J580&amp;"월",IF($M580="C","매장명",IF($M580="I",INDEX('완료 체험단'!$A$4:$A$2000,$N580),IF($M580="T","합계",""))))</f>
        <v/>
      </c>
      <c r="C580" s="29" t="str">
        <f>IF($M580="H",$L580&amp;"건",IF($M580="C","사이트",IF($M580="I",INDEX('완료 체험단'!$C$4:$C$2000,$N580),IF($M580="T",$L580&amp;"건",""))))</f>
        <v/>
      </c>
      <c r="D580" s="30" t="str">
        <f>IF($M580="C","방문일",IF($M580="I",INDEX('완료 체험단'!$D$4:$D$2000,$N580),""))</f>
        <v/>
      </c>
      <c r="E580" s="25" t="str">
        <f>IF($M580="H","제공금액 "&amp;TEXT(INDEX($U$5:$U$16,$J580),"#,##0")&amp;"원",IF($M580="C","제공금액",IF($M580="I",INDEX('완료 체험단'!$F$4:$F$2000,$N580),IF($M580="T",INDEX($U$5:$U$16,$J580),""))))</f>
        <v/>
      </c>
      <c r="F580" s="25" t="str">
        <f>IF($M580="H","결제금액 "&amp;TEXT(INDEX($V$5:$V$16,$J580),"#,##0")&amp;"원",IF($M580="C","결제금액",IF($M580="I",INDEX('완료 체험단'!$G$4:$G$2000,$N580),IF($M580="T",INDEX($V$5:$V$16,$J580),""))))</f>
        <v/>
      </c>
      <c r="G580" s="25" t="str">
        <f>IF($M580="H","실수익 "&amp;TEXT(INDEX($W$5:$W$16,$J580),"#,##0")&amp;"원",IF($M580="C","실수익",IF($M580="I",INDEX('완료 체험단'!$H$4:$H$2000,$N580),IF($M580="T",INDEX($W$5:$W$16,$J580),""))))</f>
        <v/>
      </c>
      <c r="I580" s="31">
        <f>ROWS(I$5:I580)</f>
        <v>576</v>
      </c>
      <c r="J580" t="str">
        <f t="shared" si="35"/>
        <v/>
      </c>
      <c r="K580" t="str">
        <f t="shared" si="36"/>
        <v/>
      </c>
      <c r="L580" t="str">
        <f t="shared" si="37"/>
        <v/>
      </c>
      <c r="M580" t="str">
        <f t="shared" si="38"/>
        <v/>
      </c>
      <c r="N580" t="str">
        <f>IF($M580="I",MATCH(SMALL('완료 체험단'!$K$4:$K$2000,INDEX($T$5:$T$16,$J580)+$K580-2),'완료 체험단'!$K$4:$K$2000,0),"")</f>
        <v/>
      </c>
    </row>
    <row r="581" spans="2:14">
      <c r="B581" s="23" t="str">
        <f>IF($M581="H",$J581&amp;"월",IF($M581="C","매장명",IF($M581="I",INDEX('완료 체험단'!$A$4:$A$2000,$N581),IF($M581="T","합계",""))))</f>
        <v/>
      </c>
      <c r="C581" s="29" t="str">
        <f>IF($M581="H",$L581&amp;"건",IF($M581="C","사이트",IF($M581="I",INDEX('완료 체험단'!$C$4:$C$2000,$N581),IF($M581="T",$L581&amp;"건",""))))</f>
        <v/>
      </c>
      <c r="D581" s="30" t="str">
        <f>IF($M581="C","방문일",IF($M581="I",INDEX('완료 체험단'!$D$4:$D$2000,$N581),""))</f>
        <v/>
      </c>
      <c r="E581" s="25" t="str">
        <f>IF($M581="H","제공금액 "&amp;TEXT(INDEX($U$5:$U$16,$J581),"#,##0")&amp;"원",IF($M581="C","제공금액",IF($M581="I",INDEX('완료 체험단'!$F$4:$F$2000,$N581),IF($M581="T",INDEX($U$5:$U$16,$J581),""))))</f>
        <v/>
      </c>
      <c r="F581" s="25" t="str">
        <f>IF($M581="H","결제금액 "&amp;TEXT(INDEX($V$5:$V$16,$J581),"#,##0")&amp;"원",IF($M581="C","결제금액",IF($M581="I",INDEX('완료 체험단'!$G$4:$G$2000,$N581),IF($M581="T",INDEX($V$5:$V$16,$J581),""))))</f>
        <v/>
      </c>
      <c r="G581" s="25" t="str">
        <f>IF($M581="H","실수익 "&amp;TEXT(INDEX($W$5:$W$16,$J581),"#,##0")&amp;"원",IF($M581="C","실수익",IF($M581="I",INDEX('완료 체험단'!$H$4:$H$2000,$N581),IF($M581="T",INDEX($W$5:$W$16,$J581),""))))</f>
        <v/>
      </c>
      <c r="I581" s="31">
        <f>ROWS(I$5:I581)</f>
        <v>577</v>
      </c>
      <c r="J581" t="str">
        <f t="shared" ref="J581:J644" si="39">IF($I581&gt;$S$17,"",MATCH($I581-1,$S$5:$S$16,1))</f>
        <v/>
      </c>
      <c r="K581" t="str">
        <f t="shared" ref="K581:K644" si="40">IF($J581="","",$I581-INDEX($S$5:$S$16,$J581))</f>
        <v/>
      </c>
      <c r="L581" t="str">
        <f t="shared" ref="L581:L644" si="41">IF($J581="","",INDEX($Q$5:$Q$16,$J581))</f>
        <v/>
      </c>
      <c r="M581" t="str">
        <f t="shared" ref="M581:M644" si="42">IF($J581="","",IF($K581=1,"H",IF($L581=0,"S",IF($K581=2,"C",IF($K581&lt;=$L581+2,"I",IF($K581=$L581+3,"T","S"))))))</f>
        <v/>
      </c>
      <c r="N581" t="str">
        <f>IF($M581="I",MATCH(SMALL('완료 체험단'!$K$4:$K$2000,INDEX($T$5:$T$16,$J581)+$K581-2),'완료 체험단'!$K$4:$K$2000,0),"")</f>
        <v/>
      </c>
    </row>
    <row r="582" spans="2:14">
      <c r="B582" s="23" t="str">
        <f>IF($M582="H",$J582&amp;"월",IF($M582="C","매장명",IF($M582="I",INDEX('완료 체험단'!$A$4:$A$2000,$N582),IF($M582="T","합계",""))))</f>
        <v/>
      </c>
      <c r="C582" s="29" t="str">
        <f>IF($M582="H",$L582&amp;"건",IF($M582="C","사이트",IF($M582="I",INDEX('완료 체험단'!$C$4:$C$2000,$N582),IF($M582="T",$L582&amp;"건",""))))</f>
        <v/>
      </c>
      <c r="D582" s="30" t="str">
        <f>IF($M582="C","방문일",IF($M582="I",INDEX('완료 체험단'!$D$4:$D$2000,$N582),""))</f>
        <v/>
      </c>
      <c r="E582" s="25" t="str">
        <f>IF($M582="H","제공금액 "&amp;TEXT(INDEX($U$5:$U$16,$J582),"#,##0")&amp;"원",IF($M582="C","제공금액",IF($M582="I",INDEX('완료 체험단'!$F$4:$F$2000,$N582),IF($M582="T",INDEX($U$5:$U$16,$J582),""))))</f>
        <v/>
      </c>
      <c r="F582" s="25" t="str">
        <f>IF($M582="H","결제금액 "&amp;TEXT(INDEX($V$5:$V$16,$J582),"#,##0")&amp;"원",IF($M582="C","결제금액",IF($M582="I",INDEX('완료 체험단'!$G$4:$G$2000,$N582),IF($M582="T",INDEX($V$5:$V$16,$J582),""))))</f>
        <v/>
      </c>
      <c r="G582" s="25" t="str">
        <f>IF($M582="H","실수익 "&amp;TEXT(INDEX($W$5:$W$16,$J582),"#,##0")&amp;"원",IF($M582="C","실수익",IF($M582="I",INDEX('완료 체험단'!$H$4:$H$2000,$N582),IF($M582="T",INDEX($W$5:$W$16,$J582),""))))</f>
        <v/>
      </c>
      <c r="I582" s="31">
        <f>ROWS(I$5:I582)</f>
        <v>578</v>
      </c>
      <c r="J582" t="str">
        <f t="shared" si="39"/>
        <v/>
      </c>
      <c r="K582" t="str">
        <f t="shared" si="40"/>
        <v/>
      </c>
      <c r="L582" t="str">
        <f t="shared" si="41"/>
        <v/>
      </c>
      <c r="M582" t="str">
        <f t="shared" si="42"/>
        <v/>
      </c>
      <c r="N582" t="str">
        <f>IF($M582="I",MATCH(SMALL('완료 체험단'!$K$4:$K$2000,INDEX($T$5:$T$16,$J582)+$K582-2),'완료 체험단'!$K$4:$K$2000,0),"")</f>
        <v/>
      </c>
    </row>
    <row r="583" spans="2:14">
      <c r="B583" s="23" t="str">
        <f>IF($M583="H",$J583&amp;"월",IF($M583="C","매장명",IF($M583="I",INDEX('완료 체험단'!$A$4:$A$2000,$N583),IF($M583="T","합계",""))))</f>
        <v/>
      </c>
      <c r="C583" s="29" t="str">
        <f>IF($M583="H",$L583&amp;"건",IF($M583="C","사이트",IF($M583="I",INDEX('완료 체험단'!$C$4:$C$2000,$N583),IF($M583="T",$L583&amp;"건",""))))</f>
        <v/>
      </c>
      <c r="D583" s="30" t="str">
        <f>IF($M583="C","방문일",IF($M583="I",INDEX('완료 체험단'!$D$4:$D$2000,$N583),""))</f>
        <v/>
      </c>
      <c r="E583" s="25" t="str">
        <f>IF($M583="H","제공금액 "&amp;TEXT(INDEX($U$5:$U$16,$J583),"#,##0")&amp;"원",IF($M583="C","제공금액",IF($M583="I",INDEX('완료 체험단'!$F$4:$F$2000,$N583),IF($M583="T",INDEX($U$5:$U$16,$J583),""))))</f>
        <v/>
      </c>
      <c r="F583" s="25" t="str">
        <f>IF($M583="H","결제금액 "&amp;TEXT(INDEX($V$5:$V$16,$J583),"#,##0")&amp;"원",IF($M583="C","결제금액",IF($M583="I",INDEX('완료 체험단'!$G$4:$G$2000,$N583),IF($M583="T",INDEX($V$5:$V$16,$J583),""))))</f>
        <v/>
      </c>
      <c r="G583" s="25" t="str">
        <f>IF($M583="H","실수익 "&amp;TEXT(INDEX($W$5:$W$16,$J583),"#,##0")&amp;"원",IF($M583="C","실수익",IF($M583="I",INDEX('완료 체험단'!$H$4:$H$2000,$N583),IF($M583="T",INDEX($W$5:$W$16,$J583),""))))</f>
        <v/>
      </c>
      <c r="I583" s="31">
        <f>ROWS(I$5:I583)</f>
        <v>579</v>
      </c>
      <c r="J583" t="str">
        <f t="shared" si="39"/>
        <v/>
      </c>
      <c r="K583" t="str">
        <f t="shared" si="40"/>
        <v/>
      </c>
      <c r="L583" t="str">
        <f t="shared" si="41"/>
        <v/>
      </c>
      <c r="M583" t="str">
        <f t="shared" si="42"/>
        <v/>
      </c>
      <c r="N583" t="str">
        <f>IF($M583="I",MATCH(SMALL('완료 체험단'!$K$4:$K$2000,INDEX($T$5:$T$16,$J583)+$K583-2),'완료 체험단'!$K$4:$K$2000,0),"")</f>
        <v/>
      </c>
    </row>
    <row r="584" spans="2:14">
      <c r="B584" s="23" t="str">
        <f>IF($M584="H",$J584&amp;"월",IF($M584="C","매장명",IF($M584="I",INDEX('완료 체험단'!$A$4:$A$2000,$N584),IF($M584="T","합계",""))))</f>
        <v/>
      </c>
      <c r="C584" s="29" t="str">
        <f>IF($M584="H",$L584&amp;"건",IF($M584="C","사이트",IF($M584="I",INDEX('완료 체험단'!$C$4:$C$2000,$N584),IF($M584="T",$L584&amp;"건",""))))</f>
        <v/>
      </c>
      <c r="D584" s="30" t="str">
        <f>IF($M584="C","방문일",IF($M584="I",INDEX('완료 체험단'!$D$4:$D$2000,$N584),""))</f>
        <v/>
      </c>
      <c r="E584" s="25" t="str">
        <f>IF($M584="H","제공금액 "&amp;TEXT(INDEX($U$5:$U$16,$J584),"#,##0")&amp;"원",IF($M584="C","제공금액",IF($M584="I",INDEX('완료 체험단'!$F$4:$F$2000,$N584),IF($M584="T",INDEX($U$5:$U$16,$J584),""))))</f>
        <v/>
      </c>
      <c r="F584" s="25" t="str">
        <f>IF($M584="H","결제금액 "&amp;TEXT(INDEX($V$5:$V$16,$J584),"#,##0")&amp;"원",IF($M584="C","결제금액",IF($M584="I",INDEX('완료 체험단'!$G$4:$G$2000,$N584),IF($M584="T",INDEX($V$5:$V$16,$J584),""))))</f>
        <v/>
      </c>
      <c r="G584" s="25" t="str">
        <f>IF($M584="H","실수익 "&amp;TEXT(INDEX($W$5:$W$16,$J584),"#,##0")&amp;"원",IF($M584="C","실수익",IF($M584="I",INDEX('완료 체험단'!$H$4:$H$2000,$N584),IF($M584="T",INDEX($W$5:$W$16,$J584),""))))</f>
        <v/>
      </c>
      <c r="I584" s="31">
        <f>ROWS(I$5:I584)</f>
        <v>580</v>
      </c>
      <c r="J584" t="str">
        <f t="shared" si="39"/>
        <v/>
      </c>
      <c r="K584" t="str">
        <f t="shared" si="40"/>
        <v/>
      </c>
      <c r="L584" t="str">
        <f t="shared" si="41"/>
        <v/>
      </c>
      <c r="M584" t="str">
        <f t="shared" si="42"/>
        <v/>
      </c>
      <c r="N584" t="str">
        <f>IF($M584="I",MATCH(SMALL('완료 체험단'!$K$4:$K$2000,INDEX($T$5:$T$16,$J584)+$K584-2),'완료 체험단'!$K$4:$K$2000,0),"")</f>
        <v/>
      </c>
    </row>
    <row r="585" spans="2:14">
      <c r="B585" s="23" t="str">
        <f>IF($M585="H",$J585&amp;"월",IF($M585="C","매장명",IF($M585="I",INDEX('완료 체험단'!$A$4:$A$2000,$N585),IF($M585="T","합계",""))))</f>
        <v/>
      </c>
      <c r="C585" s="29" t="str">
        <f>IF($M585="H",$L585&amp;"건",IF($M585="C","사이트",IF($M585="I",INDEX('완료 체험단'!$C$4:$C$2000,$N585),IF($M585="T",$L585&amp;"건",""))))</f>
        <v/>
      </c>
      <c r="D585" s="30" t="str">
        <f>IF($M585="C","방문일",IF($M585="I",INDEX('완료 체험단'!$D$4:$D$2000,$N585),""))</f>
        <v/>
      </c>
      <c r="E585" s="25" t="str">
        <f>IF($M585="H","제공금액 "&amp;TEXT(INDEX($U$5:$U$16,$J585),"#,##0")&amp;"원",IF($M585="C","제공금액",IF($M585="I",INDEX('완료 체험단'!$F$4:$F$2000,$N585),IF($M585="T",INDEX($U$5:$U$16,$J585),""))))</f>
        <v/>
      </c>
      <c r="F585" s="25" t="str">
        <f>IF($M585="H","결제금액 "&amp;TEXT(INDEX($V$5:$V$16,$J585),"#,##0")&amp;"원",IF($M585="C","결제금액",IF($M585="I",INDEX('완료 체험단'!$G$4:$G$2000,$N585),IF($M585="T",INDEX($V$5:$V$16,$J585),""))))</f>
        <v/>
      </c>
      <c r="G585" s="25" t="str">
        <f>IF($M585="H","실수익 "&amp;TEXT(INDEX($W$5:$W$16,$J585),"#,##0")&amp;"원",IF($M585="C","실수익",IF($M585="I",INDEX('완료 체험단'!$H$4:$H$2000,$N585),IF($M585="T",INDEX($W$5:$W$16,$J585),""))))</f>
        <v/>
      </c>
      <c r="I585" s="31">
        <f>ROWS(I$5:I585)</f>
        <v>581</v>
      </c>
      <c r="J585" t="str">
        <f t="shared" si="39"/>
        <v/>
      </c>
      <c r="K585" t="str">
        <f t="shared" si="40"/>
        <v/>
      </c>
      <c r="L585" t="str">
        <f t="shared" si="41"/>
        <v/>
      </c>
      <c r="M585" t="str">
        <f t="shared" si="42"/>
        <v/>
      </c>
      <c r="N585" t="str">
        <f>IF($M585="I",MATCH(SMALL('완료 체험단'!$K$4:$K$2000,INDEX($T$5:$T$16,$J585)+$K585-2),'완료 체험단'!$K$4:$K$2000,0),"")</f>
        <v/>
      </c>
    </row>
    <row r="586" spans="2:14">
      <c r="B586" s="23" t="str">
        <f>IF($M586="H",$J586&amp;"월",IF($M586="C","매장명",IF($M586="I",INDEX('완료 체험단'!$A$4:$A$2000,$N586),IF($M586="T","합계",""))))</f>
        <v/>
      </c>
      <c r="C586" s="29" t="str">
        <f>IF($M586="H",$L586&amp;"건",IF($M586="C","사이트",IF($M586="I",INDEX('완료 체험단'!$C$4:$C$2000,$N586),IF($M586="T",$L586&amp;"건",""))))</f>
        <v/>
      </c>
      <c r="D586" s="30" t="str">
        <f>IF($M586="C","방문일",IF($M586="I",INDEX('완료 체험단'!$D$4:$D$2000,$N586),""))</f>
        <v/>
      </c>
      <c r="E586" s="25" t="str">
        <f>IF($M586="H","제공금액 "&amp;TEXT(INDEX($U$5:$U$16,$J586),"#,##0")&amp;"원",IF($M586="C","제공금액",IF($M586="I",INDEX('완료 체험단'!$F$4:$F$2000,$N586),IF($M586="T",INDEX($U$5:$U$16,$J586),""))))</f>
        <v/>
      </c>
      <c r="F586" s="25" t="str">
        <f>IF($M586="H","결제금액 "&amp;TEXT(INDEX($V$5:$V$16,$J586),"#,##0")&amp;"원",IF($M586="C","결제금액",IF($M586="I",INDEX('완료 체험단'!$G$4:$G$2000,$N586),IF($M586="T",INDEX($V$5:$V$16,$J586),""))))</f>
        <v/>
      </c>
      <c r="G586" s="25" t="str">
        <f>IF($M586="H","실수익 "&amp;TEXT(INDEX($W$5:$W$16,$J586),"#,##0")&amp;"원",IF($M586="C","실수익",IF($M586="I",INDEX('완료 체험단'!$H$4:$H$2000,$N586),IF($M586="T",INDEX($W$5:$W$16,$J586),""))))</f>
        <v/>
      </c>
      <c r="I586" s="31">
        <f>ROWS(I$5:I586)</f>
        <v>582</v>
      </c>
      <c r="J586" t="str">
        <f t="shared" si="39"/>
        <v/>
      </c>
      <c r="K586" t="str">
        <f t="shared" si="40"/>
        <v/>
      </c>
      <c r="L586" t="str">
        <f t="shared" si="41"/>
        <v/>
      </c>
      <c r="M586" t="str">
        <f t="shared" si="42"/>
        <v/>
      </c>
      <c r="N586" t="str">
        <f>IF($M586="I",MATCH(SMALL('완료 체험단'!$K$4:$K$2000,INDEX($T$5:$T$16,$J586)+$K586-2),'완료 체험단'!$K$4:$K$2000,0),"")</f>
        <v/>
      </c>
    </row>
    <row r="587" spans="2:14">
      <c r="B587" s="23" t="str">
        <f>IF($M587="H",$J587&amp;"월",IF($M587="C","매장명",IF($M587="I",INDEX('완료 체험단'!$A$4:$A$2000,$N587),IF($M587="T","합계",""))))</f>
        <v/>
      </c>
      <c r="C587" s="29" t="str">
        <f>IF($M587="H",$L587&amp;"건",IF($M587="C","사이트",IF($M587="I",INDEX('완료 체험단'!$C$4:$C$2000,$N587),IF($M587="T",$L587&amp;"건",""))))</f>
        <v/>
      </c>
      <c r="D587" s="30" t="str">
        <f>IF($M587="C","방문일",IF($M587="I",INDEX('완료 체험단'!$D$4:$D$2000,$N587),""))</f>
        <v/>
      </c>
      <c r="E587" s="25" t="str">
        <f>IF($M587="H","제공금액 "&amp;TEXT(INDEX($U$5:$U$16,$J587),"#,##0")&amp;"원",IF($M587="C","제공금액",IF($M587="I",INDEX('완료 체험단'!$F$4:$F$2000,$N587),IF($M587="T",INDEX($U$5:$U$16,$J587),""))))</f>
        <v/>
      </c>
      <c r="F587" s="25" t="str">
        <f>IF($M587="H","결제금액 "&amp;TEXT(INDEX($V$5:$V$16,$J587),"#,##0")&amp;"원",IF($M587="C","결제금액",IF($M587="I",INDEX('완료 체험단'!$G$4:$G$2000,$N587),IF($M587="T",INDEX($V$5:$V$16,$J587),""))))</f>
        <v/>
      </c>
      <c r="G587" s="25" t="str">
        <f>IF($M587="H","실수익 "&amp;TEXT(INDEX($W$5:$W$16,$J587),"#,##0")&amp;"원",IF($M587="C","실수익",IF($M587="I",INDEX('완료 체험단'!$H$4:$H$2000,$N587),IF($M587="T",INDEX($W$5:$W$16,$J587),""))))</f>
        <v/>
      </c>
      <c r="I587" s="31">
        <f>ROWS(I$5:I587)</f>
        <v>583</v>
      </c>
      <c r="J587" t="str">
        <f t="shared" si="39"/>
        <v/>
      </c>
      <c r="K587" t="str">
        <f t="shared" si="40"/>
        <v/>
      </c>
      <c r="L587" t="str">
        <f t="shared" si="41"/>
        <v/>
      </c>
      <c r="M587" t="str">
        <f t="shared" si="42"/>
        <v/>
      </c>
      <c r="N587" t="str">
        <f>IF($M587="I",MATCH(SMALL('완료 체험단'!$K$4:$K$2000,INDEX($T$5:$T$16,$J587)+$K587-2),'완료 체험단'!$K$4:$K$2000,0),"")</f>
        <v/>
      </c>
    </row>
    <row r="588" spans="2:14">
      <c r="B588" s="23" t="str">
        <f>IF($M588="H",$J588&amp;"월",IF($M588="C","매장명",IF($M588="I",INDEX('완료 체험단'!$A$4:$A$2000,$N588),IF($M588="T","합계",""))))</f>
        <v/>
      </c>
      <c r="C588" s="29" t="str">
        <f>IF($M588="H",$L588&amp;"건",IF($M588="C","사이트",IF($M588="I",INDEX('완료 체험단'!$C$4:$C$2000,$N588),IF($M588="T",$L588&amp;"건",""))))</f>
        <v/>
      </c>
      <c r="D588" s="30" t="str">
        <f>IF($M588="C","방문일",IF($M588="I",INDEX('완료 체험단'!$D$4:$D$2000,$N588),""))</f>
        <v/>
      </c>
      <c r="E588" s="25" t="str">
        <f>IF($M588="H","제공금액 "&amp;TEXT(INDEX($U$5:$U$16,$J588),"#,##0")&amp;"원",IF($M588="C","제공금액",IF($M588="I",INDEX('완료 체험단'!$F$4:$F$2000,$N588),IF($M588="T",INDEX($U$5:$U$16,$J588),""))))</f>
        <v/>
      </c>
      <c r="F588" s="25" t="str">
        <f>IF($M588="H","결제금액 "&amp;TEXT(INDEX($V$5:$V$16,$J588),"#,##0")&amp;"원",IF($M588="C","결제금액",IF($M588="I",INDEX('완료 체험단'!$G$4:$G$2000,$N588),IF($M588="T",INDEX($V$5:$V$16,$J588),""))))</f>
        <v/>
      </c>
      <c r="G588" s="25" t="str">
        <f>IF($M588="H","실수익 "&amp;TEXT(INDEX($W$5:$W$16,$J588),"#,##0")&amp;"원",IF($M588="C","실수익",IF($M588="I",INDEX('완료 체험단'!$H$4:$H$2000,$N588),IF($M588="T",INDEX($W$5:$W$16,$J588),""))))</f>
        <v/>
      </c>
      <c r="I588" s="31">
        <f>ROWS(I$5:I588)</f>
        <v>584</v>
      </c>
      <c r="J588" t="str">
        <f t="shared" si="39"/>
        <v/>
      </c>
      <c r="K588" t="str">
        <f t="shared" si="40"/>
        <v/>
      </c>
      <c r="L588" t="str">
        <f t="shared" si="41"/>
        <v/>
      </c>
      <c r="M588" t="str">
        <f t="shared" si="42"/>
        <v/>
      </c>
      <c r="N588" t="str">
        <f>IF($M588="I",MATCH(SMALL('완료 체험단'!$K$4:$K$2000,INDEX($T$5:$T$16,$J588)+$K588-2),'완료 체험단'!$K$4:$K$2000,0),"")</f>
        <v/>
      </c>
    </row>
    <row r="589" spans="2:14">
      <c r="B589" s="23" t="str">
        <f>IF($M589="H",$J589&amp;"월",IF($M589="C","매장명",IF($M589="I",INDEX('완료 체험단'!$A$4:$A$2000,$N589),IF($M589="T","합계",""))))</f>
        <v/>
      </c>
      <c r="C589" s="29" t="str">
        <f>IF($M589="H",$L589&amp;"건",IF($M589="C","사이트",IF($M589="I",INDEX('완료 체험단'!$C$4:$C$2000,$N589),IF($M589="T",$L589&amp;"건",""))))</f>
        <v/>
      </c>
      <c r="D589" s="30" t="str">
        <f>IF($M589="C","방문일",IF($M589="I",INDEX('완료 체험단'!$D$4:$D$2000,$N589),""))</f>
        <v/>
      </c>
      <c r="E589" s="25" t="str">
        <f>IF($M589="H","제공금액 "&amp;TEXT(INDEX($U$5:$U$16,$J589),"#,##0")&amp;"원",IF($M589="C","제공금액",IF($M589="I",INDEX('완료 체험단'!$F$4:$F$2000,$N589),IF($M589="T",INDEX($U$5:$U$16,$J589),""))))</f>
        <v/>
      </c>
      <c r="F589" s="25" t="str">
        <f>IF($M589="H","결제금액 "&amp;TEXT(INDEX($V$5:$V$16,$J589),"#,##0")&amp;"원",IF($M589="C","결제금액",IF($M589="I",INDEX('완료 체험단'!$G$4:$G$2000,$N589),IF($M589="T",INDEX($V$5:$V$16,$J589),""))))</f>
        <v/>
      </c>
      <c r="G589" s="25" t="str">
        <f>IF($M589="H","실수익 "&amp;TEXT(INDEX($W$5:$W$16,$J589),"#,##0")&amp;"원",IF($M589="C","실수익",IF($M589="I",INDEX('완료 체험단'!$H$4:$H$2000,$N589),IF($M589="T",INDEX($W$5:$W$16,$J589),""))))</f>
        <v/>
      </c>
      <c r="I589" s="31">
        <f>ROWS(I$5:I589)</f>
        <v>585</v>
      </c>
      <c r="J589" t="str">
        <f t="shared" si="39"/>
        <v/>
      </c>
      <c r="K589" t="str">
        <f t="shared" si="40"/>
        <v/>
      </c>
      <c r="L589" t="str">
        <f t="shared" si="41"/>
        <v/>
      </c>
      <c r="M589" t="str">
        <f t="shared" si="42"/>
        <v/>
      </c>
      <c r="N589" t="str">
        <f>IF($M589="I",MATCH(SMALL('완료 체험단'!$K$4:$K$2000,INDEX($T$5:$T$16,$J589)+$K589-2),'완료 체험단'!$K$4:$K$2000,0),"")</f>
        <v/>
      </c>
    </row>
    <row r="590" spans="2:14">
      <c r="B590" s="23" t="str">
        <f>IF($M590="H",$J590&amp;"월",IF($M590="C","매장명",IF($M590="I",INDEX('완료 체험단'!$A$4:$A$2000,$N590),IF($M590="T","합계",""))))</f>
        <v/>
      </c>
      <c r="C590" s="29" t="str">
        <f>IF($M590="H",$L590&amp;"건",IF($M590="C","사이트",IF($M590="I",INDEX('완료 체험단'!$C$4:$C$2000,$N590),IF($M590="T",$L590&amp;"건",""))))</f>
        <v/>
      </c>
      <c r="D590" s="30" t="str">
        <f>IF($M590="C","방문일",IF($M590="I",INDEX('완료 체험단'!$D$4:$D$2000,$N590),""))</f>
        <v/>
      </c>
      <c r="E590" s="25" t="str">
        <f>IF($M590="H","제공금액 "&amp;TEXT(INDEX($U$5:$U$16,$J590),"#,##0")&amp;"원",IF($M590="C","제공금액",IF($M590="I",INDEX('완료 체험단'!$F$4:$F$2000,$N590),IF($M590="T",INDEX($U$5:$U$16,$J590),""))))</f>
        <v/>
      </c>
      <c r="F590" s="25" t="str">
        <f>IF($M590="H","결제금액 "&amp;TEXT(INDEX($V$5:$V$16,$J590),"#,##0")&amp;"원",IF($M590="C","결제금액",IF($M590="I",INDEX('완료 체험단'!$G$4:$G$2000,$N590),IF($M590="T",INDEX($V$5:$V$16,$J590),""))))</f>
        <v/>
      </c>
      <c r="G590" s="25" t="str">
        <f>IF($M590="H","실수익 "&amp;TEXT(INDEX($W$5:$W$16,$J590),"#,##0")&amp;"원",IF($M590="C","실수익",IF($M590="I",INDEX('완료 체험단'!$H$4:$H$2000,$N590),IF($M590="T",INDEX($W$5:$W$16,$J590),""))))</f>
        <v/>
      </c>
      <c r="I590" s="31">
        <f>ROWS(I$5:I590)</f>
        <v>586</v>
      </c>
      <c r="J590" t="str">
        <f t="shared" si="39"/>
        <v/>
      </c>
      <c r="K590" t="str">
        <f t="shared" si="40"/>
        <v/>
      </c>
      <c r="L590" t="str">
        <f t="shared" si="41"/>
        <v/>
      </c>
      <c r="M590" t="str">
        <f t="shared" si="42"/>
        <v/>
      </c>
      <c r="N590" t="str">
        <f>IF($M590="I",MATCH(SMALL('완료 체험단'!$K$4:$K$2000,INDEX($T$5:$T$16,$J590)+$K590-2),'완료 체험단'!$K$4:$K$2000,0),"")</f>
        <v/>
      </c>
    </row>
    <row r="591" spans="2:14">
      <c r="B591" s="23" t="str">
        <f>IF($M591="H",$J591&amp;"월",IF($M591="C","매장명",IF($M591="I",INDEX('완료 체험단'!$A$4:$A$2000,$N591),IF($M591="T","합계",""))))</f>
        <v/>
      </c>
      <c r="C591" s="29" t="str">
        <f>IF($M591="H",$L591&amp;"건",IF($M591="C","사이트",IF($M591="I",INDEX('완료 체험단'!$C$4:$C$2000,$N591),IF($M591="T",$L591&amp;"건",""))))</f>
        <v/>
      </c>
      <c r="D591" s="30" t="str">
        <f>IF($M591="C","방문일",IF($M591="I",INDEX('완료 체험단'!$D$4:$D$2000,$N591),""))</f>
        <v/>
      </c>
      <c r="E591" s="25" t="str">
        <f>IF($M591="H","제공금액 "&amp;TEXT(INDEX($U$5:$U$16,$J591),"#,##0")&amp;"원",IF($M591="C","제공금액",IF($M591="I",INDEX('완료 체험단'!$F$4:$F$2000,$N591),IF($M591="T",INDEX($U$5:$U$16,$J591),""))))</f>
        <v/>
      </c>
      <c r="F591" s="25" t="str">
        <f>IF($M591="H","결제금액 "&amp;TEXT(INDEX($V$5:$V$16,$J591),"#,##0")&amp;"원",IF($M591="C","결제금액",IF($M591="I",INDEX('완료 체험단'!$G$4:$G$2000,$N591),IF($M591="T",INDEX($V$5:$V$16,$J591),""))))</f>
        <v/>
      </c>
      <c r="G591" s="25" t="str">
        <f>IF($M591="H","실수익 "&amp;TEXT(INDEX($W$5:$W$16,$J591),"#,##0")&amp;"원",IF($M591="C","실수익",IF($M591="I",INDEX('완료 체험단'!$H$4:$H$2000,$N591),IF($M591="T",INDEX($W$5:$W$16,$J591),""))))</f>
        <v/>
      </c>
      <c r="I591" s="31">
        <f>ROWS(I$5:I591)</f>
        <v>587</v>
      </c>
      <c r="J591" t="str">
        <f t="shared" si="39"/>
        <v/>
      </c>
      <c r="K591" t="str">
        <f t="shared" si="40"/>
        <v/>
      </c>
      <c r="L591" t="str">
        <f t="shared" si="41"/>
        <v/>
      </c>
      <c r="M591" t="str">
        <f t="shared" si="42"/>
        <v/>
      </c>
      <c r="N591" t="str">
        <f>IF($M591="I",MATCH(SMALL('완료 체험단'!$K$4:$K$2000,INDEX($T$5:$T$16,$J591)+$K591-2),'완료 체험단'!$K$4:$K$2000,0),"")</f>
        <v/>
      </c>
    </row>
    <row r="592" spans="2:14">
      <c r="B592" s="23" t="str">
        <f>IF($M592="H",$J592&amp;"월",IF($M592="C","매장명",IF($M592="I",INDEX('완료 체험단'!$A$4:$A$2000,$N592),IF($M592="T","합계",""))))</f>
        <v/>
      </c>
      <c r="C592" s="29" t="str">
        <f>IF($M592="H",$L592&amp;"건",IF($M592="C","사이트",IF($M592="I",INDEX('완료 체험단'!$C$4:$C$2000,$N592),IF($M592="T",$L592&amp;"건",""))))</f>
        <v/>
      </c>
      <c r="D592" s="30" t="str">
        <f>IF($M592="C","방문일",IF($M592="I",INDEX('완료 체험단'!$D$4:$D$2000,$N592),""))</f>
        <v/>
      </c>
      <c r="E592" s="25" t="str">
        <f>IF($M592="H","제공금액 "&amp;TEXT(INDEX($U$5:$U$16,$J592),"#,##0")&amp;"원",IF($M592="C","제공금액",IF($M592="I",INDEX('완료 체험단'!$F$4:$F$2000,$N592),IF($M592="T",INDEX($U$5:$U$16,$J592),""))))</f>
        <v/>
      </c>
      <c r="F592" s="25" t="str">
        <f>IF($M592="H","결제금액 "&amp;TEXT(INDEX($V$5:$V$16,$J592),"#,##0")&amp;"원",IF($M592="C","결제금액",IF($M592="I",INDEX('완료 체험단'!$G$4:$G$2000,$N592),IF($M592="T",INDEX($V$5:$V$16,$J592),""))))</f>
        <v/>
      </c>
      <c r="G592" s="25" t="str">
        <f>IF($M592="H","실수익 "&amp;TEXT(INDEX($W$5:$W$16,$J592),"#,##0")&amp;"원",IF($M592="C","실수익",IF($M592="I",INDEX('완료 체험단'!$H$4:$H$2000,$N592),IF($M592="T",INDEX($W$5:$W$16,$J592),""))))</f>
        <v/>
      </c>
      <c r="I592" s="31">
        <f>ROWS(I$5:I592)</f>
        <v>588</v>
      </c>
      <c r="J592" t="str">
        <f t="shared" si="39"/>
        <v/>
      </c>
      <c r="K592" t="str">
        <f t="shared" si="40"/>
        <v/>
      </c>
      <c r="L592" t="str">
        <f t="shared" si="41"/>
        <v/>
      </c>
      <c r="M592" t="str">
        <f t="shared" si="42"/>
        <v/>
      </c>
      <c r="N592" t="str">
        <f>IF($M592="I",MATCH(SMALL('완료 체험단'!$K$4:$K$2000,INDEX($T$5:$T$16,$J592)+$K592-2),'완료 체험단'!$K$4:$K$2000,0),"")</f>
        <v/>
      </c>
    </row>
    <row r="593" spans="2:14">
      <c r="B593" s="23" t="str">
        <f>IF($M593="H",$J593&amp;"월",IF($M593="C","매장명",IF($M593="I",INDEX('완료 체험단'!$A$4:$A$2000,$N593),IF($M593="T","합계",""))))</f>
        <v/>
      </c>
      <c r="C593" s="29" t="str">
        <f>IF($M593="H",$L593&amp;"건",IF($M593="C","사이트",IF($M593="I",INDEX('완료 체험단'!$C$4:$C$2000,$N593),IF($M593="T",$L593&amp;"건",""))))</f>
        <v/>
      </c>
      <c r="D593" s="30" t="str">
        <f>IF($M593="C","방문일",IF($M593="I",INDEX('완료 체험단'!$D$4:$D$2000,$N593),""))</f>
        <v/>
      </c>
      <c r="E593" s="25" t="str">
        <f>IF($M593="H","제공금액 "&amp;TEXT(INDEX($U$5:$U$16,$J593),"#,##0")&amp;"원",IF($M593="C","제공금액",IF($M593="I",INDEX('완료 체험단'!$F$4:$F$2000,$N593),IF($M593="T",INDEX($U$5:$U$16,$J593),""))))</f>
        <v/>
      </c>
      <c r="F593" s="25" t="str">
        <f>IF($M593="H","결제금액 "&amp;TEXT(INDEX($V$5:$V$16,$J593),"#,##0")&amp;"원",IF($M593="C","결제금액",IF($M593="I",INDEX('완료 체험단'!$G$4:$G$2000,$N593),IF($M593="T",INDEX($V$5:$V$16,$J593),""))))</f>
        <v/>
      </c>
      <c r="G593" s="25" t="str">
        <f>IF($M593="H","실수익 "&amp;TEXT(INDEX($W$5:$W$16,$J593),"#,##0")&amp;"원",IF($M593="C","실수익",IF($M593="I",INDEX('완료 체험단'!$H$4:$H$2000,$N593),IF($M593="T",INDEX($W$5:$W$16,$J593),""))))</f>
        <v/>
      </c>
      <c r="I593" s="31">
        <f>ROWS(I$5:I593)</f>
        <v>589</v>
      </c>
      <c r="J593" t="str">
        <f t="shared" si="39"/>
        <v/>
      </c>
      <c r="K593" t="str">
        <f t="shared" si="40"/>
        <v/>
      </c>
      <c r="L593" t="str">
        <f t="shared" si="41"/>
        <v/>
      </c>
      <c r="M593" t="str">
        <f t="shared" si="42"/>
        <v/>
      </c>
      <c r="N593" t="str">
        <f>IF($M593="I",MATCH(SMALL('완료 체험단'!$K$4:$K$2000,INDEX($T$5:$T$16,$J593)+$K593-2),'완료 체험단'!$K$4:$K$2000,0),"")</f>
        <v/>
      </c>
    </row>
    <row r="594" spans="2:14">
      <c r="B594" s="23" t="str">
        <f>IF($M594="H",$J594&amp;"월",IF($M594="C","매장명",IF($M594="I",INDEX('완료 체험단'!$A$4:$A$2000,$N594),IF($M594="T","합계",""))))</f>
        <v/>
      </c>
      <c r="C594" s="29" t="str">
        <f>IF($M594="H",$L594&amp;"건",IF($M594="C","사이트",IF($M594="I",INDEX('완료 체험단'!$C$4:$C$2000,$N594),IF($M594="T",$L594&amp;"건",""))))</f>
        <v/>
      </c>
      <c r="D594" s="30" t="str">
        <f>IF($M594="C","방문일",IF($M594="I",INDEX('완료 체험단'!$D$4:$D$2000,$N594),""))</f>
        <v/>
      </c>
      <c r="E594" s="25" t="str">
        <f>IF($M594="H","제공금액 "&amp;TEXT(INDEX($U$5:$U$16,$J594),"#,##0")&amp;"원",IF($M594="C","제공금액",IF($M594="I",INDEX('완료 체험단'!$F$4:$F$2000,$N594),IF($M594="T",INDEX($U$5:$U$16,$J594),""))))</f>
        <v/>
      </c>
      <c r="F594" s="25" t="str">
        <f>IF($M594="H","결제금액 "&amp;TEXT(INDEX($V$5:$V$16,$J594),"#,##0")&amp;"원",IF($M594="C","결제금액",IF($M594="I",INDEX('완료 체험단'!$G$4:$G$2000,$N594),IF($M594="T",INDEX($V$5:$V$16,$J594),""))))</f>
        <v/>
      </c>
      <c r="G594" s="25" t="str">
        <f>IF($M594="H","실수익 "&amp;TEXT(INDEX($W$5:$W$16,$J594),"#,##0")&amp;"원",IF($M594="C","실수익",IF($M594="I",INDEX('완료 체험단'!$H$4:$H$2000,$N594),IF($M594="T",INDEX($W$5:$W$16,$J594),""))))</f>
        <v/>
      </c>
      <c r="I594" s="31">
        <f>ROWS(I$5:I594)</f>
        <v>590</v>
      </c>
      <c r="J594" t="str">
        <f t="shared" si="39"/>
        <v/>
      </c>
      <c r="K594" t="str">
        <f t="shared" si="40"/>
        <v/>
      </c>
      <c r="L594" t="str">
        <f t="shared" si="41"/>
        <v/>
      </c>
      <c r="M594" t="str">
        <f t="shared" si="42"/>
        <v/>
      </c>
      <c r="N594" t="str">
        <f>IF($M594="I",MATCH(SMALL('완료 체험단'!$K$4:$K$2000,INDEX($T$5:$T$16,$J594)+$K594-2),'완료 체험단'!$K$4:$K$2000,0),"")</f>
        <v/>
      </c>
    </row>
    <row r="595" spans="2:14">
      <c r="B595" s="23" t="str">
        <f>IF($M595="H",$J595&amp;"월",IF($M595="C","매장명",IF($M595="I",INDEX('완료 체험단'!$A$4:$A$2000,$N595),IF($M595="T","합계",""))))</f>
        <v/>
      </c>
      <c r="C595" s="29" t="str">
        <f>IF($M595="H",$L595&amp;"건",IF($M595="C","사이트",IF($M595="I",INDEX('완료 체험단'!$C$4:$C$2000,$N595),IF($M595="T",$L595&amp;"건",""))))</f>
        <v/>
      </c>
      <c r="D595" s="30" t="str">
        <f>IF($M595="C","방문일",IF($M595="I",INDEX('완료 체험단'!$D$4:$D$2000,$N595),""))</f>
        <v/>
      </c>
      <c r="E595" s="25" t="str">
        <f>IF($M595="H","제공금액 "&amp;TEXT(INDEX($U$5:$U$16,$J595),"#,##0")&amp;"원",IF($M595="C","제공금액",IF($M595="I",INDEX('완료 체험단'!$F$4:$F$2000,$N595),IF($M595="T",INDEX($U$5:$U$16,$J595),""))))</f>
        <v/>
      </c>
      <c r="F595" s="25" t="str">
        <f>IF($M595="H","결제금액 "&amp;TEXT(INDEX($V$5:$V$16,$J595),"#,##0")&amp;"원",IF($M595="C","결제금액",IF($M595="I",INDEX('완료 체험단'!$G$4:$G$2000,$N595),IF($M595="T",INDEX($V$5:$V$16,$J595),""))))</f>
        <v/>
      </c>
      <c r="G595" s="25" t="str">
        <f>IF($M595="H","실수익 "&amp;TEXT(INDEX($W$5:$W$16,$J595),"#,##0")&amp;"원",IF($M595="C","실수익",IF($M595="I",INDEX('완료 체험단'!$H$4:$H$2000,$N595),IF($M595="T",INDEX($W$5:$W$16,$J595),""))))</f>
        <v/>
      </c>
      <c r="I595" s="31">
        <f>ROWS(I$5:I595)</f>
        <v>591</v>
      </c>
      <c r="J595" t="str">
        <f t="shared" si="39"/>
        <v/>
      </c>
      <c r="K595" t="str">
        <f t="shared" si="40"/>
        <v/>
      </c>
      <c r="L595" t="str">
        <f t="shared" si="41"/>
        <v/>
      </c>
      <c r="M595" t="str">
        <f t="shared" si="42"/>
        <v/>
      </c>
      <c r="N595" t="str">
        <f>IF($M595="I",MATCH(SMALL('완료 체험단'!$K$4:$K$2000,INDEX($T$5:$T$16,$J595)+$K595-2),'완료 체험단'!$K$4:$K$2000,0),"")</f>
        <v/>
      </c>
    </row>
    <row r="596" spans="2:14">
      <c r="B596" s="23" t="str">
        <f>IF($M596="H",$J596&amp;"월",IF($M596="C","매장명",IF($M596="I",INDEX('완료 체험단'!$A$4:$A$2000,$N596),IF($M596="T","합계",""))))</f>
        <v/>
      </c>
      <c r="C596" s="29" t="str">
        <f>IF($M596="H",$L596&amp;"건",IF($M596="C","사이트",IF($M596="I",INDEX('완료 체험단'!$C$4:$C$2000,$N596),IF($M596="T",$L596&amp;"건",""))))</f>
        <v/>
      </c>
      <c r="D596" s="30" t="str">
        <f>IF($M596="C","방문일",IF($M596="I",INDEX('완료 체험단'!$D$4:$D$2000,$N596),""))</f>
        <v/>
      </c>
      <c r="E596" s="25" t="str">
        <f>IF($M596="H","제공금액 "&amp;TEXT(INDEX($U$5:$U$16,$J596),"#,##0")&amp;"원",IF($M596="C","제공금액",IF($M596="I",INDEX('완료 체험단'!$F$4:$F$2000,$N596),IF($M596="T",INDEX($U$5:$U$16,$J596),""))))</f>
        <v/>
      </c>
      <c r="F596" s="25" t="str">
        <f>IF($M596="H","결제금액 "&amp;TEXT(INDEX($V$5:$V$16,$J596),"#,##0")&amp;"원",IF($M596="C","결제금액",IF($M596="I",INDEX('완료 체험단'!$G$4:$G$2000,$N596),IF($M596="T",INDEX($V$5:$V$16,$J596),""))))</f>
        <v/>
      </c>
      <c r="G596" s="25" t="str">
        <f>IF($M596="H","실수익 "&amp;TEXT(INDEX($W$5:$W$16,$J596),"#,##0")&amp;"원",IF($M596="C","실수익",IF($M596="I",INDEX('완료 체험단'!$H$4:$H$2000,$N596),IF($M596="T",INDEX($W$5:$W$16,$J596),""))))</f>
        <v/>
      </c>
      <c r="I596" s="31">
        <f>ROWS(I$5:I596)</f>
        <v>592</v>
      </c>
      <c r="J596" t="str">
        <f t="shared" si="39"/>
        <v/>
      </c>
      <c r="K596" t="str">
        <f t="shared" si="40"/>
        <v/>
      </c>
      <c r="L596" t="str">
        <f t="shared" si="41"/>
        <v/>
      </c>
      <c r="M596" t="str">
        <f t="shared" si="42"/>
        <v/>
      </c>
      <c r="N596" t="str">
        <f>IF($M596="I",MATCH(SMALL('완료 체험단'!$K$4:$K$2000,INDEX($T$5:$T$16,$J596)+$K596-2),'완료 체험단'!$K$4:$K$2000,0),"")</f>
        <v/>
      </c>
    </row>
    <row r="597" spans="2:14">
      <c r="B597" s="23" t="str">
        <f>IF($M597="H",$J597&amp;"월",IF($M597="C","매장명",IF($M597="I",INDEX('완료 체험단'!$A$4:$A$2000,$N597),IF($M597="T","합계",""))))</f>
        <v/>
      </c>
      <c r="C597" s="29" t="str">
        <f>IF($M597="H",$L597&amp;"건",IF($M597="C","사이트",IF($M597="I",INDEX('완료 체험단'!$C$4:$C$2000,$N597),IF($M597="T",$L597&amp;"건",""))))</f>
        <v/>
      </c>
      <c r="D597" s="30" t="str">
        <f>IF($M597="C","방문일",IF($M597="I",INDEX('완료 체험단'!$D$4:$D$2000,$N597),""))</f>
        <v/>
      </c>
      <c r="E597" s="25" t="str">
        <f>IF($M597="H","제공금액 "&amp;TEXT(INDEX($U$5:$U$16,$J597),"#,##0")&amp;"원",IF($M597="C","제공금액",IF($M597="I",INDEX('완료 체험단'!$F$4:$F$2000,$N597),IF($M597="T",INDEX($U$5:$U$16,$J597),""))))</f>
        <v/>
      </c>
      <c r="F597" s="25" t="str">
        <f>IF($M597="H","결제금액 "&amp;TEXT(INDEX($V$5:$V$16,$J597),"#,##0")&amp;"원",IF($M597="C","결제금액",IF($M597="I",INDEX('완료 체험단'!$G$4:$G$2000,$N597),IF($M597="T",INDEX($V$5:$V$16,$J597),""))))</f>
        <v/>
      </c>
      <c r="G597" s="25" t="str">
        <f>IF($M597="H","실수익 "&amp;TEXT(INDEX($W$5:$W$16,$J597),"#,##0")&amp;"원",IF($M597="C","실수익",IF($M597="I",INDEX('완료 체험단'!$H$4:$H$2000,$N597),IF($M597="T",INDEX($W$5:$W$16,$J597),""))))</f>
        <v/>
      </c>
      <c r="I597" s="31">
        <f>ROWS(I$5:I597)</f>
        <v>593</v>
      </c>
      <c r="J597" t="str">
        <f t="shared" si="39"/>
        <v/>
      </c>
      <c r="K597" t="str">
        <f t="shared" si="40"/>
        <v/>
      </c>
      <c r="L597" t="str">
        <f t="shared" si="41"/>
        <v/>
      </c>
      <c r="M597" t="str">
        <f t="shared" si="42"/>
        <v/>
      </c>
      <c r="N597" t="str">
        <f>IF($M597="I",MATCH(SMALL('완료 체험단'!$K$4:$K$2000,INDEX($T$5:$T$16,$J597)+$K597-2),'완료 체험단'!$K$4:$K$2000,0),"")</f>
        <v/>
      </c>
    </row>
    <row r="598" spans="2:14">
      <c r="B598" s="23" t="str">
        <f>IF($M598="H",$J598&amp;"월",IF($M598="C","매장명",IF($M598="I",INDEX('완료 체험단'!$A$4:$A$2000,$N598),IF($M598="T","합계",""))))</f>
        <v/>
      </c>
      <c r="C598" s="29" t="str">
        <f>IF($M598="H",$L598&amp;"건",IF($M598="C","사이트",IF($M598="I",INDEX('완료 체험단'!$C$4:$C$2000,$N598),IF($M598="T",$L598&amp;"건",""))))</f>
        <v/>
      </c>
      <c r="D598" s="30" t="str">
        <f>IF($M598="C","방문일",IF($M598="I",INDEX('완료 체험단'!$D$4:$D$2000,$N598),""))</f>
        <v/>
      </c>
      <c r="E598" s="25" t="str">
        <f>IF($M598="H","제공금액 "&amp;TEXT(INDEX($U$5:$U$16,$J598),"#,##0")&amp;"원",IF($M598="C","제공금액",IF($M598="I",INDEX('완료 체험단'!$F$4:$F$2000,$N598),IF($M598="T",INDEX($U$5:$U$16,$J598),""))))</f>
        <v/>
      </c>
      <c r="F598" s="25" t="str">
        <f>IF($M598="H","결제금액 "&amp;TEXT(INDEX($V$5:$V$16,$J598),"#,##0")&amp;"원",IF($M598="C","결제금액",IF($M598="I",INDEX('완료 체험단'!$G$4:$G$2000,$N598),IF($M598="T",INDEX($V$5:$V$16,$J598),""))))</f>
        <v/>
      </c>
      <c r="G598" s="25" t="str">
        <f>IF($M598="H","실수익 "&amp;TEXT(INDEX($W$5:$W$16,$J598),"#,##0")&amp;"원",IF($M598="C","실수익",IF($M598="I",INDEX('완료 체험단'!$H$4:$H$2000,$N598),IF($M598="T",INDEX($W$5:$W$16,$J598),""))))</f>
        <v/>
      </c>
      <c r="I598" s="31">
        <f>ROWS(I$5:I598)</f>
        <v>594</v>
      </c>
      <c r="J598" t="str">
        <f t="shared" si="39"/>
        <v/>
      </c>
      <c r="K598" t="str">
        <f t="shared" si="40"/>
        <v/>
      </c>
      <c r="L598" t="str">
        <f t="shared" si="41"/>
        <v/>
      </c>
      <c r="M598" t="str">
        <f t="shared" si="42"/>
        <v/>
      </c>
      <c r="N598" t="str">
        <f>IF($M598="I",MATCH(SMALL('완료 체험단'!$K$4:$K$2000,INDEX($T$5:$T$16,$J598)+$K598-2),'완료 체험단'!$K$4:$K$2000,0),"")</f>
        <v/>
      </c>
    </row>
    <row r="599" spans="2:14">
      <c r="B599" s="23" t="str">
        <f>IF($M599="H",$J599&amp;"월",IF($M599="C","매장명",IF($M599="I",INDEX('완료 체험단'!$A$4:$A$2000,$N599),IF($M599="T","합계",""))))</f>
        <v/>
      </c>
      <c r="C599" s="29" t="str">
        <f>IF($M599="H",$L599&amp;"건",IF($M599="C","사이트",IF($M599="I",INDEX('완료 체험단'!$C$4:$C$2000,$N599),IF($M599="T",$L599&amp;"건",""))))</f>
        <v/>
      </c>
      <c r="D599" s="30" t="str">
        <f>IF($M599="C","방문일",IF($M599="I",INDEX('완료 체험단'!$D$4:$D$2000,$N599),""))</f>
        <v/>
      </c>
      <c r="E599" s="25" t="str">
        <f>IF($M599="H","제공금액 "&amp;TEXT(INDEX($U$5:$U$16,$J599),"#,##0")&amp;"원",IF($M599="C","제공금액",IF($M599="I",INDEX('완료 체험단'!$F$4:$F$2000,$N599),IF($M599="T",INDEX($U$5:$U$16,$J599),""))))</f>
        <v/>
      </c>
      <c r="F599" s="25" t="str">
        <f>IF($M599="H","결제금액 "&amp;TEXT(INDEX($V$5:$V$16,$J599),"#,##0")&amp;"원",IF($M599="C","결제금액",IF($M599="I",INDEX('완료 체험단'!$G$4:$G$2000,$N599),IF($M599="T",INDEX($V$5:$V$16,$J599),""))))</f>
        <v/>
      </c>
      <c r="G599" s="25" t="str">
        <f>IF($M599="H","실수익 "&amp;TEXT(INDEX($W$5:$W$16,$J599),"#,##0")&amp;"원",IF($M599="C","실수익",IF($M599="I",INDEX('완료 체험단'!$H$4:$H$2000,$N599),IF($M599="T",INDEX($W$5:$W$16,$J599),""))))</f>
        <v/>
      </c>
      <c r="I599" s="31">
        <f>ROWS(I$5:I599)</f>
        <v>595</v>
      </c>
      <c r="J599" t="str">
        <f t="shared" si="39"/>
        <v/>
      </c>
      <c r="K599" t="str">
        <f t="shared" si="40"/>
        <v/>
      </c>
      <c r="L599" t="str">
        <f t="shared" si="41"/>
        <v/>
      </c>
      <c r="M599" t="str">
        <f t="shared" si="42"/>
        <v/>
      </c>
      <c r="N599" t="str">
        <f>IF($M599="I",MATCH(SMALL('완료 체험단'!$K$4:$K$2000,INDEX($T$5:$T$16,$J599)+$K599-2),'완료 체험단'!$K$4:$K$2000,0),"")</f>
        <v/>
      </c>
    </row>
    <row r="600" spans="2:14">
      <c r="B600" s="23" t="str">
        <f>IF($M600="H",$J600&amp;"월",IF($M600="C","매장명",IF($M600="I",INDEX('완료 체험단'!$A$4:$A$2000,$N600),IF($M600="T","합계",""))))</f>
        <v/>
      </c>
      <c r="C600" s="29" t="str">
        <f>IF($M600="H",$L600&amp;"건",IF($M600="C","사이트",IF($M600="I",INDEX('완료 체험단'!$C$4:$C$2000,$N600),IF($M600="T",$L600&amp;"건",""))))</f>
        <v/>
      </c>
      <c r="D600" s="30" t="str">
        <f>IF($M600="C","방문일",IF($M600="I",INDEX('완료 체험단'!$D$4:$D$2000,$N600),""))</f>
        <v/>
      </c>
      <c r="E600" s="25" t="str">
        <f>IF($M600="H","제공금액 "&amp;TEXT(INDEX($U$5:$U$16,$J600),"#,##0")&amp;"원",IF($M600="C","제공금액",IF($M600="I",INDEX('완료 체험단'!$F$4:$F$2000,$N600),IF($M600="T",INDEX($U$5:$U$16,$J600),""))))</f>
        <v/>
      </c>
      <c r="F600" s="25" t="str">
        <f>IF($M600="H","결제금액 "&amp;TEXT(INDEX($V$5:$V$16,$J600),"#,##0")&amp;"원",IF($M600="C","결제금액",IF($M600="I",INDEX('완료 체험단'!$G$4:$G$2000,$N600),IF($M600="T",INDEX($V$5:$V$16,$J600),""))))</f>
        <v/>
      </c>
      <c r="G600" s="25" t="str">
        <f>IF($M600="H","실수익 "&amp;TEXT(INDEX($W$5:$W$16,$J600),"#,##0")&amp;"원",IF($M600="C","실수익",IF($M600="I",INDEX('완료 체험단'!$H$4:$H$2000,$N600),IF($M600="T",INDEX($W$5:$W$16,$J600),""))))</f>
        <v/>
      </c>
      <c r="I600" s="31">
        <f>ROWS(I$5:I600)</f>
        <v>596</v>
      </c>
      <c r="J600" t="str">
        <f t="shared" si="39"/>
        <v/>
      </c>
      <c r="K600" t="str">
        <f t="shared" si="40"/>
        <v/>
      </c>
      <c r="L600" t="str">
        <f t="shared" si="41"/>
        <v/>
      </c>
      <c r="M600" t="str">
        <f t="shared" si="42"/>
        <v/>
      </c>
      <c r="N600" t="str">
        <f>IF($M600="I",MATCH(SMALL('완료 체험단'!$K$4:$K$2000,INDEX($T$5:$T$16,$J600)+$K600-2),'완료 체험단'!$K$4:$K$2000,0),"")</f>
        <v/>
      </c>
    </row>
    <row r="601" spans="2:14">
      <c r="B601" s="23" t="str">
        <f>IF($M601="H",$J601&amp;"월",IF($M601="C","매장명",IF($M601="I",INDEX('완료 체험단'!$A$4:$A$2000,$N601),IF($M601="T","합계",""))))</f>
        <v/>
      </c>
      <c r="C601" s="29" t="str">
        <f>IF($M601="H",$L601&amp;"건",IF($M601="C","사이트",IF($M601="I",INDEX('완료 체험단'!$C$4:$C$2000,$N601),IF($M601="T",$L601&amp;"건",""))))</f>
        <v/>
      </c>
      <c r="D601" s="30" t="str">
        <f>IF($M601="C","방문일",IF($M601="I",INDEX('완료 체험단'!$D$4:$D$2000,$N601),""))</f>
        <v/>
      </c>
      <c r="E601" s="25" t="str">
        <f>IF($M601="H","제공금액 "&amp;TEXT(INDEX($U$5:$U$16,$J601),"#,##0")&amp;"원",IF($M601="C","제공금액",IF($M601="I",INDEX('완료 체험단'!$F$4:$F$2000,$N601),IF($M601="T",INDEX($U$5:$U$16,$J601),""))))</f>
        <v/>
      </c>
      <c r="F601" s="25" t="str">
        <f>IF($M601="H","결제금액 "&amp;TEXT(INDEX($V$5:$V$16,$J601),"#,##0")&amp;"원",IF($M601="C","결제금액",IF($M601="I",INDEX('완료 체험단'!$G$4:$G$2000,$N601),IF($M601="T",INDEX($V$5:$V$16,$J601),""))))</f>
        <v/>
      </c>
      <c r="G601" s="25" t="str">
        <f>IF($M601="H","실수익 "&amp;TEXT(INDEX($W$5:$W$16,$J601),"#,##0")&amp;"원",IF($M601="C","실수익",IF($M601="I",INDEX('완료 체험단'!$H$4:$H$2000,$N601),IF($M601="T",INDEX($W$5:$W$16,$J601),""))))</f>
        <v/>
      </c>
      <c r="I601" s="31">
        <f>ROWS(I$5:I601)</f>
        <v>597</v>
      </c>
      <c r="J601" t="str">
        <f t="shared" si="39"/>
        <v/>
      </c>
      <c r="K601" t="str">
        <f t="shared" si="40"/>
        <v/>
      </c>
      <c r="L601" t="str">
        <f t="shared" si="41"/>
        <v/>
      </c>
      <c r="M601" t="str">
        <f t="shared" si="42"/>
        <v/>
      </c>
      <c r="N601" t="str">
        <f>IF($M601="I",MATCH(SMALL('완료 체험단'!$K$4:$K$2000,INDEX($T$5:$T$16,$J601)+$K601-2),'완료 체험단'!$K$4:$K$2000,0),"")</f>
        <v/>
      </c>
    </row>
    <row r="602" spans="2:14">
      <c r="B602" s="23" t="str">
        <f>IF($M602="H",$J602&amp;"월",IF($M602="C","매장명",IF($M602="I",INDEX('완료 체험단'!$A$4:$A$2000,$N602),IF($M602="T","합계",""))))</f>
        <v/>
      </c>
      <c r="C602" s="29" t="str">
        <f>IF($M602="H",$L602&amp;"건",IF($M602="C","사이트",IF($M602="I",INDEX('완료 체험단'!$C$4:$C$2000,$N602),IF($M602="T",$L602&amp;"건",""))))</f>
        <v/>
      </c>
      <c r="D602" s="30" t="str">
        <f>IF($M602="C","방문일",IF($M602="I",INDEX('완료 체험단'!$D$4:$D$2000,$N602),""))</f>
        <v/>
      </c>
      <c r="E602" s="25" t="str">
        <f>IF($M602="H","제공금액 "&amp;TEXT(INDEX($U$5:$U$16,$J602),"#,##0")&amp;"원",IF($M602="C","제공금액",IF($M602="I",INDEX('완료 체험단'!$F$4:$F$2000,$N602),IF($M602="T",INDEX($U$5:$U$16,$J602),""))))</f>
        <v/>
      </c>
      <c r="F602" s="25" t="str">
        <f>IF($M602="H","결제금액 "&amp;TEXT(INDEX($V$5:$V$16,$J602),"#,##0")&amp;"원",IF($M602="C","결제금액",IF($M602="I",INDEX('완료 체험단'!$G$4:$G$2000,$N602),IF($M602="T",INDEX($V$5:$V$16,$J602),""))))</f>
        <v/>
      </c>
      <c r="G602" s="25" t="str">
        <f>IF($M602="H","실수익 "&amp;TEXT(INDEX($W$5:$W$16,$J602),"#,##0")&amp;"원",IF($M602="C","실수익",IF($M602="I",INDEX('완료 체험단'!$H$4:$H$2000,$N602),IF($M602="T",INDEX($W$5:$W$16,$J602),""))))</f>
        <v/>
      </c>
      <c r="I602" s="31">
        <f>ROWS(I$5:I602)</f>
        <v>598</v>
      </c>
      <c r="J602" t="str">
        <f t="shared" si="39"/>
        <v/>
      </c>
      <c r="K602" t="str">
        <f t="shared" si="40"/>
        <v/>
      </c>
      <c r="L602" t="str">
        <f t="shared" si="41"/>
        <v/>
      </c>
      <c r="M602" t="str">
        <f t="shared" si="42"/>
        <v/>
      </c>
      <c r="N602" t="str">
        <f>IF($M602="I",MATCH(SMALL('완료 체험단'!$K$4:$K$2000,INDEX($T$5:$T$16,$J602)+$K602-2),'완료 체험단'!$K$4:$K$2000,0),"")</f>
        <v/>
      </c>
    </row>
    <row r="603" spans="2:14">
      <c r="B603" s="23" t="str">
        <f>IF($M603="H",$J603&amp;"월",IF($M603="C","매장명",IF($M603="I",INDEX('완료 체험단'!$A$4:$A$2000,$N603),IF($M603="T","합계",""))))</f>
        <v/>
      </c>
      <c r="C603" s="29" t="str">
        <f>IF($M603="H",$L603&amp;"건",IF($M603="C","사이트",IF($M603="I",INDEX('완료 체험단'!$C$4:$C$2000,$N603),IF($M603="T",$L603&amp;"건",""))))</f>
        <v/>
      </c>
      <c r="D603" s="30" t="str">
        <f>IF($M603="C","방문일",IF($M603="I",INDEX('완료 체험단'!$D$4:$D$2000,$N603),""))</f>
        <v/>
      </c>
      <c r="E603" s="25" t="str">
        <f>IF($M603="H","제공금액 "&amp;TEXT(INDEX($U$5:$U$16,$J603),"#,##0")&amp;"원",IF($M603="C","제공금액",IF($M603="I",INDEX('완료 체험단'!$F$4:$F$2000,$N603),IF($M603="T",INDEX($U$5:$U$16,$J603),""))))</f>
        <v/>
      </c>
      <c r="F603" s="25" t="str">
        <f>IF($M603="H","결제금액 "&amp;TEXT(INDEX($V$5:$V$16,$J603),"#,##0")&amp;"원",IF($M603="C","결제금액",IF($M603="I",INDEX('완료 체험단'!$G$4:$G$2000,$N603),IF($M603="T",INDEX($V$5:$V$16,$J603),""))))</f>
        <v/>
      </c>
      <c r="G603" s="25" t="str">
        <f>IF($M603="H","실수익 "&amp;TEXT(INDEX($W$5:$W$16,$J603),"#,##0")&amp;"원",IF($M603="C","실수익",IF($M603="I",INDEX('완료 체험단'!$H$4:$H$2000,$N603),IF($M603="T",INDEX($W$5:$W$16,$J603),""))))</f>
        <v/>
      </c>
      <c r="I603" s="31">
        <f>ROWS(I$5:I603)</f>
        <v>599</v>
      </c>
      <c r="J603" t="str">
        <f t="shared" si="39"/>
        <v/>
      </c>
      <c r="K603" t="str">
        <f t="shared" si="40"/>
        <v/>
      </c>
      <c r="L603" t="str">
        <f t="shared" si="41"/>
        <v/>
      </c>
      <c r="M603" t="str">
        <f t="shared" si="42"/>
        <v/>
      </c>
      <c r="N603" t="str">
        <f>IF($M603="I",MATCH(SMALL('완료 체험단'!$K$4:$K$2000,INDEX($T$5:$T$16,$J603)+$K603-2),'완료 체험단'!$K$4:$K$2000,0),"")</f>
        <v/>
      </c>
    </row>
    <row r="604" spans="2:14">
      <c r="B604" s="23" t="str">
        <f>IF($M604="H",$J604&amp;"월",IF($M604="C","매장명",IF($M604="I",INDEX('완료 체험단'!$A$4:$A$2000,$N604),IF($M604="T","합계",""))))</f>
        <v/>
      </c>
      <c r="C604" s="29" t="str">
        <f>IF($M604="H",$L604&amp;"건",IF($M604="C","사이트",IF($M604="I",INDEX('완료 체험단'!$C$4:$C$2000,$N604),IF($M604="T",$L604&amp;"건",""))))</f>
        <v/>
      </c>
      <c r="D604" s="30" t="str">
        <f>IF($M604="C","방문일",IF($M604="I",INDEX('완료 체험단'!$D$4:$D$2000,$N604),""))</f>
        <v/>
      </c>
      <c r="E604" s="25" t="str">
        <f>IF($M604="H","제공금액 "&amp;TEXT(INDEX($U$5:$U$16,$J604),"#,##0")&amp;"원",IF($M604="C","제공금액",IF($M604="I",INDEX('완료 체험단'!$F$4:$F$2000,$N604),IF($M604="T",INDEX($U$5:$U$16,$J604),""))))</f>
        <v/>
      </c>
      <c r="F604" s="25" t="str">
        <f>IF($M604="H","결제금액 "&amp;TEXT(INDEX($V$5:$V$16,$J604),"#,##0")&amp;"원",IF($M604="C","결제금액",IF($M604="I",INDEX('완료 체험단'!$G$4:$G$2000,$N604),IF($M604="T",INDEX($V$5:$V$16,$J604),""))))</f>
        <v/>
      </c>
      <c r="G604" s="25" t="str">
        <f>IF($M604="H","실수익 "&amp;TEXT(INDEX($W$5:$W$16,$J604),"#,##0")&amp;"원",IF($M604="C","실수익",IF($M604="I",INDEX('완료 체험단'!$H$4:$H$2000,$N604),IF($M604="T",INDEX($W$5:$W$16,$J604),""))))</f>
        <v/>
      </c>
      <c r="I604" s="31">
        <f>ROWS(I$5:I604)</f>
        <v>600</v>
      </c>
      <c r="J604" t="str">
        <f t="shared" si="39"/>
        <v/>
      </c>
      <c r="K604" t="str">
        <f t="shared" si="40"/>
        <v/>
      </c>
      <c r="L604" t="str">
        <f t="shared" si="41"/>
        <v/>
      </c>
      <c r="M604" t="str">
        <f t="shared" si="42"/>
        <v/>
      </c>
      <c r="N604" t="str">
        <f>IF($M604="I",MATCH(SMALL('완료 체험단'!$K$4:$K$2000,INDEX($T$5:$T$16,$J604)+$K604-2),'완료 체험단'!$K$4:$K$2000,0),"")</f>
        <v/>
      </c>
    </row>
    <row r="605" spans="2:14">
      <c r="B605" s="23" t="str">
        <f>IF($M605="H",$J605&amp;"월",IF($M605="C","매장명",IF($M605="I",INDEX('완료 체험단'!$A$4:$A$2000,$N605),IF($M605="T","합계",""))))</f>
        <v/>
      </c>
      <c r="C605" s="29" t="str">
        <f>IF($M605="H",$L605&amp;"건",IF($M605="C","사이트",IF($M605="I",INDEX('완료 체험단'!$C$4:$C$2000,$N605),IF($M605="T",$L605&amp;"건",""))))</f>
        <v/>
      </c>
      <c r="D605" s="30" t="str">
        <f>IF($M605="C","방문일",IF($M605="I",INDEX('완료 체험단'!$D$4:$D$2000,$N605),""))</f>
        <v/>
      </c>
      <c r="E605" s="25" t="str">
        <f>IF($M605="H","제공금액 "&amp;TEXT(INDEX($U$5:$U$16,$J605),"#,##0")&amp;"원",IF($M605="C","제공금액",IF($M605="I",INDEX('완료 체험단'!$F$4:$F$2000,$N605),IF($M605="T",INDEX($U$5:$U$16,$J605),""))))</f>
        <v/>
      </c>
      <c r="F605" s="25" t="str">
        <f>IF($M605="H","결제금액 "&amp;TEXT(INDEX($V$5:$V$16,$J605),"#,##0")&amp;"원",IF($M605="C","결제금액",IF($M605="I",INDEX('완료 체험단'!$G$4:$G$2000,$N605),IF($M605="T",INDEX($V$5:$V$16,$J605),""))))</f>
        <v/>
      </c>
      <c r="G605" s="25" t="str">
        <f>IF($M605="H","실수익 "&amp;TEXT(INDEX($W$5:$W$16,$J605),"#,##0")&amp;"원",IF($M605="C","실수익",IF($M605="I",INDEX('완료 체험단'!$H$4:$H$2000,$N605),IF($M605="T",INDEX($W$5:$W$16,$J605),""))))</f>
        <v/>
      </c>
      <c r="I605" s="31">
        <f>ROWS(I$5:I605)</f>
        <v>601</v>
      </c>
      <c r="J605" t="str">
        <f t="shared" si="39"/>
        <v/>
      </c>
      <c r="K605" t="str">
        <f t="shared" si="40"/>
        <v/>
      </c>
      <c r="L605" t="str">
        <f t="shared" si="41"/>
        <v/>
      </c>
      <c r="M605" t="str">
        <f t="shared" si="42"/>
        <v/>
      </c>
      <c r="N605" t="str">
        <f>IF($M605="I",MATCH(SMALL('완료 체험단'!$K$4:$K$2000,INDEX($T$5:$T$16,$J605)+$K605-2),'완료 체험단'!$K$4:$K$2000,0),"")</f>
        <v/>
      </c>
    </row>
    <row r="606" spans="2:14">
      <c r="B606" s="23" t="str">
        <f>IF($M606="H",$J606&amp;"월",IF($M606="C","매장명",IF($M606="I",INDEX('완료 체험단'!$A$4:$A$2000,$N606),IF($M606="T","합계",""))))</f>
        <v/>
      </c>
      <c r="C606" s="29" t="str">
        <f>IF($M606="H",$L606&amp;"건",IF($M606="C","사이트",IF($M606="I",INDEX('완료 체험단'!$C$4:$C$2000,$N606),IF($M606="T",$L606&amp;"건",""))))</f>
        <v/>
      </c>
      <c r="D606" s="30" t="str">
        <f>IF($M606="C","방문일",IF($M606="I",INDEX('완료 체험단'!$D$4:$D$2000,$N606),""))</f>
        <v/>
      </c>
      <c r="E606" s="25" t="str">
        <f>IF($M606="H","제공금액 "&amp;TEXT(INDEX($U$5:$U$16,$J606),"#,##0")&amp;"원",IF($M606="C","제공금액",IF($M606="I",INDEX('완료 체험단'!$F$4:$F$2000,$N606),IF($M606="T",INDEX($U$5:$U$16,$J606),""))))</f>
        <v/>
      </c>
      <c r="F606" s="25" t="str">
        <f>IF($M606="H","결제금액 "&amp;TEXT(INDEX($V$5:$V$16,$J606),"#,##0")&amp;"원",IF($M606="C","결제금액",IF($M606="I",INDEX('완료 체험단'!$G$4:$G$2000,$N606),IF($M606="T",INDEX($V$5:$V$16,$J606),""))))</f>
        <v/>
      </c>
      <c r="G606" s="25" t="str">
        <f>IF($M606="H","실수익 "&amp;TEXT(INDEX($W$5:$W$16,$J606),"#,##0")&amp;"원",IF($M606="C","실수익",IF($M606="I",INDEX('완료 체험단'!$H$4:$H$2000,$N606),IF($M606="T",INDEX($W$5:$W$16,$J606),""))))</f>
        <v/>
      </c>
      <c r="I606" s="31">
        <f>ROWS(I$5:I606)</f>
        <v>602</v>
      </c>
      <c r="J606" t="str">
        <f t="shared" si="39"/>
        <v/>
      </c>
      <c r="K606" t="str">
        <f t="shared" si="40"/>
        <v/>
      </c>
      <c r="L606" t="str">
        <f t="shared" si="41"/>
        <v/>
      </c>
      <c r="M606" t="str">
        <f t="shared" si="42"/>
        <v/>
      </c>
      <c r="N606" t="str">
        <f>IF($M606="I",MATCH(SMALL('완료 체험단'!$K$4:$K$2000,INDEX($T$5:$T$16,$J606)+$K606-2),'완료 체험단'!$K$4:$K$2000,0),"")</f>
        <v/>
      </c>
    </row>
    <row r="607" spans="2:14">
      <c r="B607" s="23" t="str">
        <f>IF($M607="H",$J607&amp;"월",IF($M607="C","매장명",IF($M607="I",INDEX('완료 체험단'!$A$4:$A$2000,$N607),IF($M607="T","합계",""))))</f>
        <v/>
      </c>
      <c r="C607" s="29" t="str">
        <f>IF($M607="H",$L607&amp;"건",IF($M607="C","사이트",IF($M607="I",INDEX('완료 체험단'!$C$4:$C$2000,$N607),IF($M607="T",$L607&amp;"건",""))))</f>
        <v/>
      </c>
      <c r="D607" s="30" t="str">
        <f>IF($M607="C","방문일",IF($M607="I",INDEX('완료 체험단'!$D$4:$D$2000,$N607),""))</f>
        <v/>
      </c>
      <c r="E607" s="25" t="str">
        <f>IF($M607="H","제공금액 "&amp;TEXT(INDEX($U$5:$U$16,$J607),"#,##0")&amp;"원",IF($M607="C","제공금액",IF($M607="I",INDEX('완료 체험단'!$F$4:$F$2000,$N607),IF($M607="T",INDEX($U$5:$U$16,$J607),""))))</f>
        <v/>
      </c>
      <c r="F607" s="25" t="str">
        <f>IF($M607="H","결제금액 "&amp;TEXT(INDEX($V$5:$V$16,$J607),"#,##0")&amp;"원",IF($M607="C","결제금액",IF($M607="I",INDEX('완료 체험단'!$G$4:$G$2000,$N607),IF($M607="T",INDEX($V$5:$V$16,$J607),""))))</f>
        <v/>
      </c>
      <c r="G607" s="25" t="str">
        <f>IF($M607="H","실수익 "&amp;TEXT(INDEX($W$5:$W$16,$J607),"#,##0")&amp;"원",IF($M607="C","실수익",IF($M607="I",INDEX('완료 체험단'!$H$4:$H$2000,$N607),IF($M607="T",INDEX($W$5:$W$16,$J607),""))))</f>
        <v/>
      </c>
      <c r="I607" s="31">
        <f>ROWS(I$5:I607)</f>
        <v>603</v>
      </c>
      <c r="J607" t="str">
        <f t="shared" si="39"/>
        <v/>
      </c>
      <c r="K607" t="str">
        <f t="shared" si="40"/>
        <v/>
      </c>
      <c r="L607" t="str">
        <f t="shared" si="41"/>
        <v/>
      </c>
      <c r="M607" t="str">
        <f t="shared" si="42"/>
        <v/>
      </c>
      <c r="N607" t="str">
        <f>IF($M607="I",MATCH(SMALL('완료 체험단'!$K$4:$K$2000,INDEX($T$5:$T$16,$J607)+$K607-2),'완료 체험단'!$K$4:$K$2000,0),"")</f>
        <v/>
      </c>
    </row>
    <row r="608" spans="2:14">
      <c r="B608" s="23" t="str">
        <f>IF($M608="H",$J608&amp;"월",IF($M608="C","매장명",IF($M608="I",INDEX('완료 체험단'!$A$4:$A$2000,$N608),IF($M608="T","합계",""))))</f>
        <v/>
      </c>
      <c r="C608" s="29" t="str">
        <f>IF($M608="H",$L608&amp;"건",IF($M608="C","사이트",IF($M608="I",INDEX('완료 체험단'!$C$4:$C$2000,$N608),IF($M608="T",$L608&amp;"건",""))))</f>
        <v/>
      </c>
      <c r="D608" s="30" t="str">
        <f>IF($M608="C","방문일",IF($M608="I",INDEX('완료 체험단'!$D$4:$D$2000,$N608),""))</f>
        <v/>
      </c>
      <c r="E608" s="25" t="str">
        <f>IF($M608="H","제공금액 "&amp;TEXT(INDEX($U$5:$U$16,$J608),"#,##0")&amp;"원",IF($M608="C","제공금액",IF($M608="I",INDEX('완료 체험단'!$F$4:$F$2000,$N608),IF($M608="T",INDEX($U$5:$U$16,$J608),""))))</f>
        <v/>
      </c>
      <c r="F608" s="25" t="str">
        <f>IF($M608="H","결제금액 "&amp;TEXT(INDEX($V$5:$V$16,$J608),"#,##0")&amp;"원",IF($M608="C","결제금액",IF($M608="I",INDEX('완료 체험단'!$G$4:$G$2000,$N608),IF($M608="T",INDEX($V$5:$V$16,$J608),""))))</f>
        <v/>
      </c>
      <c r="G608" s="25" t="str">
        <f>IF($M608="H","실수익 "&amp;TEXT(INDEX($W$5:$W$16,$J608),"#,##0")&amp;"원",IF($M608="C","실수익",IF($M608="I",INDEX('완료 체험단'!$H$4:$H$2000,$N608),IF($M608="T",INDEX($W$5:$W$16,$J608),""))))</f>
        <v/>
      </c>
      <c r="I608" s="31">
        <f>ROWS(I$5:I608)</f>
        <v>604</v>
      </c>
      <c r="J608" t="str">
        <f t="shared" si="39"/>
        <v/>
      </c>
      <c r="K608" t="str">
        <f t="shared" si="40"/>
        <v/>
      </c>
      <c r="L608" t="str">
        <f t="shared" si="41"/>
        <v/>
      </c>
      <c r="M608" t="str">
        <f t="shared" si="42"/>
        <v/>
      </c>
      <c r="N608" t="str">
        <f>IF($M608="I",MATCH(SMALL('완료 체험단'!$K$4:$K$2000,INDEX($T$5:$T$16,$J608)+$K608-2),'완료 체험단'!$K$4:$K$2000,0),"")</f>
        <v/>
      </c>
    </row>
    <row r="609" spans="2:14">
      <c r="B609" s="23" t="str">
        <f>IF($M609="H",$J609&amp;"월",IF($M609="C","매장명",IF($M609="I",INDEX('완료 체험단'!$A$4:$A$2000,$N609),IF($M609="T","합계",""))))</f>
        <v/>
      </c>
      <c r="C609" s="29" t="str">
        <f>IF($M609="H",$L609&amp;"건",IF($M609="C","사이트",IF($M609="I",INDEX('완료 체험단'!$C$4:$C$2000,$N609),IF($M609="T",$L609&amp;"건",""))))</f>
        <v/>
      </c>
      <c r="D609" s="30" t="str">
        <f>IF($M609="C","방문일",IF($M609="I",INDEX('완료 체험단'!$D$4:$D$2000,$N609),""))</f>
        <v/>
      </c>
      <c r="E609" s="25" t="str">
        <f>IF($M609="H","제공금액 "&amp;TEXT(INDEX($U$5:$U$16,$J609),"#,##0")&amp;"원",IF($M609="C","제공금액",IF($M609="I",INDEX('완료 체험단'!$F$4:$F$2000,$N609),IF($M609="T",INDEX($U$5:$U$16,$J609),""))))</f>
        <v/>
      </c>
      <c r="F609" s="25" t="str">
        <f>IF($M609="H","결제금액 "&amp;TEXT(INDEX($V$5:$V$16,$J609),"#,##0")&amp;"원",IF($M609="C","결제금액",IF($M609="I",INDEX('완료 체험단'!$G$4:$G$2000,$N609),IF($M609="T",INDEX($V$5:$V$16,$J609),""))))</f>
        <v/>
      </c>
      <c r="G609" s="25" t="str">
        <f>IF($M609="H","실수익 "&amp;TEXT(INDEX($W$5:$W$16,$J609),"#,##0")&amp;"원",IF($M609="C","실수익",IF($M609="I",INDEX('완료 체험단'!$H$4:$H$2000,$N609),IF($M609="T",INDEX($W$5:$W$16,$J609),""))))</f>
        <v/>
      </c>
      <c r="I609" s="31">
        <f>ROWS(I$5:I609)</f>
        <v>605</v>
      </c>
      <c r="J609" t="str">
        <f t="shared" si="39"/>
        <v/>
      </c>
      <c r="K609" t="str">
        <f t="shared" si="40"/>
        <v/>
      </c>
      <c r="L609" t="str">
        <f t="shared" si="41"/>
        <v/>
      </c>
      <c r="M609" t="str">
        <f t="shared" si="42"/>
        <v/>
      </c>
      <c r="N609" t="str">
        <f>IF($M609="I",MATCH(SMALL('완료 체험단'!$K$4:$K$2000,INDEX($T$5:$T$16,$J609)+$K609-2),'완료 체험단'!$K$4:$K$2000,0),"")</f>
        <v/>
      </c>
    </row>
    <row r="610" spans="2:14">
      <c r="B610" s="23" t="str">
        <f>IF($M610="H",$J610&amp;"월",IF($M610="C","매장명",IF($M610="I",INDEX('완료 체험단'!$A$4:$A$2000,$N610),IF($M610="T","합계",""))))</f>
        <v/>
      </c>
      <c r="C610" s="29" t="str">
        <f>IF($M610="H",$L610&amp;"건",IF($M610="C","사이트",IF($M610="I",INDEX('완료 체험단'!$C$4:$C$2000,$N610),IF($M610="T",$L610&amp;"건",""))))</f>
        <v/>
      </c>
      <c r="D610" s="30" t="str">
        <f>IF($M610="C","방문일",IF($M610="I",INDEX('완료 체험단'!$D$4:$D$2000,$N610),""))</f>
        <v/>
      </c>
      <c r="E610" s="25" t="str">
        <f>IF($M610="H","제공금액 "&amp;TEXT(INDEX($U$5:$U$16,$J610),"#,##0")&amp;"원",IF($M610="C","제공금액",IF($M610="I",INDEX('완료 체험단'!$F$4:$F$2000,$N610),IF($M610="T",INDEX($U$5:$U$16,$J610),""))))</f>
        <v/>
      </c>
      <c r="F610" s="25" t="str">
        <f>IF($M610="H","결제금액 "&amp;TEXT(INDEX($V$5:$V$16,$J610),"#,##0")&amp;"원",IF($M610="C","결제금액",IF($M610="I",INDEX('완료 체험단'!$G$4:$G$2000,$N610),IF($M610="T",INDEX($V$5:$V$16,$J610),""))))</f>
        <v/>
      </c>
      <c r="G610" s="25" t="str">
        <f>IF($M610="H","실수익 "&amp;TEXT(INDEX($W$5:$W$16,$J610),"#,##0")&amp;"원",IF($M610="C","실수익",IF($M610="I",INDEX('완료 체험단'!$H$4:$H$2000,$N610),IF($M610="T",INDEX($W$5:$W$16,$J610),""))))</f>
        <v/>
      </c>
      <c r="I610" s="31">
        <f>ROWS(I$5:I610)</f>
        <v>606</v>
      </c>
      <c r="J610" t="str">
        <f t="shared" si="39"/>
        <v/>
      </c>
      <c r="K610" t="str">
        <f t="shared" si="40"/>
        <v/>
      </c>
      <c r="L610" t="str">
        <f t="shared" si="41"/>
        <v/>
      </c>
      <c r="M610" t="str">
        <f t="shared" si="42"/>
        <v/>
      </c>
      <c r="N610" t="str">
        <f>IF($M610="I",MATCH(SMALL('완료 체험단'!$K$4:$K$2000,INDEX($T$5:$T$16,$J610)+$K610-2),'완료 체험단'!$K$4:$K$2000,0),"")</f>
        <v/>
      </c>
    </row>
    <row r="611" spans="2:14">
      <c r="B611" s="23" t="str">
        <f>IF($M611="H",$J611&amp;"월",IF($M611="C","매장명",IF($M611="I",INDEX('완료 체험단'!$A$4:$A$2000,$N611),IF($M611="T","합계",""))))</f>
        <v/>
      </c>
      <c r="C611" s="29" t="str">
        <f>IF($M611="H",$L611&amp;"건",IF($M611="C","사이트",IF($M611="I",INDEX('완료 체험단'!$C$4:$C$2000,$N611),IF($M611="T",$L611&amp;"건",""))))</f>
        <v/>
      </c>
      <c r="D611" s="30" t="str">
        <f>IF($M611="C","방문일",IF($M611="I",INDEX('완료 체험단'!$D$4:$D$2000,$N611),""))</f>
        <v/>
      </c>
      <c r="E611" s="25" t="str">
        <f>IF($M611="H","제공금액 "&amp;TEXT(INDEX($U$5:$U$16,$J611),"#,##0")&amp;"원",IF($M611="C","제공금액",IF($M611="I",INDEX('완료 체험단'!$F$4:$F$2000,$N611),IF($M611="T",INDEX($U$5:$U$16,$J611),""))))</f>
        <v/>
      </c>
      <c r="F611" s="25" t="str">
        <f>IF($M611="H","결제금액 "&amp;TEXT(INDEX($V$5:$V$16,$J611),"#,##0")&amp;"원",IF($M611="C","결제금액",IF($M611="I",INDEX('완료 체험단'!$G$4:$G$2000,$N611),IF($M611="T",INDEX($V$5:$V$16,$J611),""))))</f>
        <v/>
      </c>
      <c r="G611" s="25" t="str">
        <f>IF($M611="H","실수익 "&amp;TEXT(INDEX($W$5:$W$16,$J611),"#,##0")&amp;"원",IF($M611="C","실수익",IF($M611="I",INDEX('완료 체험단'!$H$4:$H$2000,$N611),IF($M611="T",INDEX($W$5:$W$16,$J611),""))))</f>
        <v/>
      </c>
      <c r="I611" s="31">
        <f>ROWS(I$5:I611)</f>
        <v>607</v>
      </c>
      <c r="J611" t="str">
        <f t="shared" si="39"/>
        <v/>
      </c>
      <c r="K611" t="str">
        <f t="shared" si="40"/>
        <v/>
      </c>
      <c r="L611" t="str">
        <f t="shared" si="41"/>
        <v/>
      </c>
      <c r="M611" t="str">
        <f t="shared" si="42"/>
        <v/>
      </c>
      <c r="N611" t="str">
        <f>IF($M611="I",MATCH(SMALL('완료 체험단'!$K$4:$K$2000,INDEX($T$5:$T$16,$J611)+$K611-2),'완료 체험단'!$K$4:$K$2000,0),"")</f>
        <v/>
      </c>
    </row>
    <row r="612" spans="2:14">
      <c r="B612" s="23" t="str">
        <f>IF($M612="H",$J612&amp;"월",IF($M612="C","매장명",IF($M612="I",INDEX('완료 체험단'!$A$4:$A$2000,$N612),IF($M612="T","합계",""))))</f>
        <v/>
      </c>
      <c r="C612" s="29" t="str">
        <f>IF($M612="H",$L612&amp;"건",IF($M612="C","사이트",IF($M612="I",INDEX('완료 체험단'!$C$4:$C$2000,$N612),IF($M612="T",$L612&amp;"건",""))))</f>
        <v/>
      </c>
      <c r="D612" s="30" t="str">
        <f>IF($M612="C","방문일",IF($M612="I",INDEX('완료 체험단'!$D$4:$D$2000,$N612),""))</f>
        <v/>
      </c>
      <c r="E612" s="25" t="str">
        <f>IF($M612="H","제공금액 "&amp;TEXT(INDEX($U$5:$U$16,$J612),"#,##0")&amp;"원",IF($M612="C","제공금액",IF($M612="I",INDEX('완료 체험단'!$F$4:$F$2000,$N612),IF($M612="T",INDEX($U$5:$U$16,$J612),""))))</f>
        <v/>
      </c>
      <c r="F612" s="25" t="str">
        <f>IF($M612="H","결제금액 "&amp;TEXT(INDEX($V$5:$V$16,$J612),"#,##0")&amp;"원",IF($M612="C","결제금액",IF($M612="I",INDEX('완료 체험단'!$G$4:$G$2000,$N612),IF($M612="T",INDEX($V$5:$V$16,$J612),""))))</f>
        <v/>
      </c>
      <c r="G612" s="25" t="str">
        <f>IF($M612="H","실수익 "&amp;TEXT(INDEX($W$5:$W$16,$J612),"#,##0")&amp;"원",IF($M612="C","실수익",IF($M612="I",INDEX('완료 체험단'!$H$4:$H$2000,$N612),IF($M612="T",INDEX($W$5:$W$16,$J612),""))))</f>
        <v/>
      </c>
      <c r="I612" s="31">
        <f>ROWS(I$5:I612)</f>
        <v>608</v>
      </c>
      <c r="J612" t="str">
        <f t="shared" si="39"/>
        <v/>
      </c>
      <c r="K612" t="str">
        <f t="shared" si="40"/>
        <v/>
      </c>
      <c r="L612" t="str">
        <f t="shared" si="41"/>
        <v/>
      </c>
      <c r="M612" t="str">
        <f t="shared" si="42"/>
        <v/>
      </c>
      <c r="N612" t="str">
        <f>IF($M612="I",MATCH(SMALL('완료 체험단'!$K$4:$K$2000,INDEX($T$5:$T$16,$J612)+$K612-2),'완료 체험단'!$K$4:$K$2000,0),"")</f>
        <v/>
      </c>
    </row>
    <row r="613" spans="2:14">
      <c r="B613" s="23" t="str">
        <f>IF($M613="H",$J613&amp;"월",IF($M613="C","매장명",IF($M613="I",INDEX('완료 체험단'!$A$4:$A$2000,$N613),IF($M613="T","합계",""))))</f>
        <v/>
      </c>
      <c r="C613" s="29" t="str">
        <f>IF($M613="H",$L613&amp;"건",IF($M613="C","사이트",IF($M613="I",INDEX('완료 체험단'!$C$4:$C$2000,$N613),IF($M613="T",$L613&amp;"건",""))))</f>
        <v/>
      </c>
      <c r="D613" s="30" t="str">
        <f>IF($M613="C","방문일",IF($M613="I",INDEX('완료 체험단'!$D$4:$D$2000,$N613),""))</f>
        <v/>
      </c>
      <c r="E613" s="25" t="str">
        <f>IF($M613="H","제공금액 "&amp;TEXT(INDEX($U$5:$U$16,$J613),"#,##0")&amp;"원",IF($M613="C","제공금액",IF($M613="I",INDEX('완료 체험단'!$F$4:$F$2000,$N613),IF($M613="T",INDEX($U$5:$U$16,$J613),""))))</f>
        <v/>
      </c>
      <c r="F613" s="25" t="str">
        <f>IF($M613="H","결제금액 "&amp;TEXT(INDEX($V$5:$V$16,$J613),"#,##0")&amp;"원",IF($M613="C","결제금액",IF($M613="I",INDEX('완료 체험단'!$G$4:$G$2000,$N613),IF($M613="T",INDEX($V$5:$V$16,$J613),""))))</f>
        <v/>
      </c>
      <c r="G613" s="25" t="str">
        <f>IF($M613="H","실수익 "&amp;TEXT(INDEX($W$5:$W$16,$J613),"#,##0")&amp;"원",IF($M613="C","실수익",IF($M613="I",INDEX('완료 체험단'!$H$4:$H$2000,$N613),IF($M613="T",INDEX($W$5:$W$16,$J613),""))))</f>
        <v/>
      </c>
      <c r="I613" s="31">
        <f>ROWS(I$5:I613)</f>
        <v>609</v>
      </c>
      <c r="J613" t="str">
        <f t="shared" si="39"/>
        <v/>
      </c>
      <c r="K613" t="str">
        <f t="shared" si="40"/>
        <v/>
      </c>
      <c r="L613" t="str">
        <f t="shared" si="41"/>
        <v/>
      </c>
      <c r="M613" t="str">
        <f t="shared" si="42"/>
        <v/>
      </c>
      <c r="N613" t="str">
        <f>IF($M613="I",MATCH(SMALL('완료 체험단'!$K$4:$K$2000,INDEX($T$5:$T$16,$J613)+$K613-2),'완료 체험단'!$K$4:$K$2000,0),"")</f>
        <v/>
      </c>
    </row>
    <row r="614" spans="2:14">
      <c r="B614" s="23" t="str">
        <f>IF($M614="H",$J614&amp;"월",IF($M614="C","매장명",IF($M614="I",INDEX('완료 체험단'!$A$4:$A$2000,$N614),IF($M614="T","합계",""))))</f>
        <v/>
      </c>
      <c r="C614" s="29" t="str">
        <f>IF($M614="H",$L614&amp;"건",IF($M614="C","사이트",IF($M614="I",INDEX('완료 체험단'!$C$4:$C$2000,$N614),IF($M614="T",$L614&amp;"건",""))))</f>
        <v/>
      </c>
      <c r="D614" s="30" t="str">
        <f>IF($M614="C","방문일",IF($M614="I",INDEX('완료 체험단'!$D$4:$D$2000,$N614),""))</f>
        <v/>
      </c>
      <c r="E614" s="25" t="str">
        <f>IF($M614="H","제공금액 "&amp;TEXT(INDEX($U$5:$U$16,$J614),"#,##0")&amp;"원",IF($M614="C","제공금액",IF($M614="I",INDEX('완료 체험단'!$F$4:$F$2000,$N614),IF($M614="T",INDEX($U$5:$U$16,$J614),""))))</f>
        <v/>
      </c>
      <c r="F614" s="25" t="str">
        <f>IF($M614="H","결제금액 "&amp;TEXT(INDEX($V$5:$V$16,$J614),"#,##0")&amp;"원",IF($M614="C","결제금액",IF($M614="I",INDEX('완료 체험단'!$G$4:$G$2000,$N614),IF($M614="T",INDEX($V$5:$V$16,$J614),""))))</f>
        <v/>
      </c>
      <c r="G614" s="25" t="str">
        <f>IF($M614="H","실수익 "&amp;TEXT(INDEX($W$5:$W$16,$J614),"#,##0")&amp;"원",IF($M614="C","실수익",IF($M614="I",INDEX('완료 체험단'!$H$4:$H$2000,$N614),IF($M614="T",INDEX($W$5:$W$16,$J614),""))))</f>
        <v/>
      </c>
      <c r="I614" s="31">
        <f>ROWS(I$5:I614)</f>
        <v>610</v>
      </c>
      <c r="J614" t="str">
        <f t="shared" si="39"/>
        <v/>
      </c>
      <c r="K614" t="str">
        <f t="shared" si="40"/>
        <v/>
      </c>
      <c r="L614" t="str">
        <f t="shared" si="41"/>
        <v/>
      </c>
      <c r="M614" t="str">
        <f t="shared" si="42"/>
        <v/>
      </c>
      <c r="N614" t="str">
        <f>IF($M614="I",MATCH(SMALL('완료 체험단'!$K$4:$K$2000,INDEX($T$5:$T$16,$J614)+$K614-2),'완료 체험단'!$K$4:$K$2000,0),"")</f>
        <v/>
      </c>
    </row>
    <row r="615" spans="2:14">
      <c r="B615" s="23" t="str">
        <f>IF($M615="H",$J615&amp;"월",IF($M615="C","매장명",IF($M615="I",INDEX('완료 체험단'!$A$4:$A$2000,$N615),IF($M615="T","합계",""))))</f>
        <v/>
      </c>
      <c r="C615" s="29" t="str">
        <f>IF($M615="H",$L615&amp;"건",IF($M615="C","사이트",IF($M615="I",INDEX('완료 체험단'!$C$4:$C$2000,$N615),IF($M615="T",$L615&amp;"건",""))))</f>
        <v/>
      </c>
      <c r="D615" s="30" t="str">
        <f>IF($M615="C","방문일",IF($M615="I",INDEX('완료 체험단'!$D$4:$D$2000,$N615),""))</f>
        <v/>
      </c>
      <c r="E615" s="25" t="str">
        <f>IF($M615="H","제공금액 "&amp;TEXT(INDEX($U$5:$U$16,$J615),"#,##0")&amp;"원",IF($M615="C","제공금액",IF($M615="I",INDEX('완료 체험단'!$F$4:$F$2000,$N615),IF($M615="T",INDEX($U$5:$U$16,$J615),""))))</f>
        <v/>
      </c>
      <c r="F615" s="25" t="str">
        <f>IF($M615="H","결제금액 "&amp;TEXT(INDEX($V$5:$V$16,$J615),"#,##0")&amp;"원",IF($M615="C","결제금액",IF($M615="I",INDEX('완료 체험단'!$G$4:$G$2000,$N615),IF($M615="T",INDEX($V$5:$V$16,$J615),""))))</f>
        <v/>
      </c>
      <c r="G615" s="25" t="str">
        <f>IF($M615="H","실수익 "&amp;TEXT(INDEX($W$5:$W$16,$J615),"#,##0")&amp;"원",IF($M615="C","실수익",IF($M615="I",INDEX('완료 체험단'!$H$4:$H$2000,$N615),IF($M615="T",INDEX($W$5:$W$16,$J615),""))))</f>
        <v/>
      </c>
      <c r="I615" s="31">
        <f>ROWS(I$5:I615)</f>
        <v>611</v>
      </c>
      <c r="J615" t="str">
        <f t="shared" si="39"/>
        <v/>
      </c>
      <c r="K615" t="str">
        <f t="shared" si="40"/>
        <v/>
      </c>
      <c r="L615" t="str">
        <f t="shared" si="41"/>
        <v/>
      </c>
      <c r="M615" t="str">
        <f t="shared" si="42"/>
        <v/>
      </c>
      <c r="N615" t="str">
        <f>IF($M615="I",MATCH(SMALL('완료 체험단'!$K$4:$K$2000,INDEX($T$5:$T$16,$J615)+$K615-2),'완료 체험단'!$K$4:$K$2000,0),"")</f>
        <v/>
      </c>
    </row>
    <row r="616" spans="2:14">
      <c r="B616" s="23" t="str">
        <f>IF($M616="H",$J616&amp;"월",IF($M616="C","매장명",IF($M616="I",INDEX('완료 체험단'!$A$4:$A$2000,$N616),IF($M616="T","합계",""))))</f>
        <v/>
      </c>
      <c r="C616" s="29" t="str">
        <f>IF($M616="H",$L616&amp;"건",IF($M616="C","사이트",IF($M616="I",INDEX('완료 체험단'!$C$4:$C$2000,$N616),IF($M616="T",$L616&amp;"건",""))))</f>
        <v/>
      </c>
      <c r="D616" s="30" t="str">
        <f>IF($M616="C","방문일",IF($M616="I",INDEX('완료 체험단'!$D$4:$D$2000,$N616),""))</f>
        <v/>
      </c>
      <c r="E616" s="25" t="str">
        <f>IF($M616="H","제공금액 "&amp;TEXT(INDEX($U$5:$U$16,$J616),"#,##0")&amp;"원",IF($M616="C","제공금액",IF($M616="I",INDEX('완료 체험단'!$F$4:$F$2000,$N616),IF($M616="T",INDEX($U$5:$U$16,$J616),""))))</f>
        <v/>
      </c>
      <c r="F616" s="25" t="str">
        <f>IF($M616="H","결제금액 "&amp;TEXT(INDEX($V$5:$V$16,$J616),"#,##0")&amp;"원",IF($M616="C","결제금액",IF($M616="I",INDEX('완료 체험단'!$G$4:$G$2000,$N616),IF($M616="T",INDEX($V$5:$V$16,$J616),""))))</f>
        <v/>
      </c>
      <c r="G616" s="25" t="str">
        <f>IF($M616="H","실수익 "&amp;TEXT(INDEX($W$5:$W$16,$J616),"#,##0")&amp;"원",IF($M616="C","실수익",IF($M616="I",INDEX('완료 체험단'!$H$4:$H$2000,$N616),IF($M616="T",INDEX($W$5:$W$16,$J616),""))))</f>
        <v/>
      </c>
      <c r="I616" s="31">
        <f>ROWS(I$5:I616)</f>
        <v>612</v>
      </c>
      <c r="J616" t="str">
        <f t="shared" si="39"/>
        <v/>
      </c>
      <c r="K616" t="str">
        <f t="shared" si="40"/>
        <v/>
      </c>
      <c r="L616" t="str">
        <f t="shared" si="41"/>
        <v/>
      </c>
      <c r="M616" t="str">
        <f t="shared" si="42"/>
        <v/>
      </c>
      <c r="N616" t="str">
        <f>IF($M616="I",MATCH(SMALL('완료 체험단'!$K$4:$K$2000,INDEX($T$5:$T$16,$J616)+$K616-2),'완료 체험단'!$K$4:$K$2000,0),"")</f>
        <v/>
      </c>
    </row>
    <row r="617" spans="2:14">
      <c r="B617" s="23" t="str">
        <f>IF($M617="H",$J617&amp;"월",IF($M617="C","매장명",IF($M617="I",INDEX('완료 체험단'!$A$4:$A$2000,$N617),IF($M617="T","합계",""))))</f>
        <v/>
      </c>
      <c r="C617" s="29" t="str">
        <f>IF($M617="H",$L617&amp;"건",IF($M617="C","사이트",IF($M617="I",INDEX('완료 체험단'!$C$4:$C$2000,$N617),IF($M617="T",$L617&amp;"건",""))))</f>
        <v/>
      </c>
      <c r="D617" s="30" t="str">
        <f>IF($M617="C","방문일",IF($M617="I",INDEX('완료 체험단'!$D$4:$D$2000,$N617),""))</f>
        <v/>
      </c>
      <c r="E617" s="25" t="str">
        <f>IF($M617="H","제공금액 "&amp;TEXT(INDEX($U$5:$U$16,$J617),"#,##0")&amp;"원",IF($M617="C","제공금액",IF($M617="I",INDEX('완료 체험단'!$F$4:$F$2000,$N617),IF($M617="T",INDEX($U$5:$U$16,$J617),""))))</f>
        <v/>
      </c>
      <c r="F617" s="25" t="str">
        <f>IF($M617="H","결제금액 "&amp;TEXT(INDEX($V$5:$V$16,$J617),"#,##0")&amp;"원",IF($M617="C","결제금액",IF($M617="I",INDEX('완료 체험단'!$G$4:$G$2000,$N617),IF($M617="T",INDEX($V$5:$V$16,$J617),""))))</f>
        <v/>
      </c>
      <c r="G617" s="25" t="str">
        <f>IF($M617="H","실수익 "&amp;TEXT(INDEX($W$5:$W$16,$J617),"#,##0")&amp;"원",IF($M617="C","실수익",IF($M617="I",INDEX('완료 체험단'!$H$4:$H$2000,$N617),IF($M617="T",INDEX($W$5:$W$16,$J617),""))))</f>
        <v/>
      </c>
      <c r="I617" s="31">
        <f>ROWS(I$5:I617)</f>
        <v>613</v>
      </c>
      <c r="J617" t="str">
        <f t="shared" si="39"/>
        <v/>
      </c>
      <c r="K617" t="str">
        <f t="shared" si="40"/>
        <v/>
      </c>
      <c r="L617" t="str">
        <f t="shared" si="41"/>
        <v/>
      </c>
      <c r="M617" t="str">
        <f t="shared" si="42"/>
        <v/>
      </c>
      <c r="N617" t="str">
        <f>IF($M617="I",MATCH(SMALL('완료 체험단'!$K$4:$K$2000,INDEX($T$5:$T$16,$J617)+$K617-2),'완료 체험단'!$K$4:$K$2000,0),"")</f>
        <v/>
      </c>
    </row>
    <row r="618" spans="2:14">
      <c r="B618" s="23" t="str">
        <f>IF($M618="H",$J618&amp;"월",IF($M618="C","매장명",IF($M618="I",INDEX('완료 체험단'!$A$4:$A$2000,$N618),IF($M618="T","합계",""))))</f>
        <v/>
      </c>
      <c r="C618" s="29" t="str">
        <f>IF($M618="H",$L618&amp;"건",IF($M618="C","사이트",IF($M618="I",INDEX('완료 체험단'!$C$4:$C$2000,$N618),IF($M618="T",$L618&amp;"건",""))))</f>
        <v/>
      </c>
      <c r="D618" s="30" t="str">
        <f>IF($M618="C","방문일",IF($M618="I",INDEX('완료 체험단'!$D$4:$D$2000,$N618),""))</f>
        <v/>
      </c>
      <c r="E618" s="25" t="str">
        <f>IF($M618="H","제공금액 "&amp;TEXT(INDEX($U$5:$U$16,$J618),"#,##0")&amp;"원",IF($M618="C","제공금액",IF($M618="I",INDEX('완료 체험단'!$F$4:$F$2000,$N618),IF($M618="T",INDEX($U$5:$U$16,$J618),""))))</f>
        <v/>
      </c>
      <c r="F618" s="25" t="str">
        <f>IF($M618="H","결제금액 "&amp;TEXT(INDEX($V$5:$V$16,$J618),"#,##0")&amp;"원",IF($M618="C","결제금액",IF($M618="I",INDEX('완료 체험단'!$G$4:$G$2000,$N618),IF($M618="T",INDEX($V$5:$V$16,$J618),""))))</f>
        <v/>
      </c>
      <c r="G618" s="25" t="str">
        <f>IF($M618="H","실수익 "&amp;TEXT(INDEX($W$5:$W$16,$J618),"#,##0")&amp;"원",IF($M618="C","실수익",IF($M618="I",INDEX('완료 체험단'!$H$4:$H$2000,$N618),IF($M618="T",INDEX($W$5:$W$16,$J618),""))))</f>
        <v/>
      </c>
      <c r="I618" s="31">
        <f>ROWS(I$5:I618)</f>
        <v>614</v>
      </c>
      <c r="J618" t="str">
        <f t="shared" si="39"/>
        <v/>
      </c>
      <c r="K618" t="str">
        <f t="shared" si="40"/>
        <v/>
      </c>
      <c r="L618" t="str">
        <f t="shared" si="41"/>
        <v/>
      </c>
      <c r="M618" t="str">
        <f t="shared" si="42"/>
        <v/>
      </c>
      <c r="N618" t="str">
        <f>IF($M618="I",MATCH(SMALL('완료 체험단'!$K$4:$K$2000,INDEX($T$5:$T$16,$J618)+$K618-2),'완료 체험단'!$K$4:$K$2000,0),"")</f>
        <v/>
      </c>
    </row>
    <row r="619" spans="2:14">
      <c r="B619" s="23" t="str">
        <f>IF($M619="H",$J619&amp;"월",IF($M619="C","매장명",IF($M619="I",INDEX('완료 체험단'!$A$4:$A$2000,$N619),IF($M619="T","합계",""))))</f>
        <v/>
      </c>
      <c r="C619" s="29" t="str">
        <f>IF($M619="H",$L619&amp;"건",IF($M619="C","사이트",IF($M619="I",INDEX('완료 체험단'!$C$4:$C$2000,$N619),IF($M619="T",$L619&amp;"건",""))))</f>
        <v/>
      </c>
      <c r="D619" s="30" t="str">
        <f>IF($M619="C","방문일",IF($M619="I",INDEX('완료 체험단'!$D$4:$D$2000,$N619),""))</f>
        <v/>
      </c>
      <c r="E619" s="25" t="str">
        <f>IF($M619="H","제공금액 "&amp;TEXT(INDEX($U$5:$U$16,$J619),"#,##0")&amp;"원",IF($M619="C","제공금액",IF($M619="I",INDEX('완료 체험단'!$F$4:$F$2000,$N619),IF($M619="T",INDEX($U$5:$U$16,$J619),""))))</f>
        <v/>
      </c>
      <c r="F619" s="25" t="str">
        <f>IF($M619="H","결제금액 "&amp;TEXT(INDEX($V$5:$V$16,$J619),"#,##0")&amp;"원",IF($M619="C","결제금액",IF($M619="I",INDEX('완료 체험단'!$G$4:$G$2000,$N619),IF($M619="T",INDEX($V$5:$V$16,$J619),""))))</f>
        <v/>
      </c>
      <c r="G619" s="25" t="str">
        <f>IF($M619="H","실수익 "&amp;TEXT(INDEX($W$5:$W$16,$J619),"#,##0")&amp;"원",IF($M619="C","실수익",IF($M619="I",INDEX('완료 체험단'!$H$4:$H$2000,$N619),IF($M619="T",INDEX($W$5:$W$16,$J619),""))))</f>
        <v/>
      </c>
      <c r="I619" s="31">
        <f>ROWS(I$5:I619)</f>
        <v>615</v>
      </c>
      <c r="J619" t="str">
        <f t="shared" si="39"/>
        <v/>
      </c>
      <c r="K619" t="str">
        <f t="shared" si="40"/>
        <v/>
      </c>
      <c r="L619" t="str">
        <f t="shared" si="41"/>
        <v/>
      </c>
      <c r="M619" t="str">
        <f t="shared" si="42"/>
        <v/>
      </c>
      <c r="N619" t="str">
        <f>IF($M619="I",MATCH(SMALL('완료 체험단'!$K$4:$K$2000,INDEX($T$5:$T$16,$J619)+$K619-2),'완료 체험단'!$K$4:$K$2000,0),"")</f>
        <v/>
      </c>
    </row>
    <row r="620" spans="2:14">
      <c r="B620" s="23" t="str">
        <f>IF($M620="H",$J620&amp;"월",IF($M620="C","매장명",IF($M620="I",INDEX('완료 체험단'!$A$4:$A$2000,$N620),IF($M620="T","합계",""))))</f>
        <v/>
      </c>
      <c r="C620" s="29" t="str">
        <f>IF($M620="H",$L620&amp;"건",IF($M620="C","사이트",IF($M620="I",INDEX('완료 체험단'!$C$4:$C$2000,$N620),IF($M620="T",$L620&amp;"건",""))))</f>
        <v/>
      </c>
      <c r="D620" s="30" t="str">
        <f>IF($M620="C","방문일",IF($M620="I",INDEX('완료 체험단'!$D$4:$D$2000,$N620),""))</f>
        <v/>
      </c>
      <c r="E620" s="25" t="str">
        <f>IF($M620="H","제공금액 "&amp;TEXT(INDEX($U$5:$U$16,$J620),"#,##0")&amp;"원",IF($M620="C","제공금액",IF($M620="I",INDEX('완료 체험단'!$F$4:$F$2000,$N620),IF($M620="T",INDEX($U$5:$U$16,$J620),""))))</f>
        <v/>
      </c>
      <c r="F620" s="25" t="str">
        <f>IF($M620="H","결제금액 "&amp;TEXT(INDEX($V$5:$V$16,$J620),"#,##0")&amp;"원",IF($M620="C","결제금액",IF($M620="I",INDEX('완료 체험단'!$G$4:$G$2000,$N620),IF($M620="T",INDEX($V$5:$V$16,$J620),""))))</f>
        <v/>
      </c>
      <c r="G620" s="25" t="str">
        <f>IF($M620="H","실수익 "&amp;TEXT(INDEX($W$5:$W$16,$J620),"#,##0")&amp;"원",IF($M620="C","실수익",IF($M620="I",INDEX('완료 체험단'!$H$4:$H$2000,$N620),IF($M620="T",INDEX($W$5:$W$16,$J620),""))))</f>
        <v/>
      </c>
      <c r="I620" s="31">
        <f>ROWS(I$5:I620)</f>
        <v>616</v>
      </c>
      <c r="J620" t="str">
        <f t="shared" si="39"/>
        <v/>
      </c>
      <c r="K620" t="str">
        <f t="shared" si="40"/>
        <v/>
      </c>
      <c r="L620" t="str">
        <f t="shared" si="41"/>
        <v/>
      </c>
      <c r="M620" t="str">
        <f t="shared" si="42"/>
        <v/>
      </c>
      <c r="N620" t="str">
        <f>IF($M620="I",MATCH(SMALL('완료 체험단'!$K$4:$K$2000,INDEX($T$5:$T$16,$J620)+$K620-2),'완료 체험단'!$K$4:$K$2000,0),"")</f>
        <v/>
      </c>
    </row>
    <row r="621" spans="2:14">
      <c r="B621" s="23" t="str">
        <f>IF($M621="H",$J621&amp;"월",IF($M621="C","매장명",IF($M621="I",INDEX('완료 체험단'!$A$4:$A$2000,$N621),IF($M621="T","합계",""))))</f>
        <v/>
      </c>
      <c r="C621" s="29" t="str">
        <f>IF($M621="H",$L621&amp;"건",IF($M621="C","사이트",IF($M621="I",INDEX('완료 체험단'!$C$4:$C$2000,$N621),IF($M621="T",$L621&amp;"건",""))))</f>
        <v/>
      </c>
      <c r="D621" s="30" t="str">
        <f>IF($M621="C","방문일",IF($M621="I",INDEX('완료 체험단'!$D$4:$D$2000,$N621),""))</f>
        <v/>
      </c>
      <c r="E621" s="25" t="str">
        <f>IF($M621="H","제공금액 "&amp;TEXT(INDEX($U$5:$U$16,$J621),"#,##0")&amp;"원",IF($M621="C","제공금액",IF($M621="I",INDEX('완료 체험단'!$F$4:$F$2000,$N621),IF($M621="T",INDEX($U$5:$U$16,$J621),""))))</f>
        <v/>
      </c>
      <c r="F621" s="25" t="str">
        <f>IF($M621="H","결제금액 "&amp;TEXT(INDEX($V$5:$V$16,$J621),"#,##0")&amp;"원",IF($M621="C","결제금액",IF($M621="I",INDEX('완료 체험단'!$G$4:$G$2000,$N621),IF($M621="T",INDEX($V$5:$V$16,$J621),""))))</f>
        <v/>
      </c>
      <c r="G621" s="25" t="str">
        <f>IF($M621="H","실수익 "&amp;TEXT(INDEX($W$5:$W$16,$J621),"#,##0")&amp;"원",IF($M621="C","실수익",IF($M621="I",INDEX('완료 체험단'!$H$4:$H$2000,$N621),IF($M621="T",INDEX($W$5:$W$16,$J621),""))))</f>
        <v/>
      </c>
      <c r="I621" s="31">
        <f>ROWS(I$5:I621)</f>
        <v>617</v>
      </c>
      <c r="J621" t="str">
        <f t="shared" si="39"/>
        <v/>
      </c>
      <c r="K621" t="str">
        <f t="shared" si="40"/>
        <v/>
      </c>
      <c r="L621" t="str">
        <f t="shared" si="41"/>
        <v/>
      </c>
      <c r="M621" t="str">
        <f t="shared" si="42"/>
        <v/>
      </c>
      <c r="N621" t="str">
        <f>IF($M621="I",MATCH(SMALL('완료 체험단'!$K$4:$K$2000,INDEX($T$5:$T$16,$J621)+$K621-2),'완료 체험단'!$K$4:$K$2000,0),"")</f>
        <v/>
      </c>
    </row>
    <row r="622" spans="2:14">
      <c r="B622" s="23" t="str">
        <f>IF($M622="H",$J622&amp;"월",IF($M622="C","매장명",IF($M622="I",INDEX('완료 체험단'!$A$4:$A$2000,$N622),IF($M622="T","합계",""))))</f>
        <v/>
      </c>
      <c r="C622" s="29" t="str">
        <f>IF($M622="H",$L622&amp;"건",IF($M622="C","사이트",IF($M622="I",INDEX('완료 체험단'!$C$4:$C$2000,$N622),IF($M622="T",$L622&amp;"건",""))))</f>
        <v/>
      </c>
      <c r="D622" s="30" t="str">
        <f>IF($M622="C","방문일",IF($M622="I",INDEX('완료 체험단'!$D$4:$D$2000,$N622),""))</f>
        <v/>
      </c>
      <c r="E622" s="25" t="str">
        <f>IF($M622="H","제공금액 "&amp;TEXT(INDEX($U$5:$U$16,$J622),"#,##0")&amp;"원",IF($M622="C","제공금액",IF($M622="I",INDEX('완료 체험단'!$F$4:$F$2000,$N622),IF($M622="T",INDEX($U$5:$U$16,$J622),""))))</f>
        <v/>
      </c>
      <c r="F622" s="25" t="str">
        <f>IF($M622="H","결제금액 "&amp;TEXT(INDEX($V$5:$V$16,$J622),"#,##0")&amp;"원",IF($M622="C","결제금액",IF($M622="I",INDEX('완료 체험단'!$G$4:$G$2000,$N622),IF($M622="T",INDEX($V$5:$V$16,$J622),""))))</f>
        <v/>
      </c>
      <c r="G622" s="25" t="str">
        <f>IF($M622="H","실수익 "&amp;TEXT(INDEX($W$5:$W$16,$J622),"#,##0")&amp;"원",IF($M622="C","실수익",IF($M622="I",INDEX('완료 체험단'!$H$4:$H$2000,$N622),IF($M622="T",INDEX($W$5:$W$16,$J622),""))))</f>
        <v/>
      </c>
      <c r="I622" s="31">
        <f>ROWS(I$5:I622)</f>
        <v>618</v>
      </c>
      <c r="J622" t="str">
        <f t="shared" si="39"/>
        <v/>
      </c>
      <c r="K622" t="str">
        <f t="shared" si="40"/>
        <v/>
      </c>
      <c r="L622" t="str">
        <f t="shared" si="41"/>
        <v/>
      </c>
      <c r="M622" t="str">
        <f t="shared" si="42"/>
        <v/>
      </c>
      <c r="N622" t="str">
        <f>IF($M622="I",MATCH(SMALL('완료 체험단'!$K$4:$K$2000,INDEX($T$5:$T$16,$J622)+$K622-2),'완료 체험단'!$K$4:$K$2000,0),"")</f>
        <v/>
      </c>
    </row>
    <row r="623" spans="2:14">
      <c r="B623" s="23" t="str">
        <f>IF($M623="H",$J623&amp;"월",IF($M623="C","매장명",IF($M623="I",INDEX('완료 체험단'!$A$4:$A$2000,$N623),IF($M623="T","합계",""))))</f>
        <v/>
      </c>
      <c r="C623" s="29" t="str">
        <f>IF($M623="H",$L623&amp;"건",IF($M623="C","사이트",IF($M623="I",INDEX('완료 체험단'!$C$4:$C$2000,$N623),IF($M623="T",$L623&amp;"건",""))))</f>
        <v/>
      </c>
      <c r="D623" s="30" t="str">
        <f>IF($M623="C","방문일",IF($M623="I",INDEX('완료 체험단'!$D$4:$D$2000,$N623),""))</f>
        <v/>
      </c>
      <c r="E623" s="25" t="str">
        <f>IF($M623="H","제공금액 "&amp;TEXT(INDEX($U$5:$U$16,$J623),"#,##0")&amp;"원",IF($M623="C","제공금액",IF($M623="I",INDEX('완료 체험단'!$F$4:$F$2000,$N623),IF($M623="T",INDEX($U$5:$U$16,$J623),""))))</f>
        <v/>
      </c>
      <c r="F623" s="25" t="str">
        <f>IF($M623="H","결제금액 "&amp;TEXT(INDEX($V$5:$V$16,$J623),"#,##0")&amp;"원",IF($M623="C","결제금액",IF($M623="I",INDEX('완료 체험단'!$G$4:$G$2000,$N623),IF($M623="T",INDEX($V$5:$V$16,$J623),""))))</f>
        <v/>
      </c>
      <c r="G623" s="25" t="str">
        <f>IF($M623="H","실수익 "&amp;TEXT(INDEX($W$5:$W$16,$J623),"#,##0")&amp;"원",IF($M623="C","실수익",IF($M623="I",INDEX('완료 체험단'!$H$4:$H$2000,$N623),IF($M623="T",INDEX($W$5:$W$16,$J623),""))))</f>
        <v/>
      </c>
      <c r="I623" s="31">
        <f>ROWS(I$5:I623)</f>
        <v>619</v>
      </c>
      <c r="J623" t="str">
        <f t="shared" si="39"/>
        <v/>
      </c>
      <c r="K623" t="str">
        <f t="shared" si="40"/>
        <v/>
      </c>
      <c r="L623" t="str">
        <f t="shared" si="41"/>
        <v/>
      </c>
      <c r="M623" t="str">
        <f t="shared" si="42"/>
        <v/>
      </c>
      <c r="N623" t="str">
        <f>IF($M623="I",MATCH(SMALL('완료 체험단'!$K$4:$K$2000,INDEX($T$5:$T$16,$J623)+$K623-2),'완료 체험단'!$K$4:$K$2000,0),"")</f>
        <v/>
      </c>
    </row>
    <row r="624" spans="2:14">
      <c r="B624" s="23" t="str">
        <f>IF($M624="H",$J624&amp;"월",IF($M624="C","매장명",IF($M624="I",INDEX('완료 체험단'!$A$4:$A$2000,$N624),IF($M624="T","합계",""))))</f>
        <v/>
      </c>
      <c r="C624" s="29" t="str">
        <f>IF($M624="H",$L624&amp;"건",IF($M624="C","사이트",IF($M624="I",INDEX('완료 체험단'!$C$4:$C$2000,$N624),IF($M624="T",$L624&amp;"건",""))))</f>
        <v/>
      </c>
      <c r="D624" s="30" t="str">
        <f>IF($M624="C","방문일",IF($M624="I",INDEX('완료 체험단'!$D$4:$D$2000,$N624),""))</f>
        <v/>
      </c>
      <c r="E624" s="25" t="str">
        <f>IF($M624="H","제공금액 "&amp;TEXT(INDEX($U$5:$U$16,$J624),"#,##0")&amp;"원",IF($M624="C","제공금액",IF($M624="I",INDEX('완료 체험단'!$F$4:$F$2000,$N624),IF($M624="T",INDEX($U$5:$U$16,$J624),""))))</f>
        <v/>
      </c>
      <c r="F624" s="25" t="str">
        <f>IF($M624="H","결제금액 "&amp;TEXT(INDEX($V$5:$V$16,$J624),"#,##0")&amp;"원",IF($M624="C","결제금액",IF($M624="I",INDEX('완료 체험단'!$G$4:$G$2000,$N624),IF($M624="T",INDEX($V$5:$V$16,$J624),""))))</f>
        <v/>
      </c>
      <c r="G624" s="25" t="str">
        <f>IF($M624="H","실수익 "&amp;TEXT(INDEX($W$5:$W$16,$J624),"#,##0")&amp;"원",IF($M624="C","실수익",IF($M624="I",INDEX('완료 체험단'!$H$4:$H$2000,$N624),IF($M624="T",INDEX($W$5:$W$16,$J624),""))))</f>
        <v/>
      </c>
      <c r="I624" s="31">
        <f>ROWS(I$5:I624)</f>
        <v>620</v>
      </c>
      <c r="J624" t="str">
        <f t="shared" si="39"/>
        <v/>
      </c>
      <c r="K624" t="str">
        <f t="shared" si="40"/>
        <v/>
      </c>
      <c r="L624" t="str">
        <f t="shared" si="41"/>
        <v/>
      </c>
      <c r="M624" t="str">
        <f t="shared" si="42"/>
        <v/>
      </c>
      <c r="N624" t="str">
        <f>IF($M624="I",MATCH(SMALL('완료 체험단'!$K$4:$K$2000,INDEX($T$5:$T$16,$J624)+$K624-2),'완료 체험단'!$K$4:$K$2000,0),"")</f>
        <v/>
      </c>
    </row>
    <row r="625" spans="2:14">
      <c r="B625" s="23" t="str">
        <f>IF($M625="H",$J625&amp;"월",IF($M625="C","매장명",IF($M625="I",INDEX('완료 체험단'!$A$4:$A$2000,$N625),IF($M625="T","합계",""))))</f>
        <v/>
      </c>
      <c r="C625" s="29" t="str">
        <f>IF($M625="H",$L625&amp;"건",IF($M625="C","사이트",IF($M625="I",INDEX('완료 체험단'!$C$4:$C$2000,$N625),IF($M625="T",$L625&amp;"건",""))))</f>
        <v/>
      </c>
      <c r="D625" s="30" t="str">
        <f>IF($M625="C","방문일",IF($M625="I",INDEX('완료 체험단'!$D$4:$D$2000,$N625),""))</f>
        <v/>
      </c>
      <c r="E625" s="25" t="str">
        <f>IF($M625="H","제공금액 "&amp;TEXT(INDEX($U$5:$U$16,$J625),"#,##0")&amp;"원",IF($M625="C","제공금액",IF($M625="I",INDEX('완료 체험단'!$F$4:$F$2000,$N625),IF($M625="T",INDEX($U$5:$U$16,$J625),""))))</f>
        <v/>
      </c>
      <c r="F625" s="25" t="str">
        <f>IF($M625="H","결제금액 "&amp;TEXT(INDEX($V$5:$V$16,$J625),"#,##0")&amp;"원",IF($M625="C","결제금액",IF($M625="I",INDEX('완료 체험단'!$G$4:$G$2000,$N625),IF($M625="T",INDEX($V$5:$V$16,$J625),""))))</f>
        <v/>
      </c>
      <c r="G625" s="25" t="str">
        <f>IF($M625="H","실수익 "&amp;TEXT(INDEX($W$5:$W$16,$J625),"#,##0")&amp;"원",IF($M625="C","실수익",IF($M625="I",INDEX('완료 체험단'!$H$4:$H$2000,$N625),IF($M625="T",INDEX($W$5:$W$16,$J625),""))))</f>
        <v/>
      </c>
      <c r="I625" s="31">
        <f>ROWS(I$5:I625)</f>
        <v>621</v>
      </c>
      <c r="J625" t="str">
        <f t="shared" si="39"/>
        <v/>
      </c>
      <c r="K625" t="str">
        <f t="shared" si="40"/>
        <v/>
      </c>
      <c r="L625" t="str">
        <f t="shared" si="41"/>
        <v/>
      </c>
      <c r="M625" t="str">
        <f t="shared" si="42"/>
        <v/>
      </c>
      <c r="N625" t="str">
        <f>IF($M625="I",MATCH(SMALL('완료 체험단'!$K$4:$K$2000,INDEX($T$5:$T$16,$J625)+$K625-2),'완료 체험단'!$K$4:$K$2000,0),"")</f>
        <v/>
      </c>
    </row>
    <row r="626" spans="2:14">
      <c r="B626" s="23" t="str">
        <f>IF($M626="H",$J626&amp;"월",IF($M626="C","매장명",IF($M626="I",INDEX('완료 체험단'!$A$4:$A$2000,$N626),IF($M626="T","합계",""))))</f>
        <v/>
      </c>
      <c r="C626" s="29" t="str">
        <f>IF($M626="H",$L626&amp;"건",IF($M626="C","사이트",IF($M626="I",INDEX('완료 체험단'!$C$4:$C$2000,$N626),IF($M626="T",$L626&amp;"건",""))))</f>
        <v/>
      </c>
      <c r="D626" s="30" t="str">
        <f>IF($M626="C","방문일",IF($M626="I",INDEX('완료 체험단'!$D$4:$D$2000,$N626),""))</f>
        <v/>
      </c>
      <c r="E626" s="25" t="str">
        <f>IF($M626="H","제공금액 "&amp;TEXT(INDEX($U$5:$U$16,$J626),"#,##0")&amp;"원",IF($M626="C","제공금액",IF($M626="I",INDEX('완료 체험단'!$F$4:$F$2000,$N626),IF($M626="T",INDEX($U$5:$U$16,$J626),""))))</f>
        <v/>
      </c>
      <c r="F626" s="25" t="str">
        <f>IF($M626="H","결제금액 "&amp;TEXT(INDEX($V$5:$V$16,$J626),"#,##0")&amp;"원",IF($M626="C","결제금액",IF($M626="I",INDEX('완료 체험단'!$G$4:$G$2000,$N626),IF($M626="T",INDEX($V$5:$V$16,$J626),""))))</f>
        <v/>
      </c>
      <c r="G626" s="25" t="str">
        <f>IF($M626="H","실수익 "&amp;TEXT(INDEX($W$5:$W$16,$J626),"#,##0")&amp;"원",IF($M626="C","실수익",IF($M626="I",INDEX('완료 체험단'!$H$4:$H$2000,$N626),IF($M626="T",INDEX($W$5:$W$16,$J626),""))))</f>
        <v/>
      </c>
      <c r="I626" s="31">
        <f>ROWS(I$5:I626)</f>
        <v>622</v>
      </c>
      <c r="J626" t="str">
        <f t="shared" si="39"/>
        <v/>
      </c>
      <c r="K626" t="str">
        <f t="shared" si="40"/>
        <v/>
      </c>
      <c r="L626" t="str">
        <f t="shared" si="41"/>
        <v/>
      </c>
      <c r="M626" t="str">
        <f t="shared" si="42"/>
        <v/>
      </c>
      <c r="N626" t="str">
        <f>IF($M626="I",MATCH(SMALL('완료 체험단'!$K$4:$K$2000,INDEX($T$5:$T$16,$J626)+$K626-2),'완료 체험단'!$K$4:$K$2000,0),"")</f>
        <v/>
      </c>
    </row>
    <row r="627" spans="2:14">
      <c r="B627" s="23" t="str">
        <f>IF($M627="H",$J627&amp;"월",IF($M627="C","매장명",IF($M627="I",INDEX('완료 체험단'!$A$4:$A$2000,$N627),IF($M627="T","합계",""))))</f>
        <v/>
      </c>
      <c r="C627" s="29" t="str">
        <f>IF($M627="H",$L627&amp;"건",IF($M627="C","사이트",IF($M627="I",INDEX('완료 체험단'!$C$4:$C$2000,$N627),IF($M627="T",$L627&amp;"건",""))))</f>
        <v/>
      </c>
      <c r="D627" s="30" t="str">
        <f>IF($M627="C","방문일",IF($M627="I",INDEX('완료 체험단'!$D$4:$D$2000,$N627),""))</f>
        <v/>
      </c>
      <c r="E627" s="25" t="str">
        <f>IF($M627="H","제공금액 "&amp;TEXT(INDEX($U$5:$U$16,$J627),"#,##0")&amp;"원",IF($M627="C","제공금액",IF($M627="I",INDEX('완료 체험단'!$F$4:$F$2000,$N627),IF($M627="T",INDEX($U$5:$U$16,$J627),""))))</f>
        <v/>
      </c>
      <c r="F627" s="25" t="str">
        <f>IF($M627="H","결제금액 "&amp;TEXT(INDEX($V$5:$V$16,$J627),"#,##0")&amp;"원",IF($M627="C","결제금액",IF($M627="I",INDEX('완료 체험단'!$G$4:$G$2000,$N627),IF($M627="T",INDEX($V$5:$V$16,$J627),""))))</f>
        <v/>
      </c>
      <c r="G627" s="25" t="str">
        <f>IF($M627="H","실수익 "&amp;TEXT(INDEX($W$5:$W$16,$J627),"#,##0")&amp;"원",IF($M627="C","실수익",IF($M627="I",INDEX('완료 체험단'!$H$4:$H$2000,$N627),IF($M627="T",INDEX($W$5:$W$16,$J627),""))))</f>
        <v/>
      </c>
      <c r="I627" s="31">
        <f>ROWS(I$5:I627)</f>
        <v>623</v>
      </c>
      <c r="J627" t="str">
        <f t="shared" si="39"/>
        <v/>
      </c>
      <c r="K627" t="str">
        <f t="shared" si="40"/>
        <v/>
      </c>
      <c r="L627" t="str">
        <f t="shared" si="41"/>
        <v/>
      </c>
      <c r="M627" t="str">
        <f t="shared" si="42"/>
        <v/>
      </c>
      <c r="N627" t="str">
        <f>IF($M627="I",MATCH(SMALL('완료 체험단'!$K$4:$K$2000,INDEX($T$5:$T$16,$J627)+$K627-2),'완료 체험단'!$K$4:$K$2000,0),"")</f>
        <v/>
      </c>
    </row>
    <row r="628" spans="2:14">
      <c r="B628" s="23" t="str">
        <f>IF($M628="H",$J628&amp;"월",IF($M628="C","매장명",IF($M628="I",INDEX('완료 체험단'!$A$4:$A$2000,$N628),IF($M628="T","합계",""))))</f>
        <v/>
      </c>
      <c r="C628" s="29" t="str">
        <f>IF($M628="H",$L628&amp;"건",IF($M628="C","사이트",IF($M628="I",INDEX('완료 체험단'!$C$4:$C$2000,$N628),IF($M628="T",$L628&amp;"건",""))))</f>
        <v/>
      </c>
      <c r="D628" s="30" t="str">
        <f>IF($M628="C","방문일",IF($M628="I",INDEX('완료 체험단'!$D$4:$D$2000,$N628),""))</f>
        <v/>
      </c>
      <c r="E628" s="25" t="str">
        <f>IF($M628="H","제공금액 "&amp;TEXT(INDEX($U$5:$U$16,$J628),"#,##0")&amp;"원",IF($M628="C","제공금액",IF($M628="I",INDEX('완료 체험단'!$F$4:$F$2000,$N628),IF($M628="T",INDEX($U$5:$U$16,$J628),""))))</f>
        <v/>
      </c>
      <c r="F628" s="25" t="str">
        <f>IF($M628="H","결제금액 "&amp;TEXT(INDEX($V$5:$V$16,$J628),"#,##0")&amp;"원",IF($M628="C","결제금액",IF($M628="I",INDEX('완료 체험단'!$G$4:$G$2000,$N628),IF($M628="T",INDEX($V$5:$V$16,$J628),""))))</f>
        <v/>
      </c>
      <c r="G628" s="25" t="str">
        <f>IF($M628="H","실수익 "&amp;TEXT(INDEX($W$5:$W$16,$J628),"#,##0")&amp;"원",IF($M628="C","실수익",IF($M628="I",INDEX('완료 체험단'!$H$4:$H$2000,$N628),IF($M628="T",INDEX($W$5:$W$16,$J628),""))))</f>
        <v/>
      </c>
      <c r="I628" s="31">
        <f>ROWS(I$5:I628)</f>
        <v>624</v>
      </c>
      <c r="J628" t="str">
        <f t="shared" si="39"/>
        <v/>
      </c>
      <c r="K628" t="str">
        <f t="shared" si="40"/>
        <v/>
      </c>
      <c r="L628" t="str">
        <f t="shared" si="41"/>
        <v/>
      </c>
      <c r="M628" t="str">
        <f t="shared" si="42"/>
        <v/>
      </c>
      <c r="N628" t="str">
        <f>IF($M628="I",MATCH(SMALL('완료 체험단'!$K$4:$K$2000,INDEX($T$5:$T$16,$J628)+$K628-2),'완료 체험단'!$K$4:$K$2000,0),"")</f>
        <v/>
      </c>
    </row>
    <row r="629" spans="2:14">
      <c r="B629" s="23" t="str">
        <f>IF($M629="H",$J629&amp;"월",IF($M629="C","매장명",IF($M629="I",INDEX('완료 체험단'!$A$4:$A$2000,$N629),IF($M629="T","합계",""))))</f>
        <v/>
      </c>
      <c r="C629" s="29" t="str">
        <f>IF($M629="H",$L629&amp;"건",IF($M629="C","사이트",IF($M629="I",INDEX('완료 체험단'!$C$4:$C$2000,$N629),IF($M629="T",$L629&amp;"건",""))))</f>
        <v/>
      </c>
      <c r="D629" s="30" t="str">
        <f>IF($M629="C","방문일",IF($M629="I",INDEX('완료 체험단'!$D$4:$D$2000,$N629),""))</f>
        <v/>
      </c>
      <c r="E629" s="25" t="str">
        <f>IF($M629="H","제공금액 "&amp;TEXT(INDEX($U$5:$U$16,$J629),"#,##0")&amp;"원",IF($M629="C","제공금액",IF($M629="I",INDEX('완료 체험단'!$F$4:$F$2000,$N629),IF($M629="T",INDEX($U$5:$U$16,$J629),""))))</f>
        <v/>
      </c>
      <c r="F629" s="25" t="str">
        <f>IF($M629="H","결제금액 "&amp;TEXT(INDEX($V$5:$V$16,$J629),"#,##0")&amp;"원",IF($M629="C","결제금액",IF($M629="I",INDEX('완료 체험단'!$G$4:$G$2000,$N629),IF($M629="T",INDEX($V$5:$V$16,$J629),""))))</f>
        <v/>
      </c>
      <c r="G629" s="25" t="str">
        <f>IF($M629="H","실수익 "&amp;TEXT(INDEX($W$5:$W$16,$J629),"#,##0")&amp;"원",IF($M629="C","실수익",IF($M629="I",INDEX('완료 체험단'!$H$4:$H$2000,$N629),IF($M629="T",INDEX($W$5:$W$16,$J629),""))))</f>
        <v/>
      </c>
      <c r="I629" s="31">
        <f>ROWS(I$5:I629)</f>
        <v>625</v>
      </c>
      <c r="J629" t="str">
        <f t="shared" si="39"/>
        <v/>
      </c>
      <c r="K629" t="str">
        <f t="shared" si="40"/>
        <v/>
      </c>
      <c r="L629" t="str">
        <f t="shared" si="41"/>
        <v/>
      </c>
      <c r="M629" t="str">
        <f t="shared" si="42"/>
        <v/>
      </c>
      <c r="N629" t="str">
        <f>IF($M629="I",MATCH(SMALL('완료 체험단'!$K$4:$K$2000,INDEX($T$5:$T$16,$J629)+$K629-2),'완료 체험단'!$K$4:$K$2000,0),"")</f>
        <v/>
      </c>
    </row>
    <row r="630" spans="2:14">
      <c r="B630" s="23" t="str">
        <f>IF($M630="H",$J630&amp;"월",IF($M630="C","매장명",IF($M630="I",INDEX('완료 체험단'!$A$4:$A$2000,$N630),IF($M630="T","합계",""))))</f>
        <v/>
      </c>
      <c r="C630" s="29" t="str">
        <f>IF($M630="H",$L630&amp;"건",IF($M630="C","사이트",IF($M630="I",INDEX('완료 체험단'!$C$4:$C$2000,$N630),IF($M630="T",$L630&amp;"건",""))))</f>
        <v/>
      </c>
      <c r="D630" s="30" t="str">
        <f>IF($M630="C","방문일",IF($M630="I",INDEX('완료 체험단'!$D$4:$D$2000,$N630),""))</f>
        <v/>
      </c>
      <c r="E630" s="25" t="str">
        <f>IF($M630="H","제공금액 "&amp;TEXT(INDEX($U$5:$U$16,$J630),"#,##0")&amp;"원",IF($M630="C","제공금액",IF($M630="I",INDEX('완료 체험단'!$F$4:$F$2000,$N630),IF($M630="T",INDEX($U$5:$U$16,$J630),""))))</f>
        <v/>
      </c>
      <c r="F630" s="25" t="str">
        <f>IF($M630="H","결제금액 "&amp;TEXT(INDEX($V$5:$V$16,$J630),"#,##0")&amp;"원",IF($M630="C","결제금액",IF($M630="I",INDEX('완료 체험단'!$G$4:$G$2000,$N630),IF($M630="T",INDEX($V$5:$V$16,$J630),""))))</f>
        <v/>
      </c>
      <c r="G630" s="25" t="str">
        <f>IF($M630="H","실수익 "&amp;TEXT(INDEX($W$5:$W$16,$J630),"#,##0")&amp;"원",IF($M630="C","실수익",IF($M630="I",INDEX('완료 체험단'!$H$4:$H$2000,$N630),IF($M630="T",INDEX($W$5:$W$16,$J630),""))))</f>
        <v/>
      </c>
      <c r="I630" s="31">
        <f>ROWS(I$5:I630)</f>
        <v>626</v>
      </c>
      <c r="J630" t="str">
        <f t="shared" si="39"/>
        <v/>
      </c>
      <c r="K630" t="str">
        <f t="shared" si="40"/>
        <v/>
      </c>
      <c r="L630" t="str">
        <f t="shared" si="41"/>
        <v/>
      </c>
      <c r="M630" t="str">
        <f t="shared" si="42"/>
        <v/>
      </c>
      <c r="N630" t="str">
        <f>IF($M630="I",MATCH(SMALL('완료 체험단'!$K$4:$K$2000,INDEX($T$5:$T$16,$J630)+$K630-2),'완료 체험단'!$K$4:$K$2000,0),"")</f>
        <v/>
      </c>
    </row>
    <row r="631" spans="2:14">
      <c r="B631" s="23" t="str">
        <f>IF($M631="H",$J631&amp;"월",IF($M631="C","매장명",IF($M631="I",INDEX('완료 체험단'!$A$4:$A$2000,$N631),IF($M631="T","합계",""))))</f>
        <v/>
      </c>
      <c r="C631" s="29" t="str">
        <f>IF($M631="H",$L631&amp;"건",IF($M631="C","사이트",IF($M631="I",INDEX('완료 체험단'!$C$4:$C$2000,$N631),IF($M631="T",$L631&amp;"건",""))))</f>
        <v/>
      </c>
      <c r="D631" s="30" t="str">
        <f>IF($M631="C","방문일",IF($M631="I",INDEX('완료 체험단'!$D$4:$D$2000,$N631),""))</f>
        <v/>
      </c>
      <c r="E631" s="25" t="str">
        <f>IF($M631="H","제공금액 "&amp;TEXT(INDEX($U$5:$U$16,$J631),"#,##0")&amp;"원",IF($M631="C","제공금액",IF($M631="I",INDEX('완료 체험단'!$F$4:$F$2000,$N631),IF($M631="T",INDEX($U$5:$U$16,$J631),""))))</f>
        <v/>
      </c>
      <c r="F631" s="25" t="str">
        <f>IF($M631="H","결제금액 "&amp;TEXT(INDEX($V$5:$V$16,$J631),"#,##0")&amp;"원",IF($M631="C","결제금액",IF($M631="I",INDEX('완료 체험단'!$G$4:$G$2000,$N631),IF($M631="T",INDEX($V$5:$V$16,$J631),""))))</f>
        <v/>
      </c>
      <c r="G631" s="25" t="str">
        <f>IF($M631="H","실수익 "&amp;TEXT(INDEX($W$5:$W$16,$J631),"#,##0")&amp;"원",IF($M631="C","실수익",IF($M631="I",INDEX('완료 체험단'!$H$4:$H$2000,$N631),IF($M631="T",INDEX($W$5:$W$16,$J631),""))))</f>
        <v/>
      </c>
      <c r="I631" s="31">
        <f>ROWS(I$5:I631)</f>
        <v>627</v>
      </c>
      <c r="J631" t="str">
        <f t="shared" si="39"/>
        <v/>
      </c>
      <c r="K631" t="str">
        <f t="shared" si="40"/>
        <v/>
      </c>
      <c r="L631" t="str">
        <f t="shared" si="41"/>
        <v/>
      </c>
      <c r="M631" t="str">
        <f t="shared" si="42"/>
        <v/>
      </c>
      <c r="N631" t="str">
        <f>IF($M631="I",MATCH(SMALL('완료 체험단'!$K$4:$K$2000,INDEX($T$5:$T$16,$J631)+$K631-2),'완료 체험단'!$K$4:$K$2000,0),"")</f>
        <v/>
      </c>
    </row>
    <row r="632" spans="2:14">
      <c r="B632" s="23" t="str">
        <f>IF($M632="H",$J632&amp;"월",IF($M632="C","매장명",IF($M632="I",INDEX('완료 체험단'!$A$4:$A$2000,$N632),IF($M632="T","합계",""))))</f>
        <v/>
      </c>
      <c r="C632" s="29" t="str">
        <f>IF($M632="H",$L632&amp;"건",IF($M632="C","사이트",IF($M632="I",INDEX('완료 체험단'!$C$4:$C$2000,$N632),IF($M632="T",$L632&amp;"건",""))))</f>
        <v/>
      </c>
      <c r="D632" s="30" t="str">
        <f>IF($M632="C","방문일",IF($M632="I",INDEX('완료 체험단'!$D$4:$D$2000,$N632),""))</f>
        <v/>
      </c>
      <c r="E632" s="25" t="str">
        <f>IF($M632="H","제공금액 "&amp;TEXT(INDEX($U$5:$U$16,$J632),"#,##0")&amp;"원",IF($M632="C","제공금액",IF($M632="I",INDEX('완료 체험단'!$F$4:$F$2000,$N632),IF($M632="T",INDEX($U$5:$U$16,$J632),""))))</f>
        <v/>
      </c>
      <c r="F632" s="25" t="str">
        <f>IF($M632="H","결제금액 "&amp;TEXT(INDEX($V$5:$V$16,$J632),"#,##0")&amp;"원",IF($M632="C","결제금액",IF($M632="I",INDEX('완료 체험단'!$G$4:$G$2000,$N632),IF($M632="T",INDEX($V$5:$V$16,$J632),""))))</f>
        <v/>
      </c>
      <c r="G632" s="25" t="str">
        <f>IF($M632="H","실수익 "&amp;TEXT(INDEX($W$5:$W$16,$J632),"#,##0")&amp;"원",IF($M632="C","실수익",IF($M632="I",INDEX('완료 체험단'!$H$4:$H$2000,$N632),IF($M632="T",INDEX($W$5:$W$16,$J632),""))))</f>
        <v/>
      </c>
      <c r="I632" s="31">
        <f>ROWS(I$5:I632)</f>
        <v>628</v>
      </c>
      <c r="J632" t="str">
        <f t="shared" si="39"/>
        <v/>
      </c>
      <c r="K632" t="str">
        <f t="shared" si="40"/>
        <v/>
      </c>
      <c r="L632" t="str">
        <f t="shared" si="41"/>
        <v/>
      </c>
      <c r="M632" t="str">
        <f t="shared" si="42"/>
        <v/>
      </c>
      <c r="N632" t="str">
        <f>IF($M632="I",MATCH(SMALL('완료 체험단'!$K$4:$K$2000,INDEX($T$5:$T$16,$J632)+$K632-2),'완료 체험단'!$K$4:$K$2000,0),"")</f>
        <v/>
      </c>
    </row>
    <row r="633" spans="2:14">
      <c r="B633" s="23" t="str">
        <f>IF($M633="H",$J633&amp;"월",IF($M633="C","매장명",IF($M633="I",INDEX('완료 체험단'!$A$4:$A$2000,$N633),IF($M633="T","합계",""))))</f>
        <v/>
      </c>
      <c r="C633" s="29" t="str">
        <f>IF($M633="H",$L633&amp;"건",IF($M633="C","사이트",IF($M633="I",INDEX('완료 체험단'!$C$4:$C$2000,$N633),IF($M633="T",$L633&amp;"건",""))))</f>
        <v/>
      </c>
      <c r="D633" s="30" t="str">
        <f>IF($M633="C","방문일",IF($M633="I",INDEX('완료 체험단'!$D$4:$D$2000,$N633),""))</f>
        <v/>
      </c>
      <c r="E633" s="25" t="str">
        <f>IF($M633="H","제공금액 "&amp;TEXT(INDEX($U$5:$U$16,$J633),"#,##0")&amp;"원",IF($M633="C","제공금액",IF($M633="I",INDEX('완료 체험단'!$F$4:$F$2000,$N633),IF($M633="T",INDEX($U$5:$U$16,$J633),""))))</f>
        <v/>
      </c>
      <c r="F633" s="25" t="str">
        <f>IF($M633="H","결제금액 "&amp;TEXT(INDEX($V$5:$V$16,$J633),"#,##0")&amp;"원",IF($M633="C","결제금액",IF($M633="I",INDEX('완료 체험단'!$G$4:$G$2000,$N633),IF($M633="T",INDEX($V$5:$V$16,$J633),""))))</f>
        <v/>
      </c>
      <c r="G633" s="25" t="str">
        <f>IF($M633="H","실수익 "&amp;TEXT(INDEX($W$5:$W$16,$J633),"#,##0")&amp;"원",IF($M633="C","실수익",IF($M633="I",INDEX('완료 체험단'!$H$4:$H$2000,$N633),IF($M633="T",INDEX($W$5:$W$16,$J633),""))))</f>
        <v/>
      </c>
      <c r="I633" s="31">
        <f>ROWS(I$5:I633)</f>
        <v>629</v>
      </c>
      <c r="J633" t="str">
        <f t="shared" si="39"/>
        <v/>
      </c>
      <c r="K633" t="str">
        <f t="shared" si="40"/>
        <v/>
      </c>
      <c r="L633" t="str">
        <f t="shared" si="41"/>
        <v/>
      </c>
      <c r="M633" t="str">
        <f t="shared" si="42"/>
        <v/>
      </c>
      <c r="N633" t="str">
        <f>IF($M633="I",MATCH(SMALL('완료 체험단'!$K$4:$K$2000,INDEX($T$5:$T$16,$J633)+$K633-2),'완료 체험단'!$K$4:$K$2000,0),"")</f>
        <v/>
      </c>
    </row>
    <row r="634" spans="2:14">
      <c r="B634" s="23" t="str">
        <f>IF($M634="H",$J634&amp;"월",IF($M634="C","매장명",IF($M634="I",INDEX('완료 체험단'!$A$4:$A$2000,$N634),IF($M634="T","합계",""))))</f>
        <v/>
      </c>
      <c r="C634" s="29" t="str">
        <f>IF($M634="H",$L634&amp;"건",IF($M634="C","사이트",IF($M634="I",INDEX('완료 체험단'!$C$4:$C$2000,$N634),IF($M634="T",$L634&amp;"건",""))))</f>
        <v/>
      </c>
      <c r="D634" s="30" t="str">
        <f>IF($M634="C","방문일",IF($M634="I",INDEX('완료 체험단'!$D$4:$D$2000,$N634),""))</f>
        <v/>
      </c>
      <c r="E634" s="25" t="str">
        <f>IF($M634="H","제공금액 "&amp;TEXT(INDEX($U$5:$U$16,$J634),"#,##0")&amp;"원",IF($M634="C","제공금액",IF($M634="I",INDEX('완료 체험단'!$F$4:$F$2000,$N634),IF($M634="T",INDEX($U$5:$U$16,$J634),""))))</f>
        <v/>
      </c>
      <c r="F634" s="25" t="str">
        <f>IF($M634="H","결제금액 "&amp;TEXT(INDEX($V$5:$V$16,$J634),"#,##0")&amp;"원",IF($M634="C","결제금액",IF($M634="I",INDEX('완료 체험단'!$G$4:$G$2000,$N634),IF($M634="T",INDEX($V$5:$V$16,$J634),""))))</f>
        <v/>
      </c>
      <c r="G634" s="25" t="str">
        <f>IF($M634="H","실수익 "&amp;TEXT(INDEX($W$5:$W$16,$J634),"#,##0")&amp;"원",IF($M634="C","실수익",IF($M634="I",INDEX('완료 체험단'!$H$4:$H$2000,$N634),IF($M634="T",INDEX($W$5:$W$16,$J634),""))))</f>
        <v/>
      </c>
      <c r="I634" s="31">
        <f>ROWS(I$5:I634)</f>
        <v>630</v>
      </c>
      <c r="J634" t="str">
        <f t="shared" si="39"/>
        <v/>
      </c>
      <c r="K634" t="str">
        <f t="shared" si="40"/>
        <v/>
      </c>
      <c r="L634" t="str">
        <f t="shared" si="41"/>
        <v/>
      </c>
      <c r="M634" t="str">
        <f t="shared" si="42"/>
        <v/>
      </c>
      <c r="N634" t="str">
        <f>IF($M634="I",MATCH(SMALL('완료 체험단'!$K$4:$K$2000,INDEX($T$5:$T$16,$J634)+$K634-2),'완료 체험단'!$K$4:$K$2000,0),"")</f>
        <v/>
      </c>
    </row>
    <row r="635" spans="2:14">
      <c r="B635" s="23" t="str">
        <f>IF($M635="H",$J635&amp;"월",IF($M635="C","매장명",IF($M635="I",INDEX('완료 체험단'!$A$4:$A$2000,$N635),IF($M635="T","합계",""))))</f>
        <v/>
      </c>
      <c r="C635" s="29" t="str">
        <f>IF($M635="H",$L635&amp;"건",IF($M635="C","사이트",IF($M635="I",INDEX('완료 체험단'!$C$4:$C$2000,$N635),IF($M635="T",$L635&amp;"건",""))))</f>
        <v/>
      </c>
      <c r="D635" s="30" t="str">
        <f>IF($M635="C","방문일",IF($M635="I",INDEX('완료 체험단'!$D$4:$D$2000,$N635),""))</f>
        <v/>
      </c>
      <c r="E635" s="25" t="str">
        <f>IF($M635="H","제공금액 "&amp;TEXT(INDEX($U$5:$U$16,$J635),"#,##0")&amp;"원",IF($M635="C","제공금액",IF($M635="I",INDEX('완료 체험단'!$F$4:$F$2000,$N635),IF($M635="T",INDEX($U$5:$U$16,$J635),""))))</f>
        <v/>
      </c>
      <c r="F635" s="25" t="str">
        <f>IF($M635="H","결제금액 "&amp;TEXT(INDEX($V$5:$V$16,$J635),"#,##0")&amp;"원",IF($M635="C","결제금액",IF($M635="I",INDEX('완료 체험단'!$G$4:$G$2000,$N635),IF($M635="T",INDEX($V$5:$V$16,$J635),""))))</f>
        <v/>
      </c>
      <c r="G635" s="25" t="str">
        <f>IF($M635="H","실수익 "&amp;TEXT(INDEX($W$5:$W$16,$J635),"#,##0")&amp;"원",IF($M635="C","실수익",IF($M635="I",INDEX('완료 체험단'!$H$4:$H$2000,$N635),IF($M635="T",INDEX($W$5:$W$16,$J635),""))))</f>
        <v/>
      </c>
      <c r="I635" s="31">
        <f>ROWS(I$5:I635)</f>
        <v>631</v>
      </c>
      <c r="J635" t="str">
        <f t="shared" si="39"/>
        <v/>
      </c>
      <c r="K635" t="str">
        <f t="shared" si="40"/>
        <v/>
      </c>
      <c r="L635" t="str">
        <f t="shared" si="41"/>
        <v/>
      </c>
      <c r="M635" t="str">
        <f t="shared" si="42"/>
        <v/>
      </c>
      <c r="N635" t="str">
        <f>IF($M635="I",MATCH(SMALL('완료 체험단'!$K$4:$K$2000,INDEX($T$5:$T$16,$J635)+$K635-2),'완료 체험단'!$K$4:$K$2000,0),"")</f>
        <v/>
      </c>
    </row>
    <row r="636" spans="2:14">
      <c r="B636" s="23" t="str">
        <f>IF($M636="H",$J636&amp;"월",IF($M636="C","매장명",IF($M636="I",INDEX('완료 체험단'!$A$4:$A$2000,$N636),IF($M636="T","합계",""))))</f>
        <v/>
      </c>
      <c r="C636" s="29" t="str">
        <f>IF($M636="H",$L636&amp;"건",IF($M636="C","사이트",IF($M636="I",INDEX('완료 체험단'!$C$4:$C$2000,$N636),IF($M636="T",$L636&amp;"건",""))))</f>
        <v/>
      </c>
      <c r="D636" s="30" t="str">
        <f>IF($M636="C","방문일",IF($M636="I",INDEX('완료 체험단'!$D$4:$D$2000,$N636),""))</f>
        <v/>
      </c>
      <c r="E636" s="25" t="str">
        <f>IF($M636="H","제공금액 "&amp;TEXT(INDEX($U$5:$U$16,$J636),"#,##0")&amp;"원",IF($M636="C","제공금액",IF($M636="I",INDEX('완료 체험단'!$F$4:$F$2000,$N636),IF($M636="T",INDEX($U$5:$U$16,$J636),""))))</f>
        <v/>
      </c>
      <c r="F636" s="25" t="str">
        <f>IF($M636="H","결제금액 "&amp;TEXT(INDEX($V$5:$V$16,$J636),"#,##0")&amp;"원",IF($M636="C","결제금액",IF($M636="I",INDEX('완료 체험단'!$G$4:$G$2000,$N636),IF($M636="T",INDEX($V$5:$V$16,$J636),""))))</f>
        <v/>
      </c>
      <c r="G636" s="25" t="str">
        <f>IF($M636="H","실수익 "&amp;TEXT(INDEX($W$5:$W$16,$J636),"#,##0")&amp;"원",IF($M636="C","실수익",IF($M636="I",INDEX('완료 체험단'!$H$4:$H$2000,$N636),IF($M636="T",INDEX($W$5:$W$16,$J636),""))))</f>
        <v/>
      </c>
      <c r="I636" s="31">
        <f>ROWS(I$5:I636)</f>
        <v>632</v>
      </c>
      <c r="J636" t="str">
        <f t="shared" si="39"/>
        <v/>
      </c>
      <c r="K636" t="str">
        <f t="shared" si="40"/>
        <v/>
      </c>
      <c r="L636" t="str">
        <f t="shared" si="41"/>
        <v/>
      </c>
      <c r="M636" t="str">
        <f t="shared" si="42"/>
        <v/>
      </c>
      <c r="N636" t="str">
        <f>IF($M636="I",MATCH(SMALL('완료 체험단'!$K$4:$K$2000,INDEX($T$5:$T$16,$J636)+$K636-2),'완료 체험단'!$K$4:$K$2000,0),"")</f>
        <v/>
      </c>
    </row>
    <row r="637" spans="2:14">
      <c r="B637" s="23" t="str">
        <f>IF($M637="H",$J637&amp;"월",IF($M637="C","매장명",IF($M637="I",INDEX('완료 체험단'!$A$4:$A$2000,$N637),IF($M637="T","합계",""))))</f>
        <v/>
      </c>
      <c r="C637" s="29" t="str">
        <f>IF($M637="H",$L637&amp;"건",IF($M637="C","사이트",IF($M637="I",INDEX('완료 체험단'!$C$4:$C$2000,$N637),IF($M637="T",$L637&amp;"건",""))))</f>
        <v/>
      </c>
      <c r="D637" s="30" t="str">
        <f>IF($M637="C","방문일",IF($M637="I",INDEX('완료 체험단'!$D$4:$D$2000,$N637),""))</f>
        <v/>
      </c>
      <c r="E637" s="25" t="str">
        <f>IF($M637="H","제공금액 "&amp;TEXT(INDEX($U$5:$U$16,$J637),"#,##0")&amp;"원",IF($M637="C","제공금액",IF($M637="I",INDEX('완료 체험단'!$F$4:$F$2000,$N637),IF($M637="T",INDEX($U$5:$U$16,$J637),""))))</f>
        <v/>
      </c>
      <c r="F637" s="25" t="str">
        <f>IF($M637="H","결제금액 "&amp;TEXT(INDEX($V$5:$V$16,$J637),"#,##0")&amp;"원",IF($M637="C","결제금액",IF($M637="I",INDEX('완료 체험단'!$G$4:$G$2000,$N637),IF($M637="T",INDEX($V$5:$V$16,$J637),""))))</f>
        <v/>
      </c>
      <c r="G637" s="25" t="str">
        <f>IF($M637="H","실수익 "&amp;TEXT(INDEX($W$5:$W$16,$J637),"#,##0")&amp;"원",IF($M637="C","실수익",IF($M637="I",INDEX('완료 체험단'!$H$4:$H$2000,$N637),IF($M637="T",INDEX($W$5:$W$16,$J637),""))))</f>
        <v/>
      </c>
      <c r="I637" s="31">
        <f>ROWS(I$5:I637)</f>
        <v>633</v>
      </c>
      <c r="J637" t="str">
        <f t="shared" si="39"/>
        <v/>
      </c>
      <c r="K637" t="str">
        <f t="shared" si="40"/>
        <v/>
      </c>
      <c r="L637" t="str">
        <f t="shared" si="41"/>
        <v/>
      </c>
      <c r="M637" t="str">
        <f t="shared" si="42"/>
        <v/>
      </c>
      <c r="N637" t="str">
        <f>IF($M637="I",MATCH(SMALL('완료 체험단'!$K$4:$K$2000,INDEX($T$5:$T$16,$J637)+$K637-2),'완료 체험단'!$K$4:$K$2000,0),"")</f>
        <v/>
      </c>
    </row>
    <row r="638" spans="2:14">
      <c r="B638" s="23" t="str">
        <f>IF($M638="H",$J638&amp;"월",IF($M638="C","매장명",IF($M638="I",INDEX('완료 체험단'!$A$4:$A$2000,$N638),IF($M638="T","합계",""))))</f>
        <v/>
      </c>
      <c r="C638" s="29" t="str">
        <f>IF($M638="H",$L638&amp;"건",IF($M638="C","사이트",IF($M638="I",INDEX('완료 체험단'!$C$4:$C$2000,$N638),IF($M638="T",$L638&amp;"건",""))))</f>
        <v/>
      </c>
      <c r="D638" s="30" t="str">
        <f>IF($M638="C","방문일",IF($M638="I",INDEX('완료 체험단'!$D$4:$D$2000,$N638),""))</f>
        <v/>
      </c>
      <c r="E638" s="25" t="str">
        <f>IF($M638="H","제공금액 "&amp;TEXT(INDEX($U$5:$U$16,$J638),"#,##0")&amp;"원",IF($M638="C","제공금액",IF($M638="I",INDEX('완료 체험단'!$F$4:$F$2000,$N638),IF($M638="T",INDEX($U$5:$U$16,$J638),""))))</f>
        <v/>
      </c>
      <c r="F638" s="25" t="str">
        <f>IF($M638="H","결제금액 "&amp;TEXT(INDEX($V$5:$V$16,$J638),"#,##0")&amp;"원",IF($M638="C","결제금액",IF($M638="I",INDEX('완료 체험단'!$G$4:$G$2000,$N638),IF($M638="T",INDEX($V$5:$V$16,$J638),""))))</f>
        <v/>
      </c>
      <c r="G638" s="25" t="str">
        <f>IF($M638="H","실수익 "&amp;TEXT(INDEX($W$5:$W$16,$J638),"#,##0")&amp;"원",IF($M638="C","실수익",IF($M638="I",INDEX('완료 체험단'!$H$4:$H$2000,$N638),IF($M638="T",INDEX($W$5:$W$16,$J638),""))))</f>
        <v/>
      </c>
      <c r="I638" s="31">
        <f>ROWS(I$5:I638)</f>
        <v>634</v>
      </c>
      <c r="J638" t="str">
        <f t="shared" si="39"/>
        <v/>
      </c>
      <c r="K638" t="str">
        <f t="shared" si="40"/>
        <v/>
      </c>
      <c r="L638" t="str">
        <f t="shared" si="41"/>
        <v/>
      </c>
      <c r="M638" t="str">
        <f t="shared" si="42"/>
        <v/>
      </c>
      <c r="N638" t="str">
        <f>IF($M638="I",MATCH(SMALL('완료 체험단'!$K$4:$K$2000,INDEX($T$5:$T$16,$J638)+$K638-2),'완료 체험단'!$K$4:$K$2000,0),"")</f>
        <v/>
      </c>
    </row>
    <row r="639" spans="2:14">
      <c r="B639" s="23" t="str">
        <f>IF($M639="H",$J639&amp;"월",IF($M639="C","매장명",IF($M639="I",INDEX('완료 체험단'!$A$4:$A$2000,$N639),IF($M639="T","합계",""))))</f>
        <v/>
      </c>
      <c r="C639" s="29" t="str">
        <f>IF($M639="H",$L639&amp;"건",IF($M639="C","사이트",IF($M639="I",INDEX('완료 체험단'!$C$4:$C$2000,$N639),IF($M639="T",$L639&amp;"건",""))))</f>
        <v/>
      </c>
      <c r="D639" s="30" t="str">
        <f>IF($M639="C","방문일",IF($M639="I",INDEX('완료 체험단'!$D$4:$D$2000,$N639),""))</f>
        <v/>
      </c>
      <c r="E639" s="25" t="str">
        <f>IF($M639="H","제공금액 "&amp;TEXT(INDEX($U$5:$U$16,$J639),"#,##0")&amp;"원",IF($M639="C","제공금액",IF($M639="I",INDEX('완료 체험단'!$F$4:$F$2000,$N639),IF($M639="T",INDEX($U$5:$U$16,$J639),""))))</f>
        <v/>
      </c>
      <c r="F639" s="25" t="str">
        <f>IF($M639="H","결제금액 "&amp;TEXT(INDEX($V$5:$V$16,$J639),"#,##0")&amp;"원",IF($M639="C","결제금액",IF($M639="I",INDEX('완료 체험단'!$G$4:$G$2000,$N639),IF($M639="T",INDEX($V$5:$V$16,$J639),""))))</f>
        <v/>
      </c>
      <c r="G639" s="25" t="str">
        <f>IF($M639="H","실수익 "&amp;TEXT(INDEX($W$5:$W$16,$J639),"#,##0")&amp;"원",IF($M639="C","실수익",IF($M639="I",INDEX('완료 체험단'!$H$4:$H$2000,$N639),IF($M639="T",INDEX($W$5:$W$16,$J639),""))))</f>
        <v/>
      </c>
      <c r="I639" s="31">
        <f>ROWS(I$5:I639)</f>
        <v>635</v>
      </c>
      <c r="J639" t="str">
        <f t="shared" si="39"/>
        <v/>
      </c>
      <c r="K639" t="str">
        <f t="shared" si="40"/>
        <v/>
      </c>
      <c r="L639" t="str">
        <f t="shared" si="41"/>
        <v/>
      </c>
      <c r="M639" t="str">
        <f t="shared" si="42"/>
        <v/>
      </c>
      <c r="N639" t="str">
        <f>IF($M639="I",MATCH(SMALL('완료 체험단'!$K$4:$K$2000,INDEX($T$5:$T$16,$J639)+$K639-2),'완료 체험단'!$K$4:$K$2000,0),"")</f>
        <v/>
      </c>
    </row>
    <row r="640" spans="2:14">
      <c r="B640" s="23" t="str">
        <f>IF($M640="H",$J640&amp;"월",IF($M640="C","매장명",IF($M640="I",INDEX('완료 체험단'!$A$4:$A$2000,$N640),IF($M640="T","합계",""))))</f>
        <v/>
      </c>
      <c r="C640" s="29" t="str">
        <f>IF($M640="H",$L640&amp;"건",IF($M640="C","사이트",IF($M640="I",INDEX('완료 체험단'!$C$4:$C$2000,$N640),IF($M640="T",$L640&amp;"건",""))))</f>
        <v/>
      </c>
      <c r="D640" s="30" t="str">
        <f>IF($M640="C","방문일",IF($M640="I",INDEX('완료 체험단'!$D$4:$D$2000,$N640),""))</f>
        <v/>
      </c>
      <c r="E640" s="25" t="str">
        <f>IF($M640="H","제공금액 "&amp;TEXT(INDEX($U$5:$U$16,$J640),"#,##0")&amp;"원",IF($M640="C","제공금액",IF($M640="I",INDEX('완료 체험단'!$F$4:$F$2000,$N640),IF($M640="T",INDEX($U$5:$U$16,$J640),""))))</f>
        <v/>
      </c>
      <c r="F640" s="25" t="str">
        <f>IF($M640="H","결제금액 "&amp;TEXT(INDEX($V$5:$V$16,$J640),"#,##0")&amp;"원",IF($M640="C","결제금액",IF($M640="I",INDEX('완료 체험단'!$G$4:$G$2000,$N640),IF($M640="T",INDEX($V$5:$V$16,$J640),""))))</f>
        <v/>
      </c>
      <c r="G640" s="25" t="str">
        <f>IF($M640="H","실수익 "&amp;TEXT(INDEX($W$5:$W$16,$J640),"#,##0")&amp;"원",IF($M640="C","실수익",IF($M640="I",INDEX('완료 체험단'!$H$4:$H$2000,$N640),IF($M640="T",INDEX($W$5:$W$16,$J640),""))))</f>
        <v/>
      </c>
      <c r="I640" s="31">
        <f>ROWS(I$5:I640)</f>
        <v>636</v>
      </c>
      <c r="J640" t="str">
        <f t="shared" si="39"/>
        <v/>
      </c>
      <c r="K640" t="str">
        <f t="shared" si="40"/>
        <v/>
      </c>
      <c r="L640" t="str">
        <f t="shared" si="41"/>
        <v/>
      </c>
      <c r="M640" t="str">
        <f t="shared" si="42"/>
        <v/>
      </c>
      <c r="N640" t="str">
        <f>IF($M640="I",MATCH(SMALL('완료 체험단'!$K$4:$K$2000,INDEX($T$5:$T$16,$J640)+$K640-2),'완료 체험단'!$K$4:$K$2000,0),"")</f>
        <v/>
      </c>
    </row>
    <row r="641" spans="2:14">
      <c r="B641" s="23" t="str">
        <f>IF($M641="H",$J641&amp;"월",IF($M641="C","매장명",IF($M641="I",INDEX('완료 체험단'!$A$4:$A$2000,$N641),IF($M641="T","합계",""))))</f>
        <v/>
      </c>
      <c r="C641" s="29" t="str">
        <f>IF($M641="H",$L641&amp;"건",IF($M641="C","사이트",IF($M641="I",INDEX('완료 체험단'!$C$4:$C$2000,$N641),IF($M641="T",$L641&amp;"건",""))))</f>
        <v/>
      </c>
      <c r="D641" s="30" t="str">
        <f>IF($M641="C","방문일",IF($M641="I",INDEX('완료 체험단'!$D$4:$D$2000,$N641),""))</f>
        <v/>
      </c>
      <c r="E641" s="25" t="str">
        <f>IF($M641="H","제공금액 "&amp;TEXT(INDEX($U$5:$U$16,$J641),"#,##0")&amp;"원",IF($M641="C","제공금액",IF($M641="I",INDEX('완료 체험단'!$F$4:$F$2000,$N641),IF($M641="T",INDEX($U$5:$U$16,$J641),""))))</f>
        <v/>
      </c>
      <c r="F641" s="25" t="str">
        <f>IF($M641="H","결제금액 "&amp;TEXT(INDEX($V$5:$V$16,$J641),"#,##0")&amp;"원",IF($M641="C","결제금액",IF($M641="I",INDEX('완료 체험단'!$G$4:$G$2000,$N641),IF($M641="T",INDEX($V$5:$V$16,$J641),""))))</f>
        <v/>
      </c>
      <c r="G641" s="25" t="str">
        <f>IF($M641="H","실수익 "&amp;TEXT(INDEX($W$5:$W$16,$J641),"#,##0")&amp;"원",IF($M641="C","실수익",IF($M641="I",INDEX('완료 체험단'!$H$4:$H$2000,$N641),IF($M641="T",INDEX($W$5:$W$16,$J641),""))))</f>
        <v/>
      </c>
      <c r="I641" s="31">
        <f>ROWS(I$5:I641)</f>
        <v>637</v>
      </c>
      <c r="J641" t="str">
        <f t="shared" si="39"/>
        <v/>
      </c>
      <c r="K641" t="str">
        <f t="shared" si="40"/>
        <v/>
      </c>
      <c r="L641" t="str">
        <f t="shared" si="41"/>
        <v/>
      </c>
      <c r="M641" t="str">
        <f t="shared" si="42"/>
        <v/>
      </c>
      <c r="N641" t="str">
        <f>IF($M641="I",MATCH(SMALL('완료 체험단'!$K$4:$K$2000,INDEX($T$5:$T$16,$J641)+$K641-2),'완료 체험단'!$K$4:$K$2000,0),"")</f>
        <v/>
      </c>
    </row>
    <row r="642" spans="2:14">
      <c r="B642" s="23" t="str">
        <f>IF($M642="H",$J642&amp;"월",IF($M642="C","매장명",IF($M642="I",INDEX('완료 체험단'!$A$4:$A$2000,$N642),IF($M642="T","합계",""))))</f>
        <v/>
      </c>
      <c r="C642" s="29" t="str">
        <f>IF($M642="H",$L642&amp;"건",IF($M642="C","사이트",IF($M642="I",INDEX('완료 체험단'!$C$4:$C$2000,$N642),IF($M642="T",$L642&amp;"건",""))))</f>
        <v/>
      </c>
      <c r="D642" s="30" t="str">
        <f>IF($M642="C","방문일",IF($M642="I",INDEX('완료 체험단'!$D$4:$D$2000,$N642),""))</f>
        <v/>
      </c>
      <c r="E642" s="25" t="str">
        <f>IF($M642="H","제공금액 "&amp;TEXT(INDEX($U$5:$U$16,$J642),"#,##0")&amp;"원",IF($M642="C","제공금액",IF($M642="I",INDEX('완료 체험단'!$F$4:$F$2000,$N642),IF($M642="T",INDEX($U$5:$U$16,$J642),""))))</f>
        <v/>
      </c>
      <c r="F642" s="25" t="str">
        <f>IF($M642="H","결제금액 "&amp;TEXT(INDEX($V$5:$V$16,$J642),"#,##0")&amp;"원",IF($M642="C","결제금액",IF($M642="I",INDEX('완료 체험단'!$G$4:$G$2000,$N642),IF($M642="T",INDEX($V$5:$V$16,$J642),""))))</f>
        <v/>
      </c>
      <c r="G642" s="25" t="str">
        <f>IF($M642="H","실수익 "&amp;TEXT(INDEX($W$5:$W$16,$J642),"#,##0")&amp;"원",IF($M642="C","실수익",IF($M642="I",INDEX('완료 체험단'!$H$4:$H$2000,$N642),IF($M642="T",INDEX($W$5:$W$16,$J642),""))))</f>
        <v/>
      </c>
      <c r="I642" s="31">
        <f>ROWS(I$5:I642)</f>
        <v>638</v>
      </c>
      <c r="J642" t="str">
        <f t="shared" si="39"/>
        <v/>
      </c>
      <c r="K642" t="str">
        <f t="shared" si="40"/>
        <v/>
      </c>
      <c r="L642" t="str">
        <f t="shared" si="41"/>
        <v/>
      </c>
      <c r="M642" t="str">
        <f t="shared" si="42"/>
        <v/>
      </c>
      <c r="N642" t="str">
        <f>IF($M642="I",MATCH(SMALL('완료 체험단'!$K$4:$K$2000,INDEX($T$5:$T$16,$J642)+$K642-2),'완료 체험단'!$K$4:$K$2000,0),"")</f>
        <v/>
      </c>
    </row>
    <row r="643" spans="2:14">
      <c r="B643" s="23" t="str">
        <f>IF($M643="H",$J643&amp;"월",IF($M643="C","매장명",IF($M643="I",INDEX('완료 체험단'!$A$4:$A$2000,$N643),IF($M643="T","합계",""))))</f>
        <v/>
      </c>
      <c r="C643" s="29" t="str">
        <f>IF($M643="H",$L643&amp;"건",IF($M643="C","사이트",IF($M643="I",INDEX('완료 체험단'!$C$4:$C$2000,$N643),IF($M643="T",$L643&amp;"건",""))))</f>
        <v/>
      </c>
      <c r="D643" s="30" t="str">
        <f>IF($M643="C","방문일",IF($M643="I",INDEX('완료 체험단'!$D$4:$D$2000,$N643),""))</f>
        <v/>
      </c>
      <c r="E643" s="25" t="str">
        <f>IF($M643="H","제공금액 "&amp;TEXT(INDEX($U$5:$U$16,$J643),"#,##0")&amp;"원",IF($M643="C","제공금액",IF($M643="I",INDEX('완료 체험단'!$F$4:$F$2000,$N643),IF($M643="T",INDEX($U$5:$U$16,$J643),""))))</f>
        <v/>
      </c>
      <c r="F643" s="25" t="str">
        <f>IF($M643="H","결제금액 "&amp;TEXT(INDEX($V$5:$V$16,$J643),"#,##0")&amp;"원",IF($M643="C","결제금액",IF($M643="I",INDEX('완료 체험단'!$G$4:$G$2000,$N643),IF($M643="T",INDEX($V$5:$V$16,$J643),""))))</f>
        <v/>
      </c>
      <c r="G643" s="25" t="str">
        <f>IF($M643="H","실수익 "&amp;TEXT(INDEX($W$5:$W$16,$J643),"#,##0")&amp;"원",IF($M643="C","실수익",IF($M643="I",INDEX('완료 체험단'!$H$4:$H$2000,$N643),IF($M643="T",INDEX($W$5:$W$16,$J643),""))))</f>
        <v/>
      </c>
      <c r="I643" s="31">
        <f>ROWS(I$5:I643)</f>
        <v>639</v>
      </c>
      <c r="J643" t="str">
        <f t="shared" si="39"/>
        <v/>
      </c>
      <c r="K643" t="str">
        <f t="shared" si="40"/>
        <v/>
      </c>
      <c r="L643" t="str">
        <f t="shared" si="41"/>
        <v/>
      </c>
      <c r="M643" t="str">
        <f t="shared" si="42"/>
        <v/>
      </c>
      <c r="N643" t="str">
        <f>IF($M643="I",MATCH(SMALL('완료 체험단'!$K$4:$K$2000,INDEX($T$5:$T$16,$J643)+$K643-2),'완료 체험단'!$K$4:$K$2000,0),"")</f>
        <v/>
      </c>
    </row>
    <row r="644" spans="2:14">
      <c r="B644" s="23" t="str">
        <f>IF($M644="H",$J644&amp;"월",IF($M644="C","매장명",IF($M644="I",INDEX('완료 체험단'!$A$4:$A$2000,$N644),IF($M644="T","합계",""))))</f>
        <v/>
      </c>
      <c r="C644" s="29" t="str">
        <f>IF($M644="H",$L644&amp;"건",IF($M644="C","사이트",IF($M644="I",INDEX('완료 체험단'!$C$4:$C$2000,$N644),IF($M644="T",$L644&amp;"건",""))))</f>
        <v/>
      </c>
      <c r="D644" s="30" t="str">
        <f>IF($M644="C","방문일",IF($M644="I",INDEX('완료 체험단'!$D$4:$D$2000,$N644),""))</f>
        <v/>
      </c>
      <c r="E644" s="25" t="str">
        <f>IF($M644="H","제공금액 "&amp;TEXT(INDEX($U$5:$U$16,$J644),"#,##0")&amp;"원",IF($M644="C","제공금액",IF($M644="I",INDEX('완료 체험단'!$F$4:$F$2000,$N644),IF($M644="T",INDEX($U$5:$U$16,$J644),""))))</f>
        <v/>
      </c>
      <c r="F644" s="25" t="str">
        <f>IF($M644="H","결제금액 "&amp;TEXT(INDEX($V$5:$V$16,$J644),"#,##0")&amp;"원",IF($M644="C","결제금액",IF($M644="I",INDEX('완료 체험단'!$G$4:$G$2000,$N644),IF($M644="T",INDEX($V$5:$V$16,$J644),""))))</f>
        <v/>
      </c>
      <c r="G644" s="25" t="str">
        <f>IF($M644="H","실수익 "&amp;TEXT(INDEX($W$5:$W$16,$J644),"#,##0")&amp;"원",IF($M644="C","실수익",IF($M644="I",INDEX('완료 체험단'!$H$4:$H$2000,$N644),IF($M644="T",INDEX($W$5:$W$16,$J644),""))))</f>
        <v/>
      </c>
      <c r="I644" s="31">
        <f>ROWS(I$5:I644)</f>
        <v>640</v>
      </c>
      <c r="J644" t="str">
        <f t="shared" si="39"/>
        <v/>
      </c>
      <c r="K644" t="str">
        <f t="shared" si="40"/>
        <v/>
      </c>
      <c r="L644" t="str">
        <f t="shared" si="41"/>
        <v/>
      </c>
      <c r="M644" t="str">
        <f t="shared" si="42"/>
        <v/>
      </c>
      <c r="N644" t="str">
        <f>IF($M644="I",MATCH(SMALL('완료 체험단'!$K$4:$K$2000,INDEX($T$5:$T$16,$J644)+$K644-2),'완료 체험단'!$K$4:$K$2000,0),"")</f>
        <v/>
      </c>
    </row>
    <row r="645" spans="2:14">
      <c r="B645" s="23" t="str">
        <f>IF($M645="H",$J645&amp;"월",IF($M645="C","매장명",IF($M645="I",INDEX('완료 체험단'!$A$4:$A$2000,$N645),IF($M645="T","합계",""))))</f>
        <v/>
      </c>
      <c r="C645" s="29" t="str">
        <f>IF($M645="H",$L645&amp;"건",IF($M645="C","사이트",IF($M645="I",INDEX('완료 체험단'!$C$4:$C$2000,$N645),IF($M645="T",$L645&amp;"건",""))))</f>
        <v/>
      </c>
      <c r="D645" s="30" t="str">
        <f>IF($M645="C","방문일",IF($M645="I",INDEX('완료 체험단'!$D$4:$D$2000,$N645),""))</f>
        <v/>
      </c>
      <c r="E645" s="25" t="str">
        <f>IF($M645="H","제공금액 "&amp;TEXT(INDEX($U$5:$U$16,$J645),"#,##0")&amp;"원",IF($M645="C","제공금액",IF($M645="I",INDEX('완료 체험단'!$F$4:$F$2000,$N645),IF($M645="T",INDEX($U$5:$U$16,$J645),""))))</f>
        <v/>
      </c>
      <c r="F645" s="25" t="str">
        <f>IF($M645="H","결제금액 "&amp;TEXT(INDEX($V$5:$V$16,$J645),"#,##0")&amp;"원",IF($M645="C","결제금액",IF($M645="I",INDEX('완료 체험단'!$G$4:$G$2000,$N645),IF($M645="T",INDEX($V$5:$V$16,$J645),""))))</f>
        <v/>
      </c>
      <c r="G645" s="25" t="str">
        <f>IF($M645="H","실수익 "&amp;TEXT(INDEX($W$5:$W$16,$J645),"#,##0")&amp;"원",IF($M645="C","실수익",IF($M645="I",INDEX('완료 체험단'!$H$4:$H$2000,$N645),IF($M645="T",INDEX($W$5:$W$16,$J645),""))))</f>
        <v/>
      </c>
      <c r="I645" s="31">
        <f>ROWS(I$5:I645)</f>
        <v>641</v>
      </c>
      <c r="J645" t="str">
        <f t="shared" ref="J645:J654" si="43">IF($I645&gt;$S$17,"",MATCH($I645-1,$S$5:$S$16,1))</f>
        <v/>
      </c>
      <c r="K645" t="str">
        <f t="shared" ref="K645:K654" si="44">IF($J645="","",$I645-INDEX($S$5:$S$16,$J645))</f>
        <v/>
      </c>
      <c r="L645" t="str">
        <f t="shared" ref="L645:L654" si="45">IF($J645="","",INDEX($Q$5:$Q$16,$J645))</f>
        <v/>
      </c>
      <c r="M645" t="str">
        <f t="shared" ref="M645:M654" si="46">IF($J645="","",IF($K645=1,"H",IF($L645=0,"S",IF($K645=2,"C",IF($K645&lt;=$L645+2,"I",IF($K645=$L645+3,"T","S"))))))</f>
        <v/>
      </c>
      <c r="N645" t="str">
        <f>IF($M645="I",MATCH(SMALL('완료 체험단'!$K$4:$K$2000,INDEX($T$5:$T$16,$J645)+$K645-2),'완료 체험단'!$K$4:$K$2000,0),"")</f>
        <v/>
      </c>
    </row>
    <row r="646" spans="2:14">
      <c r="B646" s="23" t="str">
        <f>IF($M646="H",$J646&amp;"월",IF($M646="C","매장명",IF($M646="I",INDEX('완료 체험단'!$A$4:$A$2000,$N646),IF($M646="T","합계",""))))</f>
        <v/>
      </c>
      <c r="C646" s="29" t="str">
        <f>IF($M646="H",$L646&amp;"건",IF($M646="C","사이트",IF($M646="I",INDEX('완료 체험단'!$C$4:$C$2000,$N646),IF($M646="T",$L646&amp;"건",""))))</f>
        <v/>
      </c>
      <c r="D646" s="30" t="str">
        <f>IF($M646="C","방문일",IF($M646="I",INDEX('완료 체험단'!$D$4:$D$2000,$N646),""))</f>
        <v/>
      </c>
      <c r="E646" s="25" t="str">
        <f>IF($M646="H","제공금액 "&amp;TEXT(INDEX($U$5:$U$16,$J646),"#,##0")&amp;"원",IF($M646="C","제공금액",IF($M646="I",INDEX('완료 체험단'!$F$4:$F$2000,$N646),IF($M646="T",INDEX($U$5:$U$16,$J646),""))))</f>
        <v/>
      </c>
      <c r="F646" s="25" t="str">
        <f>IF($M646="H","결제금액 "&amp;TEXT(INDEX($V$5:$V$16,$J646),"#,##0")&amp;"원",IF($M646="C","결제금액",IF($M646="I",INDEX('완료 체험단'!$G$4:$G$2000,$N646),IF($M646="T",INDEX($V$5:$V$16,$J646),""))))</f>
        <v/>
      </c>
      <c r="G646" s="25" t="str">
        <f>IF($M646="H","실수익 "&amp;TEXT(INDEX($W$5:$W$16,$J646),"#,##0")&amp;"원",IF($M646="C","실수익",IF($M646="I",INDEX('완료 체험단'!$H$4:$H$2000,$N646),IF($M646="T",INDEX($W$5:$W$16,$J646),""))))</f>
        <v/>
      </c>
      <c r="I646" s="31">
        <f>ROWS(I$5:I646)</f>
        <v>642</v>
      </c>
      <c r="J646" t="str">
        <f t="shared" si="43"/>
        <v/>
      </c>
      <c r="K646" t="str">
        <f t="shared" si="44"/>
        <v/>
      </c>
      <c r="L646" t="str">
        <f t="shared" si="45"/>
        <v/>
      </c>
      <c r="M646" t="str">
        <f t="shared" si="46"/>
        <v/>
      </c>
      <c r="N646" t="str">
        <f>IF($M646="I",MATCH(SMALL('완료 체험단'!$K$4:$K$2000,INDEX($T$5:$T$16,$J646)+$K646-2),'완료 체험단'!$K$4:$K$2000,0),"")</f>
        <v/>
      </c>
    </row>
    <row r="647" spans="2:14">
      <c r="B647" s="23" t="str">
        <f>IF($M647="H",$J647&amp;"월",IF($M647="C","매장명",IF($M647="I",INDEX('완료 체험단'!$A$4:$A$2000,$N647),IF($M647="T","합계",""))))</f>
        <v/>
      </c>
      <c r="C647" s="29" t="str">
        <f>IF($M647="H",$L647&amp;"건",IF($M647="C","사이트",IF($M647="I",INDEX('완료 체험단'!$C$4:$C$2000,$N647),IF($M647="T",$L647&amp;"건",""))))</f>
        <v/>
      </c>
      <c r="D647" s="30" t="str">
        <f>IF($M647="C","방문일",IF($M647="I",INDEX('완료 체험단'!$D$4:$D$2000,$N647),""))</f>
        <v/>
      </c>
      <c r="E647" s="25" t="str">
        <f>IF($M647="H","제공금액 "&amp;TEXT(INDEX($U$5:$U$16,$J647),"#,##0")&amp;"원",IF($M647="C","제공금액",IF($M647="I",INDEX('완료 체험단'!$F$4:$F$2000,$N647),IF($M647="T",INDEX($U$5:$U$16,$J647),""))))</f>
        <v/>
      </c>
      <c r="F647" s="25" t="str">
        <f>IF($M647="H","결제금액 "&amp;TEXT(INDEX($V$5:$V$16,$J647),"#,##0")&amp;"원",IF($M647="C","결제금액",IF($M647="I",INDEX('완료 체험단'!$G$4:$G$2000,$N647),IF($M647="T",INDEX($V$5:$V$16,$J647),""))))</f>
        <v/>
      </c>
      <c r="G647" s="25" t="str">
        <f>IF($M647="H","실수익 "&amp;TEXT(INDEX($W$5:$W$16,$J647),"#,##0")&amp;"원",IF($M647="C","실수익",IF($M647="I",INDEX('완료 체험단'!$H$4:$H$2000,$N647),IF($M647="T",INDEX($W$5:$W$16,$J647),""))))</f>
        <v/>
      </c>
      <c r="I647" s="31">
        <f>ROWS(I$5:I647)</f>
        <v>643</v>
      </c>
      <c r="J647" t="str">
        <f t="shared" si="43"/>
        <v/>
      </c>
      <c r="K647" t="str">
        <f t="shared" si="44"/>
        <v/>
      </c>
      <c r="L647" t="str">
        <f t="shared" si="45"/>
        <v/>
      </c>
      <c r="M647" t="str">
        <f t="shared" si="46"/>
        <v/>
      </c>
      <c r="N647" t="str">
        <f>IF($M647="I",MATCH(SMALL('완료 체험단'!$K$4:$K$2000,INDEX($T$5:$T$16,$J647)+$K647-2),'완료 체험단'!$K$4:$K$2000,0),"")</f>
        <v/>
      </c>
    </row>
    <row r="648" spans="2:14">
      <c r="B648" s="23" t="str">
        <f>IF($M648="H",$J648&amp;"월",IF($M648="C","매장명",IF($M648="I",INDEX('완료 체험단'!$A$4:$A$2000,$N648),IF($M648="T","합계",""))))</f>
        <v/>
      </c>
      <c r="C648" s="29" t="str">
        <f>IF($M648="H",$L648&amp;"건",IF($M648="C","사이트",IF($M648="I",INDEX('완료 체험단'!$C$4:$C$2000,$N648),IF($M648="T",$L648&amp;"건",""))))</f>
        <v/>
      </c>
      <c r="D648" s="30" t="str">
        <f>IF($M648="C","방문일",IF($M648="I",INDEX('완료 체험단'!$D$4:$D$2000,$N648),""))</f>
        <v/>
      </c>
      <c r="E648" s="25" t="str">
        <f>IF($M648="H","제공금액 "&amp;TEXT(INDEX($U$5:$U$16,$J648),"#,##0")&amp;"원",IF($M648="C","제공금액",IF($M648="I",INDEX('완료 체험단'!$F$4:$F$2000,$N648),IF($M648="T",INDEX($U$5:$U$16,$J648),""))))</f>
        <v/>
      </c>
      <c r="F648" s="25" t="str">
        <f>IF($M648="H","결제금액 "&amp;TEXT(INDEX($V$5:$V$16,$J648),"#,##0")&amp;"원",IF($M648="C","결제금액",IF($M648="I",INDEX('완료 체험단'!$G$4:$G$2000,$N648),IF($M648="T",INDEX($V$5:$V$16,$J648),""))))</f>
        <v/>
      </c>
      <c r="G648" s="25" t="str">
        <f>IF($M648="H","실수익 "&amp;TEXT(INDEX($W$5:$W$16,$J648),"#,##0")&amp;"원",IF($M648="C","실수익",IF($M648="I",INDEX('완료 체험단'!$H$4:$H$2000,$N648),IF($M648="T",INDEX($W$5:$W$16,$J648),""))))</f>
        <v/>
      </c>
      <c r="I648" s="31">
        <f>ROWS(I$5:I648)</f>
        <v>644</v>
      </c>
      <c r="J648" t="str">
        <f t="shared" si="43"/>
        <v/>
      </c>
      <c r="K648" t="str">
        <f t="shared" si="44"/>
        <v/>
      </c>
      <c r="L648" t="str">
        <f t="shared" si="45"/>
        <v/>
      </c>
      <c r="M648" t="str">
        <f t="shared" si="46"/>
        <v/>
      </c>
      <c r="N648" t="str">
        <f>IF($M648="I",MATCH(SMALL('완료 체험단'!$K$4:$K$2000,INDEX($T$5:$T$16,$J648)+$K648-2),'완료 체험단'!$K$4:$K$2000,0),"")</f>
        <v/>
      </c>
    </row>
    <row r="649" spans="2:14">
      <c r="B649" s="23" t="str">
        <f>IF($M649="H",$J649&amp;"월",IF($M649="C","매장명",IF($M649="I",INDEX('완료 체험단'!$A$4:$A$2000,$N649),IF($M649="T","합계",""))))</f>
        <v/>
      </c>
      <c r="C649" s="29" t="str">
        <f>IF($M649="H",$L649&amp;"건",IF($M649="C","사이트",IF($M649="I",INDEX('완료 체험단'!$C$4:$C$2000,$N649),IF($M649="T",$L649&amp;"건",""))))</f>
        <v/>
      </c>
      <c r="D649" s="30" t="str">
        <f>IF($M649="C","방문일",IF($M649="I",INDEX('완료 체험단'!$D$4:$D$2000,$N649),""))</f>
        <v/>
      </c>
      <c r="E649" s="25" t="str">
        <f>IF($M649="H","제공금액 "&amp;TEXT(INDEX($U$5:$U$16,$J649),"#,##0")&amp;"원",IF($M649="C","제공금액",IF($M649="I",INDEX('완료 체험단'!$F$4:$F$2000,$N649),IF($M649="T",INDEX($U$5:$U$16,$J649),""))))</f>
        <v/>
      </c>
      <c r="F649" s="25" t="str">
        <f>IF($M649="H","결제금액 "&amp;TEXT(INDEX($V$5:$V$16,$J649),"#,##0")&amp;"원",IF($M649="C","결제금액",IF($M649="I",INDEX('완료 체험단'!$G$4:$G$2000,$N649),IF($M649="T",INDEX($V$5:$V$16,$J649),""))))</f>
        <v/>
      </c>
      <c r="G649" s="25" t="str">
        <f>IF($M649="H","실수익 "&amp;TEXT(INDEX($W$5:$W$16,$J649),"#,##0")&amp;"원",IF($M649="C","실수익",IF($M649="I",INDEX('완료 체험단'!$H$4:$H$2000,$N649),IF($M649="T",INDEX($W$5:$W$16,$J649),""))))</f>
        <v/>
      </c>
      <c r="I649" s="31">
        <f>ROWS(I$5:I649)</f>
        <v>645</v>
      </c>
      <c r="J649" t="str">
        <f t="shared" si="43"/>
        <v/>
      </c>
      <c r="K649" t="str">
        <f t="shared" si="44"/>
        <v/>
      </c>
      <c r="L649" t="str">
        <f t="shared" si="45"/>
        <v/>
      </c>
      <c r="M649" t="str">
        <f t="shared" si="46"/>
        <v/>
      </c>
      <c r="N649" t="str">
        <f>IF($M649="I",MATCH(SMALL('완료 체험단'!$K$4:$K$2000,INDEX($T$5:$T$16,$J649)+$K649-2),'완료 체험단'!$K$4:$K$2000,0),"")</f>
        <v/>
      </c>
    </row>
    <row r="650" spans="2:14">
      <c r="B650" s="23" t="str">
        <f>IF($M650="H",$J650&amp;"월",IF($M650="C","매장명",IF($M650="I",INDEX('완료 체험단'!$A$4:$A$2000,$N650),IF($M650="T","합계",""))))</f>
        <v/>
      </c>
      <c r="C650" s="29" t="str">
        <f>IF($M650="H",$L650&amp;"건",IF($M650="C","사이트",IF($M650="I",INDEX('완료 체험단'!$C$4:$C$2000,$N650),IF($M650="T",$L650&amp;"건",""))))</f>
        <v/>
      </c>
      <c r="D650" s="30" t="str">
        <f>IF($M650="C","방문일",IF($M650="I",INDEX('완료 체험단'!$D$4:$D$2000,$N650),""))</f>
        <v/>
      </c>
      <c r="E650" s="25" t="str">
        <f>IF($M650="H","제공금액 "&amp;TEXT(INDEX($U$5:$U$16,$J650),"#,##0")&amp;"원",IF($M650="C","제공금액",IF($M650="I",INDEX('완료 체험단'!$F$4:$F$2000,$N650),IF($M650="T",INDEX($U$5:$U$16,$J650),""))))</f>
        <v/>
      </c>
      <c r="F650" s="25" t="str">
        <f>IF($M650="H","결제금액 "&amp;TEXT(INDEX($V$5:$V$16,$J650),"#,##0")&amp;"원",IF($M650="C","결제금액",IF($M650="I",INDEX('완료 체험단'!$G$4:$G$2000,$N650),IF($M650="T",INDEX($V$5:$V$16,$J650),""))))</f>
        <v/>
      </c>
      <c r="G650" s="25" t="str">
        <f>IF($M650="H","실수익 "&amp;TEXT(INDEX($W$5:$W$16,$J650),"#,##0")&amp;"원",IF($M650="C","실수익",IF($M650="I",INDEX('완료 체험단'!$H$4:$H$2000,$N650),IF($M650="T",INDEX($W$5:$W$16,$J650),""))))</f>
        <v/>
      </c>
      <c r="I650" s="31">
        <f>ROWS(I$5:I650)</f>
        <v>646</v>
      </c>
      <c r="J650" t="str">
        <f t="shared" si="43"/>
        <v/>
      </c>
      <c r="K650" t="str">
        <f t="shared" si="44"/>
        <v/>
      </c>
      <c r="L650" t="str">
        <f t="shared" si="45"/>
        <v/>
      </c>
      <c r="M650" t="str">
        <f t="shared" si="46"/>
        <v/>
      </c>
      <c r="N650" t="str">
        <f>IF($M650="I",MATCH(SMALL('완료 체험단'!$K$4:$K$2000,INDEX($T$5:$T$16,$J650)+$K650-2),'완료 체험단'!$K$4:$K$2000,0),"")</f>
        <v/>
      </c>
    </row>
    <row r="651" spans="2:14">
      <c r="B651" s="23" t="str">
        <f>IF($M651="H",$J651&amp;"월",IF($M651="C","매장명",IF($M651="I",INDEX('완료 체험단'!$A$4:$A$2000,$N651),IF($M651="T","합계",""))))</f>
        <v/>
      </c>
      <c r="C651" s="29" t="str">
        <f>IF($M651="H",$L651&amp;"건",IF($M651="C","사이트",IF($M651="I",INDEX('완료 체험단'!$C$4:$C$2000,$N651),IF($M651="T",$L651&amp;"건",""))))</f>
        <v/>
      </c>
      <c r="D651" s="30" t="str">
        <f>IF($M651="C","방문일",IF($M651="I",INDEX('완료 체험단'!$D$4:$D$2000,$N651),""))</f>
        <v/>
      </c>
      <c r="E651" s="25" t="str">
        <f>IF($M651="H","제공금액 "&amp;TEXT(INDEX($U$5:$U$16,$J651),"#,##0")&amp;"원",IF($M651="C","제공금액",IF($M651="I",INDEX('완료 체험단'!$F$4:$F$2000,$N651),IF($M651="T",INDEX($U$5:$U$16,$J651),""))))</f>
        <v/>
      </c>
      <c r="F651" s="25" t="str">
        <f>IF($M651="H","결제금액 "&amp;TEXT(INDEX($V$5:$V$16,$J651),"#,##0")&amp;"원",IF($M651="C","결제금액",IF($M651="I",INDEX('완료 체험단'!$G$4:$G$2000,$N651),IF($M651="T",INDEX($V$5:$V$16,$J651),""))))</f>
        <v/>
      </c>
      <c r="G651" s="25" t="str">
        <f>IF($M651="H","실수익 "&amp;TEXT(INDEX($W$5:$W$16,$J651),"#,##0")&amp;"원",IF($M651="C","실수익",IF($M651="I",INDEX('완료 체험단'!$H$4:$H$2000,$N651),IF($M651="T",INDEX($W$5:$W$16,$J651),""))))</f>
        <v/>
      </c>
      <c r="I651" s="31">
        <f>ROWS(I$5:I651)</f>
        <v>647</v>
      </c>
      <c r="J651" t="str">
        <f t="shared" si="43"/>
        <v/>
      </c>
      <c r="K651" t="str">
        <f t="shared" si="44"/>
        <v/>
      </c>
      <c r="L651" t="str">
        <f t="shared" si="45"/>
        <v/>
      </c>
      <c r="M651" t="str">
        <f t="shared" si="46"/>
        <v/>
      </c>
      <c r="N651" t="str">
        <f>IF($M651="I",MATCH(SMALL('완료 체험단'!$K$4:$K$2000,INDEX($T$5:$T$16,$J651)+$K651-2),'완료 체험단'!$K$4:$K$2000,0),"")</f>
        <v/>
      </c>
    </row>
    <row r="652" spans="2:14">
      <c r="B652" s="23" t="str">
        <f>IF($M652="H",$J652&amp;"월",IF($M652="C","매장명",IF($M652="I",INDEX('완료 체험단'!$A$4:$A$2000,$N652),IF($M652="T","합계",""))))</f>
        <v/>
      </c>
      <c r="C652" s="29" t="str">
        <f>IF($M652="H",$L652&amp;"건",IF($M652="C","사이트",IF($M652="I",INDEX('완료 체험단'!$C$4:$C$2000,$N652),IF($M652="T",$L652&amp;"건",""))))</f>
        <v/>
      </c>
      <c r="D652" s="30" t="str">
        <f>IF($M652="C","방문일",IF($M652="I",INDEX('완료 체험단'!$D$4:$D$2000,$N652),""))</f>
        <v/>
      </c>
      <c r="E652" s="25" t="str">
        <f>IF($M652="H","제공금액 "&amp;TEXT(INDEX($U$5:$U$16,$J652),"#,##0")&amp;"원",IF($M652="C","제공금액",IF($M652="I",INDEX('완료 체험단'!$F$4:$F$2000,$N652),IF($M652="T",INDEX($U$5:$U$16,$J652),""))))</f>
        <v/>
      </c>
      <c r="F652" s="25" t="str">
        <f>IF($M652="H","결제금액 "&amp;TEXT(INDEX($V$5:$V$16,$J652),"#,##0")&amp;"원",IF($M652="C","결제금액",IF($M652="I",INDEX('완료 체험단'!$G$4:$G$2000,$N652),IF($M652="T",INDEX($V$5:$V$16,$J652),""))))</f>
        <v/>
      </c>
      <c r="G652" s="25" t="str">
        <f>IF($M652="H","실수익 "&amp;TEXT(INDEX($W$5:$W$16,$J652),"#,##0")&amp;"원",IF($M652="C","실수익",IF($M652="I",INDEX('완료 체험단'!$H$4:$H$2000,$N652),IF($M652="T",INDEX($W$5:$W$16,$J652),""))))</f>
        <v/>
      </c>
      <c r="I652" s="31">
        <f>ROWS(I$5:I652)</f>
        <v>648</v>
      </c>
      <c r="J652" t="str">
        <f t="shared" si="43"/>
        <v/>
      </c>
      <c r="K652" t="str">
        <f t="shared" si="44"/>
        <v/>
      </c>
      <c r="L652" t="str">
        <f t="shared" si="45"/>
        <v/>
      </c>
      <c r="M652" t="str">
        <f t="shared" si="46"/>
        <v/>
      </c>
      <c r="N652" t="str">
        <f>IF($M652="I",MATCH(SMALL('완료 체험단'!$K$4:$K$2000,INDEX($T$5:$T$16,$J652)+$K652-2),'완료 체험단'!$K$4:$K$2000,0),"")</f>
        <v/>
      </c>
    </row>
    <row r="653" spans="2:14">
      <c r="B653" s="23" t="str">
        <f>IF($M653="H",$J653&amp;"월",IF($M653="C","매장명",IF($M653="I",INDEX('완료 체험단'!$A$4:$A$2000,$N653),IF($M653="T","합계",""))))</f>
        <v/>
      </c>
      <c r="C653" s="29" t="str">
        <f>IF($M653="H",$L653&amp;"건",IF($M653="C","사이트",IF($M653="I",INDEX('완료 체험단'!$C$4:$C$2000,$N653),IF($M653="T",$L653&amp;"건",""))))</f>
        <v/>
      </c>
      <c r="D653" s="30" t="str">
        <f>IF($M653="C","방문일",IF($M653="I",INDEX('완료 체험단'!$D$4:$D$2000,$N653),""))</f>
        <v/>
      </c>
      <c r="E653" s="25" t="str">
        <f>IF($M653="H","제공금액 "&amp;TEXT(INDEX($U$5:$U$16,$J653),"#,##0")&amp;"원",IF($M653="C","제공금액",IF($M653="I",INDEX('완료 체험단'!$F$4:$F$2000,$N653),IF($M653="T",INDEX($U$5:$U$16,$J653),""))))</f>
        <v/>
      </c>
      <c r="F653" s="25" t="str">
        <f>IF($M653="H","결제금액 "&amp;TEXT(INDEX($V$5:$V$16,$J653),"#,##0")&amp;"원",IF($M653="C","결제금액",IF($M653="I",INDEX('완료 체험단'!$G$4:$G$2000,$N653),IF($M653="T",INDEX($V$5:$V$16,$J653),""))))</f>
        <v/>
      </c>
      <c r="G653" s="25" t="str">
        <f>IF($M653="H","실수익 "&amp;TEXT(INDEX($W$5:$W$16,$J653),"#,##0")&amp;"원",IF($M653="C","실수익",IF($M653="I",INDEX('완료 체험단'!$H$4:$H$2000,$N653),IF($M653="T",INDEX($W$5:$W$16,$J653),""))))</f>
        <v/>
      </c>
      <c r="I653" s="31">
        <f>ROWS(I$5:I653)</f>
        <v>649</v>
      </c>
      <c r="J653" t="str">
        <f t="shared" si="43"/>
        <v/>
      </c>
      <c r="K653" t="str">
        <f t="shared" si="44"/>
        <v/>
      </c>
      <c r="L653" t="str">
        <f t="shared" si="45"/>
        <v/>
      </c>
      <c r="M653" t="str">
        <f t="shared" si="46"/>
        <v/>
      </c>
      <c r="N653" t="str">
        <f>IF($M653="I",MATCH(SMALL('완료 체험단'!$K$4:$K$2000,INDEX($T$5:$T$16,$J653)+$K653-2),'완료 체험단'!$K$4:$K$2000,0),"")</f>
        <v/>
      </c>
    </row>
    <row r="654" spans="2:14">
      <c r="B654" s="23" t="str">
        <f>IF($M654="H",$J654&amp;"월",IF($M654="C","매장명",IF($M654="I",INDEX('완료 체험단'!$A$4:$A$2000,$N654),IF($M654="T","합계",""))))</f>
        <v/>
      </c>
      <c r="C654" s="29" t="str">
        <f>IF($M654="H",$L654&amp;"건",IF($M654="C","사이트",IF($M654="I",INDEX('완료 체험단'!$C$4:$C$2000,$N654),IF($M654="T",$L654&amp;"건",""))))</f>
        <v/>
      </c>
      <c r="D654" s="30" t="str">
        <f>IF($M654="C","방문일",IF($M654="I",INDEX('완료 체험단'!$D$4:$D$2000,$N654),""))</f>
        <v/>
      </c>
      <c r="E654" s="25" t="str">
        <f>IF($M654="H","제공금액 "&amp;TEXT(INDEX($U$5:$U$16,$J654),"#,##0")&amp;"원",IF($M654="C","제공금액",IF($M654="I",INDEX('완료 체험단'!$F$4:$F$2000,$N654),IF($M654="T",INDEX($U$5:$U$16,$J654),""))))</f>
        <v/>
      </c>
      <c r="F654" s="25" t="str">
        <f>IF($M654="H","결제금액 "&amp;TEXT(INDEX($V$5:$V$16,$J654),"#,##0")&amp;"원",IF($M654="C","결제금액",IF($M654="I",INDEX('완료 체험단'!$G$4:$G$2000,$N654),IF($M654="T",INDEX($V$5:$V$16,$J654),""))))</f>
        <v/>
      </c>
      <c r="G654" s="25" t="str">
        <f>IF($M654="H","실수익 "&amp;TEXT(INDEX($W$5:$W$16,$J654),"#,##0")&amp;"원",IF($M654="C","실수익",IF($M654="I",INDEX('완료 체험단'!$H$4:$H$2000,$N654),IF($M654="T",INDEX($W$5:$W$16,$J654),""))))</f>
        <v/>
      </c>
      <c r="I654" s="31">
        <f>ROWS(I$5:I654)</f>
        <v>650</v>
      </c>
      <c r="J654" t="str">
        <f t="shared" si="43"/>
        <v/>
      </c>
      <c r="K654" t="str">
        <f t="shared" si="44"/>
        <v/>
      </c>
      <c r="L654" t="str">
        <f t="shared" si="45"/>
        <v/>
      </c>
      <c r="M654" t="str">
        <f t="shared" si="46"/>
        <v/>
      </c>
      <c r="N654" t="str">
        <f>IF($M654="I",MATCH(SMALL('완료 체험단'!$K$4:$K$2000,INDEX($T$5:$T$16,$J654)+$K654-2),'완료 체험단'!$K$4:$K$2000,0),"")</f>
        <v/>
      </c>
    </row>
  </sheetData>
  <phoneticPr fontId="16" type="noConversion"/>
  <conditionalFormatting sqref="B5:G654">
    <cfRule type="expression" dxfId="6" priority="2">
      <formula>$M5="H"</formula>
    </cfRule>
    <cfRule type="expression" dxfId="5" priority="3">
      <formula>$M5="C"</formula>
    </cfRule>
    <cfRule type="expression" dxfId="4" priority="4">
      <formula>$M5="I"</formula>
    </cfRule>
    <cfRule type="expression" dxfId="3" priority="5">
      <formula>$M5="T"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  <pageSetUpPr fitToPage="1"/>
  </sheetPr>
  <dimension ref="A1:I2000"/>
  <sheetViews>
    <sheetView showGridLines="0" zoomScaleNormal="100" workbookViewId="0">
      <pane ySplit="3" topLeftCell="A4" activePane="bottomLeft" state="frozen"/>
      <selection pane="bottomLeft" activeCell="A4" sqref="A4:A5"/>
    </sheetView>
  </sheetViews>
  <sheetFormatPr defaultColWidth="8.7109375" defaultRowHeight="15"/>
  <cols>
    <col min="1" max="1" width="28" customWidth="1"/>
    <col min="2" max="2" width="11" customWidth="1"/>
    <col min="3" max="3" width="14" customWidth="1"/>
    <col min="4" max="5" width="12" customWidth="1"/>
    <col min="6" max="8" width="15" customWidth="1"/>
    <col min="9" max="9" width="12" customWidth="1"/>
    <col min="10" max="10" width="3" customWidth="1"/>
    <col min="11" max="11" width="14" customWidth="1"/>
  </cols>
  <sheetData>
    <row r="1" spans="1:9" ht="31.5" customHeight="1">
      <c r="A1" s="4" t="s">
        <v>49</v>
      </c>
    </row>
    <row r="2" spans="1:9">
      <c r="A2" s="7" t="s">
        <v>50</v>
      </c>
    </row>
    <row r="3" spans="1:9">
      <c r="A3" s="32" t="s">
        <v>51</v>
      </c>
      <c r="B3" s="32" t="s">
        <v>52</v>
      </c>
      <c r="C3" s="32" t="s">
        <v>30</v>
      </c>
      <c r="D3" s="32" t="s">
        <v>53</v>
      </c>
      <c r="E3" s="32" t="s">
        <v>54</v>
      </c>
      <c r="F3" s="32" t="s">
        <v>55</v>
      </c>
      <c r="G3" s="32" t="s">
        <v>56</v>
      </c>
      <c r="H3" s="32" t="s">
        <v>31</v>
      </c>
      <c r="I3" s="32" t="s">
        <v>57</v>
      </c>
    </row>
    <row r="4" spans="1:9">
      <c r="A4" s="33" t="s">
        <v>58</v>
      </c>
      <c r="B4" s="34" t="s">
        <v>59</v>
      </c>
      <c r="C4" s="34" t="s">
        <v>60</v>
      </c>
      <c r="D4" s="30">
        <v>46331</v>
      </c>
      <c r="E4" s="30">
        <v>46346</v>
      </c>
      <c r="F4" s="35">
        <v>40000</v>
      </c>
      <c r="G4" s="35">
        <v>0</v>
      </c>
      <c r="H4" s="35">
        <f t="shared" ref="H4:H67" si="0">IF(F4="","",F4-G4)</f>
        <v>40000</v>
      </c>
      <c r="I4" s="29"/>
    </row>
    <row r="5" spans="1:9">
      <c r="A5" s="33" t="s">
        <v>61</v>
      </c>
      <c r="B5" s="34" t="s">
        <v>62</v>
      </c>
      <c r="C5" s="34" t="s">
        <v>63</v>
      </c>
      <c r="D5" s="30">
        <v>46325</v>
      </c>
      <c r="E5" s="30">
        <v>46338</v>
      </c>
      <c r="F5" s="35">
        <v>30000</v>
      </c>
      <c r="G5" s="35">
        <v>2000</v>
      </c>
      <c r="H5" s="35">
        <f t="shared" si="0"/>
        <v>28000</v>
      </c>
      <c r="I5" s="29"/>
    </row>
    <row r="6" spans="1:9">
      <c r="A6" s="33"/>
      <c r="B6" s="29"/>
      <c r="C6" s="29"/>
      <c r="D6" s="30"/>
      <c r="E6" s="30"/>
      <c r="F6" s="35"/>
      <c r="G6" s="35"/>
      <c r="H6" s="35" t="str">
        <f t="shared" si="0"/>
        <v/>
      </c>
      <c r="I6" s="29"/>
    </row>
    <row r="7" spans="1:9">
      <c r="A7" s="33"/>
      <c r="B7" s="29"/>
      <c r="C7" s="29"/>
      <c r="D7" s="30"/>
      <c r="E7" s="30"/>
      <c r="F7" s="35"/>
      <c r="G7" s="35"/>
      <c r="H7" s="35" t="str">
        <f t="shared" si="0"/>
        <v/>
      </c>
      <c r="I7" s="29"/>
    </row>
    <row r="8" spans="1:9">
      <c r="A8" s="33"/>
      <c r="B8" s="29"/>
      <c r="C8" s="29"/>
      <c r="D8" s="30"/>
      <c r="E8" s="30"/>
      <c r="F8" s="35"/>
      <c r="G8" s="35"/>
      <c r="H8" s="35" t="str">
        <f t="shared" si="0"/>
        <v/>
      </c>
      <c r="I8" s="29"/>
    </row>
    <row r="9" spans="1:9">
      <c r="A9" s="33"/>
      <c r="B9" s="29"/>
      <c r="C9" s="29"/>
      <c r="D9" s="30"/>
      <c r="E9" s="30"/>
      <c r="F9" s="35"/>
      <c r="G9" s="35"/>
      <c r="H9" s="35" t="str">
        <f t="shared" si="0"/>
        <v/>
      </c>
      <c r="I9" s="29"/>
    </row>
    <row r="10" spans="1:9">
      <c r="A10" s="33"/>
      <c r="B10" s="29"/>
      <c r="C10" s="29"/>
      <c r="D10" s="30"/>
      <c r="E10" s="30"/>
      <c r="F10" s="35"/>
      <c r="G10" s="35"/>
      <c r="H10" s="35" t="str">
        <f t="shared" si="0"/>
        <v/>
      </c>
      <c r="I10" s="29"/>
    </row>
    <row r="11" spans="1:9">
      <c r="A11" s="33"/>
      <c r="B11" s="29"/>
      <c r="C11" s="29"/>
      <c r="D11" s="30"/>
      <c r="E11" s="30"/>
      <c r="F11" s="35"/>
      <c r="G11" s="35"/>
      <c r="H11" s="35" t="str">
        <f t="shared" si="0"/>
        <v/>
      </c>
      <c r="I11" s="29"/>
    </row>
    <row r="12" spans="1:9">
      <c r="A12" s="33"/>
      <c r="B12" s="29"/>
      <c r="C12" s="29"/>
      <c r="D12" s="30"/>
      <c r="E12" s="30"/>
      <c r="F12" s="35"/>
      <c r="G12" s="35"/>
      <c r="H12" s="35" t="str">
        <f t="shared" si="0"/>
        <v/>
      </c>
      <c r="I12" s="29"/>
    </row>
    <row r="13" spans="1:9">
      <c r="A13" s="33"/>
      <c r="B13" s="29"/>
      <c r="C13" s="29"/>
      <c r="D13" s="30"/>
      <c r="E13" s="30"/>
      <c r="F13" s="35"/>
      <c r="G13" s="35"/>
      <c r="H13" s="35" t="str">
        <f t="shared" si="0"/>
        <v/>
      </c>
      <c r="I13" s="29"/>
    </row>
    <row r="14" spans="1:9">
      <c r="A14" s="33"/>
      <c r="B14" s="29"/>
      <c r="C14" s="29"/>
      <c r="D14" s="30"/>
      <c r="E14" s="30"/>
      <c r="F14" s="35"/>
      <c r="G14" s="35"/>
      <c r="H14" s="35" t="str">
        <f t="shared" si="0"/>
        <v/>
      </c>
      <c r="I14" s="29"/>
    </row>
    <row r="15" spans="1:9">
      <c r="A15" s="33"/>
      <c r="B15" s="29"/>
      <c r="C15" s="29"/>
      <c r="D15" s="30"/>
      <c r="E15" s="30"/>
      <c r="F15" s="35"/>
      <c r="G15" s="35"/>
      <c r="H15" s="35" t="str">
        <f t="shared" si="0"/>
        <v/>
      </c>
      <c r="I15" s="29"/>
    </row>
    <row r="16" spans="1:9">
      <c r="A16" s="33"/>
      <c r="B16" s="29"/>
      <c r="C16" s="29"/>
      <c r="D16" s="30"/>
      <c r="E16" s="30"/>
      <c r="F16" s="35"/>
      <c r="G16" s="35"/>
      <c r="H16" s="35" t="str">
        <f t="shared" si="0"/>
        <v/>
      </c>
      <c r="I16" s="29"/>
    </row>
    <row r="17" spans="1:9">
      <c r="A17" s="33"/>
      <c r="B17" s="29"/>
      <c r="C17" s="29"/>
      <c r="D17" s="30"/>
      <c r="E17" s="30"/>
      <c r="F17" s="35"/>
      <c r="G17" s="35"/>
      <c r="H17" s="35" t="str">
        <f t="shared" si="0"/>
        <v/>
      </c>
      <c r="I17" s="29"/>
    </row>
    <row r="18" spans="1:9">
      <c r="A18" s="33"/>
      <c r="B18" s="29"/>
      <c r="C18" s="29"/>
      <c r="D18" s="30"/>
      <c r="E18" s="30"/>
      <c r="F18" s="35"/>
      <c r="G18" s="35"/>
      <c r="H18" s="35" t="str">
        <f t="shared" si="0"/>
        <v/>
      </c>
      <c r="I18" s="29"/>
    </row>
    <row r="19" spans="1:9">
      <c r="A19" s="33"/>
      <c r="B19" s="29"/>
      <c r="C19" s="29"/>
      <c r="D19" s="30"/>
      <c r="E19" s="30"/>
      <c r="F19" s="35"/>
      <c r="G19" s="35"/>
      <c r="H19" s="35" t="str">
        <f t="shared" si="0"/>
        <v/>
      </c>
      <c r="I19" s="29"/>
    </row>
    <row r="20" spans="1:9">
      <c r="A20" s="33"/>
      <c r="B20" s="29"/>
      <c r="C20" s="29"/>
      <c r="D20" s="30"/>
      <c r="E20" s="30"/>
      <c r="F20" s="35"/>
      <c r="G20" s="35"/>
      <c r="H20" s="35" t="str">
        <f t="shared" si="0"/>
        <v/>
      </c>
      <c r="I20" s="29"/>
    </row>
    <row r="21" spans="1:9">
      <c r="A21" s="33"/>
      <c r="B21" s="29"/>
      <c r="C21" s="29"/>
      <c r="D21" s="30"/>
      <c r="E21" s="30"/>
      <c r="F21" s="35"/>
      <c r="G21" s="35"/>
      <c r="H21" s="35" t="str">
        <f t="shared" si="0"/>
        <v/>
      </c>
      <c r="I21" s="29"/>
    </row>
    <row r="22" spans="1:9">
      <c r="A22" s="33"/>
      <c r="B22" s="29"/>
      <c r="C22" s="29"/>
      <c r="D22" s="30"/>
      <c r="E22" s="30"/>
      <c r="F22" s="35"/>
      <c r="G22" s="35"/>
      <c r="H22" s="35" t="str">
        <f t="shared" si="0"/>
        <v/>
      </c>
      <c r="I22" s="29"/>
    </row>
    <row r="23" spans="1:9">
      <c r="A23" s="33"/>
      <c r="B23" s="29"/>
      <c r="C23" s="29"/>
      <c r="D23" s="30"/>
      <c r="E23" s="30"/>
      <c r="F23" s="35"/>
      <c r="G23" s="35"/>
      <c r="H23" s="35" t="str">
        <f t="shared" si="0"/>
        <v/>
      </c>
      <c r="I23" s="29"/>
    </row>
    <row r="24" spans="1:9">
      <c r="A24" s="33"/>
      <c r="B24" s="29"/>
      <c r="C24" s="29"/>
      <c r="D24" s="30"/>
      <c r="E24" s="30"/>
      <c r="F24" s="35"/>
      <c r="G24" s="35"/>
      <c r="H24" s="35" t="str">
        <f t="shared" si="0"/>
        <v/>
      </c>
      <c r="I24" s="29"/>
    </row>
    <row r="25" spans="1:9">
      <c r="A25" s="33"/>
      <c r="B25" s="29"/>
      <c r="C25" s="29"/>
      <c r="D25" s="30"/>
      <c r="E25" s="30"/>
      <c r="F25" s="35"/>
      <c r="G25" s="35"/>
      <c r="H25" s="35" t="str">
        <f t="shared" si="0"/>
        <v/>
      </c>
      <c r="I25" s="29"/>
    </row>
    <row r="26" spans="1:9">
      <c r="A26" s="33"/>
      <c r="B26" s="29"/>
      <c r="C26" s="29"/>
      <c r="D26" s="30"/>
      <c r="E26" s="30"/>
      <c r="F26" s="35"/>
      <c r="G26" s="35"/>
      <c r="H26" s="35" t="str">
        <f t="shared" si="0"/>
        <v/>
      </c>
      <c r="I26" s="29"/>
    </row>
    <row r="27" spans="1:9">
      <c r="A27" s="33"/>
      <c r="B27" s="29"/>
      <c r="C27" s="29"/>
      <c r="D27" s="30"/>
      <c r="E27" s="30"/>
      <c r="F27" s="35"/>
      <c r="G27" s="35"/>
      <c r="H27" s="35" t="str">
        <f t="shared" si="0"/>
        <v/>
      </c>
      <c r="I27" s="29"/>
    </row>
    <row r="28" spans="1:9">
      <c r="A28" s="33"/>
      <c r="B28" s="29"/>
      <c r="C28" s="29"/>
      <c r="D28" s="30"/>
      <c r="E28" s="30"/>
      <c r="F28" s="35"/>
      <c r="G28" s="35"/>
      <c r="H28" s="35" t="str">
        <f t="shared" si="0"/>
        <v/>
      </c>
      <c r="I28" s="29"/>
    </row>
    <row r="29" spans="1:9">
      <c r="A29" s="33"/>
      <c r="B29" s="29"/>
      <c r="C29" s="29"/>
      <c r="D29" s="30"/>
      <c r="E29" s="30"/>
      <c r="F29" s="35"/>
      <c r="G29" s="35"/>
      <c r="H29" s="35" t="str">
        <f t="shared" si="0"/>
        <v/>
      </c>
      <c r="I29" s="29"/>
    </row>
    <row r="30" spans="1:9">
      <c r="A30" s="33"/>
      <c r="B30" s="29"/>
      <c r="C30" s="29"/>
      <c r="D30" s="30"/>
      <c r="E30" s="30"/>
      <c r="F30" s="35"/>
      <c r="G30" s="35"/>
      <c r="H30" s="35" t="str">
        <f t="shared" si="0"/>
        <v/>
      </c>
      <c r="I30" s="29"/>
    </row>
    <row r="31" spans="1:9">
      <c r="A31" s="33"/>
      <c r="B31" s="29"/>
      <c r="C31" s="29"/>
      <c r="D31" s="30"/>
      <c r="E31" s="30"/>
      <c r="F31" s="35"/>
      <c r="G31" s="35"/>
      <c r="H31" s="35" t="str">
        <f t="shared" si="0"/>
        <v/>
      </c>
      <c r="I31" s="29"/>
    </row>
    <row r="32" spans="1:9">
      <c r="A32" s="33"/>
      <c r="B32" s="29"/>
      <c r="C32" s="29"/>
      <c r="D32" s="30"/>
      <c r="E32" s="30"/>
      <c r="F32" s="35"/>
      <c r="G32" s="35"/>
      <c r="H32" s="35" t="str">
        <f t="shared" si="0"/>
        <v/>
      </c>
      <c r="I32" s="29"/>
    </row>
    <row r="33" spans="1:9">
      <c r="A33" s="33"/>
      <c r="B33" s="29"/>
      <c r="C33" s="29"/>
      <c r="D33" s="30"/>
      <c r="E33" s="30"/>
      <c r="F33" s="35"/>
      <c r="G33" s="35"/>
      <c r="H33" s="35" t="str">
        <f t="shared" si="0"/>
        <v/>
      </c>
      <c r="I33" s="29"/>
    </row>
    <row r="34" spans="1:9">
      <c r="A34" s="33"/>
      <c r="B34" s="29"/>
      <c r="C34" s="29"/>
      <c r="D34" s="30"/>
      <c r="E34" s="30"/>
      <c r="F34" s="35"/>
      <c r="G34" s="35"/>
      <c r="H34" s="35" t="str">
        <f t="shared" si="0"/>
        <v/>
      </c>
      <c r="I34" s="29"/>
    </row>
    <row r="35" spans="1:9">
      <c r="A35" s="33"/>
      <c r="B35" s="29"/>
      <c r="C35" s="29"/>
      <c r="D35" s="30"/>
      <c r="E35" s="30"/>
      <c r="F35" s="35"/>
      <c r="G35" s="35"/>
      <c r="H35" s="35" t="str">
        <f t="shared" si="0"/>
        <v/>
      </c>
      <c r="I35" s="29"/>
    </row>
    <row r="36" spans="1:9">
      <c r="A36" s="33"/>
      <c r="B36" s="29"/>
      <c r="C36" s="29"/>
      <c r="D36" s="30"/>
      <c r="E36" s="30"/>
      <c r="F36" s="35"/>
      <c r="G36" s="35"/>
      <c r="H36" s="35" t="str">
        <f t="shared" si="0"/>
        <v/>
      </c>
      <c r="I36" s="29"/>
    </row>
    <row r="37" spans="1:9">
      <c r="A37" s="33"/>
      <c r="B37" s="29"/>
      <c r="C37" s="29"/>
      <c r="D37" s="30"/>
      <c r="E37" s="30"/>
      <c r="F37" s="35"/>
      <c r="G37" s="35"/>
      <c r="H37" s="35" t="str">
        <f t="shared" si="0"/>
        <v/>
      </c>
      <c r="I37" s="29"/>
    </row>
    <row r="38" spans="1:9">
      <c r="A38" s="33"/>
      <c r="B38" s="29"/>
      <c r="C38" s="29"/>
      <c r="D38" s="30"/>
      <c r="E38" s="30"/>
      <c r="F38" s="35"/>
      <c r="G38" s="35"/>
      <c r="H38" s="35" t="str">
        <f t="shared" si="0"/>
        <v/>
      </c>
      <c r="I38" s="29"/>
    </row>
    <row r="39" spans="1:9">
      <c r="A39" s="33"/>
      <c r="B39" s="29"/>
      <c r="C39" s="29"/>
      <c r="D39" s="30"/>
      <c r="E39" s="30"/>
      <c r="F39" s="35"/>
      <c r="G39" s="35"/>
      <c r="H39" s="35" t="str">
        <f t="shared" si="0"/>
        <v/>
      </c>
      <c r="I39" s="29"/>
    </row>
    <row r="40" spans="1:9">
      <c r="A40" s="33"/>
      <c r="B40" s="29"/>
      <c r="C40" s="29"/>
      <c r="D40" s="30"/>
      <c r="E40" s="30"/>
      <c r="F40" s="35"/>
      <c r="G40" s="35"/>
      <c r="H40" s="35" t="str">
        <f t="shared" si="0"/>
        <v/>
      </c>
      <c r="I40" s="29"/>
    </row>
    <row r="41" spans="1:9">
      <c r="A41" s="33"/>
      <c r="B41" s="29"/>
      <c r="C41" s="29"/>
      <c r="D41" s="30"/>
      <c r="E41" s="30"/>
      <c r="F41" s="35"/>
      <c r="G41" s="35"/>
      <c r="H41" s="35" t="str">
        <f t="shared" si="0"/>
        <v/>
      </c>
      <c r="I41" s="29"/>
    </row>
    <row r="42" spans="1:9">
      <c r="A42" s="33"/>
      <c r="B42" s="29"/>
      <c r="C42" s="29"/>
      <c r="D42" s="30"/>
      <c r="E42" s="30"/>
      <c r="F42" s="35"/>
      <c r="G42" s="35"/>
      <c r="H42" s="35" t="str">
        <f t="shared" si="0"/>
        <v/>
      </c>
      <c r="I42" s="29"/>
    </row>
    <row r="43" spans="1:9">
      <c r="A43" s="33"/>
      <c r="B43" s="29"/>
      <c r="C43" s="29"/>
      <c r="D43" s="30"/>
      <c r="E43" s="30"/>
      <c r="F43" s="35"/>
      <c r="G43" s="35"/>
      <c r="H43" s="35" t="str">
        <f t="shared" si="0"/>
        <v/>
      </c>
      <c r="I43" s="29"/>
    </row>
    <row r="44" spans="1:9">
      <c r="A44" s="33"/>
      <c r="B44" s="29"/>
      <c r="C44" s="29"/>
      <c r="D44" s="30"/>
      <c r="E44" s="30"/>
      <c r="F44" s="35"/>
      <c r="G44" s="35"/>
      <c r="H44" s="35" t="str">
        <f t="shared" si="0"/>
        <v/>
      </c>
      <c r="I44" s="29"/>
    </row>
    <row r="45" spans="1:9">
      <c r="A45" s="33"/>
      <c r="B45" s="29"/>
      <c r="C45" s="29"/>
      <c r="D45" s="30"/>
      <c r="E45" s="30"/>
      <c r="F45" s="35"/>
      <c r="G45" s="35"/>
      <c r="H45" s="35" t="str">
        <f t="shared" si="0"/>
        <v/>
      </c>
      <c r="I45" s="29"/>
    </row>
    <row r="46" spans="1:9">
      <c r="A46" s="33"/>
      <c r="B46" s="29"/>
      <c r="C46" s="29"/>
      <c r="D46" s="30"/>
      <c r="E46" s="30"/>
      <c r="F46" s="35"/>
      <c r="G46" s="35"/>
      <c r="H46" s="35" t="str">
        <f t="shared" si="0"/>
        <v/>
      </c>
      <c r="I46" s="29"/>
    </row>
    <row r="47" spans="1:9">
      <c r="A47" s="33"/>
      <c r="B47" s="29"/>
      <c r="C47" s="29"/>
      <c r="D47" s="30"/>
      <c r="E47" s="30"/>
      <c r="F47" s="35"/>
      <c r="G47" s="35"/>
      <c r="H47" s="35" t="str">
        <f t="shared" si="0"/>
        <v/>
      </c>
      <c r="I47" s="29"/>
    </row>
    <row r="48" spans="1:9">
      <c r="A48" s="33"/>
      <c r="B48" s="29"/>
      <c r="C48" s="29"/>
      <c r="D48" s="30"/>
      <c r="E48" s="30"/>
      <c r="F48" s="35"/>
      <c r="G48" s="35"/>
      <c r="H48" s="35" t="str">
        <f t="shared" si="0"/>
        <v/>
      </c>
      <c r="I48" s="29"/>
    </row>
    <row r="49" spans="1:9">
      <c r="A49" s="33"/>
      <c r="B49" s="29"/>
      <c r="C49" s="29"/>
      <c r="D49" s="30"/>
      <c r="E49" s="30"/>
      <c r="F49" s="35"/>
      <c r="G49" s="35"/>
      <c r="H49" s="35" t="str">
        <f t="shared" si="0"/>
        <v/>
      </c>
      <c r="I49" s="29"/>
    </row>
    <row r="50" spans="1:9">
      <c r="A50" s="33"/>
      <c r="B50" s="29"/>
      <c r="C50" s="29"/>
      <c r="D50" s="30"/>
      <c r="E50" s="30"/>
      <c r="F50" s="35"/>
      <c r="G50" s="35"/>
      <c r="H50" s="35" t="str">
        <f t="shared" si="0"/>
        <v/>
      </c>
      <c r="I50" s="29"/>
    </row>
    <row r="51" spans="1:9">
      <c r="A51" s="33"/>
      <c r="B51" s="29"/>
      <c r="C51" s="29"/>
      <c r="D51" s="30"/>
      <c r="E51" s="30"/>
      <c r="F51" s="35"/>
      <c r="G51" s="35"/>
      <c r="H51" s="35" t="str">
        <f t="shared" si="0"/>
        <v/>
      </c>
      <c r="I51" s="29"/>
    </row>
    <row r="52" spans="1:9">
      <c r="A52" s="33"/>
      <c r="B52" s="29"/>
      <c r="C52" s="29"/>
      <c r="D52" s="30"/>
      <c r="E52" s="30"/>
      <c r="F52" s="35"/>
      <c r="G52" s="35"/>
      <c r="H52" s="35" t="str">
        <f t="shared" si="0"/>
        <v/>
      </c>
      <c r="I52" s="29"/>
    </row>
    <row r="53" spans="1:9">
      <c r="A53" s="33"/>
      <c r="B53" s="29"/>
      <c r="C53" s="29"/>
      <c r="D53" s="30"/>
      <c r="E53" s="30"/>
      <c r="F53" s="35"/>
      <c r="G53" s="35"/>
      <c r="H53" s="35" t="str">
        <f t="shared" si="0"/>
        <v/>
      </c>
      <c r="I53" s="29"/>
    </row>
    <row r="54" spans="1:9">
      <c r="A54" s="33"/>
      <c r="B54" s="29"/>
      <c r="C54" s="29"/>
      <c r="D54" s="30"/>
      <c r="E54" s="30"/>
      <c r="F54" s="35"/>
      <c r="G54" s="35"/>
      <c r="H54" s="35" t="str">
        <f t="shared" si="0"/>
        <v/>
      </c>
      <c r="I54" s="29"/>
    </row>
    <row r="55" spans="1:9">
      <c r="A55" s="33"/>
      <c r="B55" s="29"/>
      <c r="C55" s="29"/>
      <c r="D55" s="30"/>
      <c r="E55" s="30"/>
      <c r="F55" s="35"/>
      <c r="G55" s="35"/>
      <c r="H55" s="35" t="str">
        <f t="shared" si="0"/>
        <v/>
      </c>
      <c r="I55" s="29"/>
    </row>
    <row r="56" spans="1:9">
      <c r="A56" s="33"/>
      <c r="B56" s="29"/>
      <c r="C56" s="29"/>
      <c r="D56" s="30"/>
      <c r="E56" s="30"/>
      <c r="F56" s="35"/>
      <c r="G56" s="35"/>
      <c r="H56" s="35" t="str">
        <f t="shared" si="0"/>
        <v/>
      </c>
      <c r="I56" s="29"/>
    </row>
    <row r="57" spans="1:9">
      <c r="A57" s="33"/>
      <c r="B57" s="29"/>
      <c r="C57" s="29"/>
      <c r="D57" s="30"/>
      <c r="E57" s="30"/>
      <c r="F57" s="35"/>
      <c r="G57" s="35"/>
      <c r="H57" s="35" t="str">
        <f t="shared" si="0"/>
        <v/>
      </c>
      <c r="I57" s="29"/>
    </row>
    <row r="58" spans="1:9">
      <c r="A58" s="33"/>
      <c r="B58" s="29"/>
      <c r="C58" s="29"/>
      <c r="D58" s="30"/>
      <c r="E58" s="30"/>
      <c r="F58" s="35"/>
      <c r="G58" s="35"/>
      <c r="H58" s="35" t="str">
        <f t="shared" si="0"/>
        <v/>
      </c>
      <c r="I58" s="29"/>
    </row>
    <row r="59" spans="1:9">
      <c r="A59" s="33"/>
      <c r="B59" s="29"/>
      <c r="C59" s="29"/>
      <c r="D59" s="30"/>
      <c r="E59" s="30"/>
      <c r="F59" s="35"/>
      <c r="G59" s="35"/>
      <c r="H59" s="35" t="str">
        <f t="shared" si="0"/>
        <v/>
      </c>
      <c r="I59" s="29"/>
    </row>
    <row r="60" spans="1:9">
      <c r="A60" s="33"/>
      <c r="B60" s="29"/>
      <c r="C60" s="29"/>
      <c r="D60" s="30"/>
      <c r="E60" s="30"/>
      <c r="F60" s="35"/>
      <c r="G60" s="35"/>
      <c r="H60" s="35" t="str">
        <f t="shared" si="0"/>
        <v/>
      </c>
      <c r="I60" s="29"/>
    </row>
    <row r="61" spans="1:9">
      <c r="A61" s="33"/>
      <c r="B61" s="29"/>
      <c r="C61" s="29"/>
      <c r="D61" s="30"/>
      <c r="E61" s="30"/>
      <c r="F61" s="35"/>
      <c r="G61" s="35"/>
      <c r="H61" s="35" t="str">
        <f t="shared" si="0"/>
        <v/>
      </c>
      <c r="I61" s="29"/>
    </row>
    <row r="62" spans="1:9">
      <c r="A62" s="33"/>
      <c r="B62" s="29"/>
      <c r="C62" s="29"/>
      <c r="D62" s="30"/>
      <c r="E62" s="30"/>
      <c r="F62" s="35"/>
      <c r="G62" s="35"/>
      <c r="H62" s="35" t="str">
        <f t="shared" si="0"/>
        <v/>
      </c>
      <c r="I62" s="29"/>
    </row>
    <row r="63" spans="1:9">
      <c r="A63" s="33"/>
      <c r="B63" s="29"/>
      <c r="C63" s="29"/>
      <c r="D63" s="30"/>
      <c r="E63" s="30"/>
      <c r="F63" s="35"/>
      <c r="G63" s="35"/>
      <c r="H63" s="35" t="str">
        <f t="shared" si="0"/>
        <v/>
      </c>
      <c r="I63" s="29"/>
    </row>
    <row r="64" spans="1:9">
      <c r="A64" s="33"/>
      <c r="B64" s="29"/>
      <c r="C64" s="29"/>
      <c r="D64" s="30"/>
      <c r="E64" s="30"/>
      <c r="F64" s="35"/>
      <c r="G64" s="35"/>
      <c r="H64" s="35" t="str">
        <f t="shared" si="0"/>
        <v/>
      </c>
      <c r="I64" s="29"/>
    </row>
    <row r="65" spans="1:9">
      <c r="A65" s="33"/>
      <c r="B65" s="29"/>
      <c r="C65" s="29"/>
      <c r="D65" s="30"/>
      <c r="E65" s="30"/>
      <c r="F65" s="35"/>
      <c r="G65" s="35"/>
      <c r="H65" s="35" t="str">
        <f t="shared" si="0"/>
        <v/>
      </c>
      <c r="I65" s="29"/>
    </row>
    <row r="66" spans="1:9">
      <c r="A66" s="33"/>
      <c r="B66" s="29"/>
      <c r="C66" s="29"/>
      <c r="D66" s="30"/>
      <c r="E66" s="30"/>
      <c r="F66" s="35"/>
      <c r="G66" s="35"/>
      <c r="H66" s="35" t="str">
        <f t="shared" si="0"/>
        <v/>
      </c>
      <c r="I66" s="29"/>
    </row>
    <row r="67" spans="1:9">
      <c r="A67" s="33"/>
      <c r="B67" s="29"/>
      <c r="C67" s="29"/>
      <c r="D67" s="30"/>
      <c r="E67" s="30"/>
      <c r="F67" s="35"/>
      <c r="G67" s="35"/>
      <c r="H67" s="35" t="str">
        <f t="shared" si="0"/>
        <v/>
      </c>
      <c r="I67" s="29"/>
    </row>
    <row r="68" spans="1:9">
      <c r="A68" s="33"/>
      <c r="B68" s="29"/>
      <c r="C68" s="29"/>
      <c r="D68" s="30"/>
      <c r="E68" s="30"/>
      <c r="F68" s="35"/>
      <c r="G68" s="35"/>
      <c r="H68" s="35" t="str">
        <f t="shared" ref="H68:H131" si="1">IF(F68="","",F68-G68)</f>
        <v/>
      </c>
      <c r="I68" s="29"/>
    </row>
    <row r="69" spans="1:9">
      <c r="A69" s="33"/>
      <c r="B69" s="29"/>
      <c r="C69" s="29"/>
      <c r="D69" s="30"/>
      <c r="E69" s="30"/>
      <c r="F69" s="35"/>
      <c r="G69" s="35"/>
      <c r="H69" s="35" t="str">
        <f t="shared" si="1"/>
        <v/>
      </c>
      <c r="I69" s="29"/>
    </row>
    <row r="70" spans="1:9">
      <c r="A70" s="33"/>
      <c r="B70" s="29"/>
      <c r="C70" s="29"/>
      <c r="D70" s="30"/>
      <c r="E70" s="30"/>
      <c r="F70" s="35"/>
      <c r="G70" s="35"/>
      <c r="H70" s="35" t="str">
        <f t="shared" si="1"/>
        <v/>
      </c>
      <c r="I70" s="29"/>
    </row>
    <row r="71" spans="1:9">
      <c r="A71" s="33"/>
      <c r="B71" s="29"/>
      <c r="C71" s="29"/>
      <c r="D71" s="30"/>
      <c r="E71" s="30"/>
      <c r="F71" s="35"/>
      <c r="G71" s="35"/>
      <c r="H71" s="35" t="str">
        <f t="shared" si="1"/>
        <v/>
      </c>
      <c r="I71" s="29"/>
    </row>
    <row r="72" spans="1:9">
      <c r="A72" s="33"/>
      <c r="B72" s="29"/>
      <c r="C72" s="29"/>
      <c r="D72" s="30"/>
      <c r="E72" s="30"/>
      <c r="F72" s="35"/>
      <c r="G72" s="35"/>
      <c r="H72" s="35" t="str">
        <f t="shared" si="1"/>
        <v/>
      </c>
      <c r="I72" s="29"/>
    </row>
    <row r="73" spans="1:9">
      <c r="A73" s="33"/>
      <c r="B73" s="29"/>
      <c r="C73" s="29"/>
      <c r="D73" s="30"/>
      <c r="E73" s="30"/>
      <c r="F73" s="35"/>
      <c r="G73" s="35"/>
      <c r="H73" s="35" t="str">
        <f t="shared" si="1"/>
        <v/>
      </c>
      <c r="I73" s="29"/>
    </row>
    <row r="74" spans="1:9">
      <c r="A74" s="33"/>
      <c r="B74" s="29"/>
      <c r="C74" s="29"/>
      <c r="D74" s="30"/>
      <c r="E74" s="30"/>
      <c r="F74" s="35"/>
      <c r="G74" s="35"/>
      <c r="H74" s="35" t="str">
        <f t="shared" si="1"/>
        <v/>
      </c>
      <c r="I74" s="29"/>
    </row>
    <row r="75" spans="1:9">
      <c r="A75" s="33"/>
      <c r="B75" s="29"/>
      <c r="C75" s="29"/>
      <c r="D75" s="30"/>
      <c r="E75" s="30"/>
      <c r="F75" s="35"/>
      <c r="G75" s="35"/>
      <c r="H75" s="35" t="str">
        <f t="shared" si="1"/>
        <v/>
      </c>
      <c r="I75" s="29"/>
    </row>
    <row r="76" spans="1:9">
      <c r="A76" s="33"/>
      <c r="B76" s="29"/>
      <c r="C76" s="29"/>
      <c r="D76" s="30"/>
      <c r="E76" s="30"/>
      <c r="F76" s="35"/>
      <c r="G76" s="35"/>
      <c r="H76" s="35" t="str">
        <f t="shared" si="1"/>
        <v/>
      </c>
      <c r="I76" s="29"/>
    </row>
    <row r="77" spans="1:9">
      <c r="A77" s="33"/>
      <c r="B77" s="29"/>
      <c r="C77" s="29"/>
      <c r="D77" s="30"/>
      <c r="E77" s="30"/>
      <c r="F77" s="35"/>
      <c r="G77" s="35"/>
      <c r="H77" s="35" t="str">
        <f t="shared" si="1"/>
        <v/>
      </c>
      <c r="I77" s="29"/>
    </row>
    <row r="78" spans="1:9">
      <c r="A78" s="33"/>
      <c r="B78" s="29"/>
      <c r="C78" s="29"/>
      <c r="D78" s="30"/>
      <c r="E78" s="30"/>
      <c r="F78" s="35"/>
      <c r="G78" s="35"/>
      <c r="H78" s="35" t="str">
        <f t="shared" si="1"/>
        <v/>
      </c>
      <c r="I78" s="29"/>
    </row>
    <row r="79" spans="1:9">
      <c r="A79" s="33"/>
      <c r="B79" s="29"/>
      <c r="C79" s="29"/>
      <c r="D79" s="30"/>
      <c r="E79" s="30"/>
      <c r="F79" s="35"/>
      <c r="G79" s="35"/>
      <c r="H79" s="35" t="str">
        <f t="shared" si="1"/>
        <v/>
      </c>
      <c r="I79" s="29"/>
    </row>
    <row r="80" spans="1:9">
      <c r="A80" s="33"/>
      <c r="B80" s="29"/>
      <c r="C80" s="29"/>
      <c r="D80" s="30"/>
      <c r="E80" s="30"/>
      <c r="F80" s="35"/>
      <c r="G80" s="35"/>
      <c r="H80" s="35" t="str">
        <f t="shared" si="1"/>
        <v/>
      </c>
      <c r="I80" s="29"/>
    </row>
    <row r="81" spans="1:9">
      <c r="A81" s="33"/>
      <c r="B81" s="29"/>
      <c r="C81" s="29"/>
      <c r="D81" s="30"/>
      <c r="E81" s="30"/>
      <c r="F81" s="35"/>
      <c r="G81" s="35"/>
      <c r="H81" s="35" t="str">
        <f t="shared" si="1"/>
        <v/>
      </c>
      <c r="I81" s="29"/>
    </row>
    <row r="82" spans="1:9">
      <c r="A82" s="33"/>
      <c r="B82" s="29"/>
      <c r="C82" s="29"/>
      <c r="D82" s="30"/>
      <c r="E82" s="30"/>
      <c r="F82" s="35"/>
      <c r="G82" s="35"/>
      <c r="H82" s="35" t="str">
        <f t="shared" si="1"/>
        <v/>
      </c>
      <c r="I82" s="29"/>
    </row>
    <row r="83" spans="1:9">
      <c r="A83" s="33"/>
      <c r="B83" s="29"/>
      <c r="C83" s="29"/>
      <c r="D83" s="30"/>
      <c r="E83" s="30"/>
      <c r="F83" s="35"/>
      <c r="G83" s="35"/>
      <c r="H83" s="35" t="str">
        <f t="shared" si="1"/>
        <v/>
      </c>
      <c r="I83" s="29"/>
    </row>
    <row r="84" spans="1:9">
      <c r="A84" s="33"/>
      <c r="B84" s="29"/>
      <c r="C84" s="29"/>
      <c r="D84" s="30"/>
      <c r="E84" s="30"/>
      <c r="F84" s="35"/>
      <c r="G84" s="35"/>
      <c r="H84" s="35" t="str">
        <f t="shared" si="1"/>
        <v/>
      </c>
      <c r="I84" s="29"/>
    </row>
    <row r="85" spans="1:9">
      <c r="A85" s="33"/>
      <c r="B85" s="29"/>
      <c r="C85" s="29"/>
      <c r="D85" s="30"/>
      <c r="E85" s="30"/>
      <c r="F85" s="35"/>
      <c r="G85" s="35"/>
      <c r="H85" s="35" t="str">
        <f t="shared" si="1"/>
        <v/>
      </c>
      <c r="I85" s="29"/>
    </row>
    <row r="86" spans="1:9">
      <c r="A86" s="33"/>
      <c r="B86" s="29"/>
      <c r="C86" s="29"/>
      <c r="D86" s="30"/>
      <c r="E86" s="30"/>
      <c r="F86" s="35"/>
      <c r="G86" s="35"/>
      <c r="H86" s="35" t="str">
        <f t="shared" si="1"/>
        <v/>
      </c>
      <c r="I86" s="29"/>
    </row>
    <row r="87" spans="1:9">
      <c r="A87" s="33"/>
      <c r="B87" s="29"/>
      <c r="C87" s="29"/>
      <c r="D87" s="30"/>
      <c r="E87" s="30"/>
      <c r="F87" s="35"/>
      <c r="G87" s="35"/>
      <c r="H87" s="35" t="str">
        <f t="shared" si="1"/>
        <v/>
      </c>
      <c r="I87" s="29"/>
    </row>
    <row r="88" spans="1:9">
      <c r="A88" s="33"/>
      <c r="B88" s="29"/>
      <c r="C88" s="29"/>
      <c r="D88" s="30"/>
      <c r="E88" s="30"/>
      <c r="F88" s="35"/>
      <c r="G88" s="35"/>
      <c r="H88" s="35" t="str">
        <f t="shared" si="1"/>
        <v/>
      </c>
      <c r="I88" s="29"/>
    </row>
    <row r="89" spans="1:9">
      <c r="A89" s="33"/>
      <c r="B89" s="29"/>
      <c r="C89" s="29"/>
      <c r="D89" s="30"/>
      <c r="E89" s="30"/>
      <c r="F89" s="35"/>
      <c r="G89" s="35"/>
      <c r="H89" s="35" t="str">
        <f t="shared" si="1"/>
        <v/>
      </c>
      <c r="I89" s="29"/>
    </row>
    <row r="90" spans="1:9">
      <c r="A90" s="33"/>
      <c r="B90" s="29"/>
      <c r="C90" s="29"/>
      <c r="D90" s="30"/>
      <c r="E90" s="30"/>
      <c r="F90" s="35"/>
      <c r="G90" s="35"/>
      <c r="H90" s="35" t="str">
        <f t="shared" si="1"/>
        <v/>
      </c>
      <c r="I90" s="29"/>
    </row>
    <row r="91" spans="1:9">
      <c r="A91" s="33"/>
      <c r="B91" s="29"/>
      <c r="C91" s="29"/>
      <c r="D91" s="30"/>
      <c r="E91" s="30"/>
      <c r="F91" s="35"/>
      <c r="G91" s="35"/>
      <c r="H91" s="35" t="str">
        <f t="shared" si="1"/>
        <v/>
      </c>
      <c r="I91" s="29"/>
    </row>
    <row r="92" spans="1:9">
      <c r="A92" s="33"/>
      <c r="B92" s="29"/>
      <c r="C92" s="29"/>
      <c r="D92" s="30"/>
      <c r="E92" s="30"/>
      <c r="F92" s="35"/>
      <c r="G92" s="35"/>
      <c r="H92" s="35" t="str">
        <f t="shared" si="1"/>
        <v/>
      </c>
      <c r="I92" s="29"/>
    </row>
    <row r="93" spans="1:9">
      <c r="A93" s="33"/>
      <c r="B93" s="29"/>
      <c r="C93" s="29"/>
      <c r="D93" s="30"/>
      <c r="E93" s="30"/>
      <c r="F93" s="35"/>
      <c r="G93" s="35"/>
      <c r="H93" s="35" t="str">
        <f t="shared" si="1"/>
        <v/>
      </c>
      <c r="I93" s="29"/>
    </row>
    <row r="94" spans="1:9">
      <c r="A94" s="33"/>
      <c r="B94" s="29"/>
      <c r="C94" s="29"/>
      <c r="D94" s="30"/>
      <c r="E94" s="30"/>
      <c r="F94" s="35"/>
      <c r="G94" s="35"/>
      <c r="H94" s="35" t="str">
        <f t="shared" si="1"/>
        <v/>
      </c>
      <c r="I94" s="29"/>
    </row>
    <row r="95" spans="1:9">
      <c r="A95" s="33"/>
      <c r="B95" s="29"/>
      <c r="C95" s="29"/>
      <c r="D95" s="30"/>
      <c r="E95" s="30"/>
      <c r="F95" s="35"/>
      <c r="G95" s="35"/>
      <c r="H95" s="35" t="str">
        <f t="shared" si="1"/>
        <v/>
      </c>
      <c r="I95" s="29"/>
    </row>
    <row r="96" spans="1:9">
      <c r="A96" s="33"/>
      <c r="B96" s="29"/>
      <c r="C96" s="29"/>
      <c r="D96" s="30"/>
      <c r="E96" s="30"/>
      <c r="F96" s="35"/>
      <c r="G96" s="35"/>
      <c r="H96" s="35" t="str">
        <f t="shared" si="1"/>
        <v/>
      </c>
      <c r="I96" s="29"/>
    </row>
    <row r="97" spans="1:9">
      <c r="A97" s="33"/>
      <c r="B97" s="29"/>
      <c r="C97" s="29"/>
      <c r="D97" s="30"/>
      <c r="E97" s="30"/>
      <c r="F97" s="35"/>
      <c r="G97" s="35"/>
      <c r="H97" s="35" t="str">
        <f t="shared" si="1"/>
        <v/>
      </c>
      <c r="I97" s="29"/>
    </row>
    <row r="98" spans="1:9">
      <c r="A98" s="33"/>
      <c r="B98" s="29"/>
      <c r="C98" s="29"/>
      <c r="D98" s="30"/>
      <c r="E98" s="30"/>
      <c r="F98" s="35"/>
      <c r="G98" s="35"/>
      <c r="H98" s="35" t="str">
        <f t="shared" si="1"/>
        <v/>
      </c>
      <c r="I98" s="29"/>
    </row>
    <row r="99" spans="1:9">
      <c r="A99" s="33"/>
      <c r="B99" s="29"/>
      <c r="C99" s="29"/>
      <c r="D99" s="30"/>
      <c r="E99" s="30"/>
      <c r="F99" s="35"/>
      <c r="G99" s="35"/>
      <c r="H99" s="35" t="str">
        <f t="shared" si="1"/>
        <v/>
      </c>
      <c r="I99" s="29"/>
    </row>
    <row r="100" spans="1:9">
      <c r="A100" s="33"/>
      <c r="B100" s="29"/>
      <c r="C100" s="29"/>
      <c r="D100" s="30"/>
      <c r="E100" s="30"/>
      <c r="F100" s="35"/>
      <c r="G100" s="35"/>
      <c r="H100" s="35" t="str">
        <f t="shared" si="1"/>
        <v/>
      </c>
      <c r="I100" s="29"/>
    </row>
    <row r="101" spans="1:9">
      <c r="A101" s="33"/>
      <c r="B101" s="29"/>
      <c r="C101" s="29"/>
      <c r="D101" s="30"/>
      <c r="E101" s="30"/>
      <c r="F101" s="35"/>
      <c r="G101" s="35"/>
      <c r="H101" s="35" t="str">
        <f t="shared" si="1"/>
        <v/>
      </c>
      <c r="I101" s="29"/>
    </row>
    <row r="102" spans="1:9">
      <c r="A102" s="33"/>
      <c r="B102" s="29"/>
      <c r="C102" s="29"/>
      <c r="D102" s="30"/>
      <c r="E102" s="30"/>
      <c r="F102" s="35"/>
      <c r="G102" s="35"/>
      <c r="H102" s="35" t="str">
        <f t="shared" si="1"/>
        <v/>
      </c>
      <c r="I102" s="29"/>
    </row>
    <row r="103" spans="1:9">
      <c r="A103" s="33"/>
      <c r="B103" s="29"/>
      <c r="C103" s="29"/>
      <c r="D103" s="30"/>
      <c r="E103" s="30"/>
      <c r="F103" s="35"/>
      <c r="G103" s="35"/>
      <c r="H103" s="35" t="str">
        <f t="shared" si="1"/>
        <v/>
      </c>
      <c r="I103" s="29"/>
    </row>
    <row r="104" spans="1:9">
      <c r="A104" s="33"/>
      <c r="B104" s="29"/>
      <c r="C104" s="29"/>
      <c r="D104" s="30"/>
      <c r="E104" s="30"/>
      <c r="F104" s="35"/>
      <c r="G104" s="35"/>
      <c r="H104" s="35" t="str">
        <f t="shared" si="1"/>
        <v/>
      </c>
      <c r="I104" s="29"/>
    </row>
    <row r="105" spans="1:9">
      <c r="A105" s="33"/>
      <c r="B105" s="29"/>
      <c r="C105" s="29"/>
      <c r="D105" s="30"/>
      <c r="E105" s="30"/>
      <c r="F105" s="35"/>
      <c r="G105" s="35"/>
      <c r="H105" s="35" t="str">
        <f t="shared" si="1"/>
        <v/>
      </c>
      <c r="I105" s="29"/>
    </row>
    <row r="106" spans="1:9">
      <c r="A106" s="33"/>
      <c r="B106" s="29"/>
      <c r="C106" s="29"/>
      <c r="D106" s="30"/>
      <c r="E106" s="30"/>
      <c r="F106" s="35"/>
      <c r="G106" s="35"/>
      <c r="H106" s="35" t="str">
        <f t="shared" si="1"/>
        <v/>
      </c>
      <c r="I106" s="29"/>
    </row>
    <row r="107" spans="1:9">
      <c r="A107" s="33"/>
      <c r="B107" s="29"/>
      <c r="C107" s="29"/>
      <c r="D107" s="30"/>
      <c r="E107" s="30"/>
      <c r="F107" s="35"/>
      <c r="G107" s="35"/>
      <c r="H107" s="35" t="str">
        <f t="shared" si="1"/>
        <v/>
      </c>
      <c r="I107" s="29"/>
    </row>
    <row r="108" spans="1:9">
      <c r="A108" s="33"/>
      <c r="B108" s="29"/>
      <c r="C108" s="29"/>
      <c r="D108" s="30"/>
      <c r="E108" s="30"/>
      <c r="F108" s="35"/>
      <c r="G108" s="35"/>
      <c r="H108" s="35" t="str">
        <f t="shared" si="1"/>
        <v/>
      </c>
      <c r="I108" s="29"/>
    </row>
    <row r="109" spans="1:9">
      <c r="A109" s="33"/>
      <c r="B109" s="29"/>
      <c r="C109" s="29"/>
      <c r="D109" s="30"/>
      <c r="E109" s="30"/>
      <c r="F109" s="35"/>
      <c r="G109" s="35"/>
      <c r="H109" s="35" t="str">
        <f t="shared" si="1"/>
        <v/>
      </c>
      <c r="I109" s="29"/>
    </row>
    <row r="110" spans="1:9">
      <c r="A110" s="33"/>
      <c r="B110" s="29"/>
      <c r="C110" s="29"/>
      <c r="D110" s="30"/>
      <c r="E110" s="30"/>
      <c r="F110" s="35"/>
      <c r="G110" s="35"/>
      <c r="H110" s="35" t="str">
        <f t="shared" si="1"/>
        <v/>
      </c>
      <c r="I110" s="29"/>
    </row>
    <row r="111" spans="1:9">
      <c r="A111" s="33"/>
      <c r="B111" s="29"/>
      <c r="C111" s="29"/>
      <c r="D111" s="30"/>
      <c r="E111" s="30"/>
      <c r="F111" s="35"/>
      <c r="G111" s="35"/>
      <c r="H111" s="35" t="str">
        <f t="shared" si="1"/>
        <v/>
      </c>
      <c r="I111" s="29"/>
    </row>
    <row r="112" spans="1:9">
      <c r="A112" s="33"/>
      <c r="B112" s="29"/>
      <c r="C112" s="29"/>
      <c r="D112" s="30"/>
      <c r="E112" s="30"/>
      <c r="F112" s="35"/>
      <c r="G112" s="35"/>
      <c r="H112" s="35" t="str">
        <f t="shared" si="1"/>
        <v/>
      </c>
      <c r="I112" s="29"/>
    </row>
    <row r="113" spans="1:9">
      <c r="A113" s="33"/>
      <c r="B113" s="29"/>
      <c r="C113" s="29"/>
      <c r="D113" s="30"/>
      <c r="E113" s="30"/>
      <c r="F113" s="35"/>
      <c r="G113" s="35"/>
      <c r="H113" s="35" t="str">
        <f t="shared" si="1"/>
        <v/>
      </c>
      <c r="I113" s="29"/>
    </row>
    <row r="114" spans="1:9">
      <c r="A114" s="33"/>
      <c r="B114" s="29"/>
      <c r="C114" s="29"/>
      <c r="D114" s="30"/>
      <c r="E114" s="30"/>
      <c r="F114" s="35"/>
      <c r="G114" s="35"/>
      <c r="H114" s="35" t="str">
        <f t="shared" si="1"/>
        <v/>
      </c>
      <c r="I114" s="29"/>
    </row>
    <row r="115" spans="1:9">
      <c r="A115" s="33"/>
      <c r="B115" s="29"/>
      <c r="C115" s="29"/>
      <c r="D115" s="30"/>
      <c r="E115" s="30"/>
      <c r="F115" s="35"/>
      <c r="G115" s="35"/>
      <c r="H115" s="35" t="str">
        <f t="shared" si="1"/>
        <v/>
      </c>
      <c r="I115" s="29"/>
    </row>
    <row r="116" spans="1:9">
      <c r="A116" s="33"/>
      <c r="B116" s="29"/>
      <c r="C116" s="29"/>
      <c r="D116" s="30"/>
      <c r="E116" s="30"/>
      <c r="F116" s="35"/>
      <c r="G116" s="35"/>
      <c r="H116" s="35" t="str">
        <f t="shared" si="1"/>
        <v/>
      </c>
      <c r="I116" s="29"/>
    </row>
    <row r="117" spans="1:9">
      <c r="A117" s="33"/>
      <c r="B117" s="29"/>
      <c r="C117" s="29"/>
      <c r="D117" s="30"/>
      <c r="E117" s="30"/>
      <c r="F117" s="35"/>
      <c r="G117" s="35"/>
      <c r="H117" s="35" t="str">
        <f t="shared" si="1"/>
        <v/>
      </c>
      <c r="I117" s="29"/>
    </row>
    <row r="118" spans="1:9">
      <c r="A118" s="33"/>
      <c r="B118" s="29"/>
      <c r="C118" s="29"/>
      <c r="D118" s="30"/>
      <c r="E118" s="30"/>
      <c r="F118" s="35"/>
      <c r="G118" s="35"/>
      <c r="H118" s="35" t="str">
        <f t="shared" si="1"/>
        <v/>
      </c>
      <c r="I118" s="29"/>
    </row>
    <row r="119" spans="1:9">
      <c r="A119" s="33"/>
      <c r="B119" s="29"/>
      <c r="C119" s="29"/>
      <c r="D119" s="30"/>
      <c r="E119" s="30"/>
      <c r="F119" s="35"/>
      <c r="G119" s="35"/>
      <c r="H119" s="35" t="str">
        <f t="shared" si="1"/>
        <v/>
      </c>
      <c r="I119" s="29"/>
    </row>
    <row r="120" spans="1:9">
      <c r="A120" s="33"/>
      <c r="B120" s="29"/>
      <c r="C120" s="29"/>
      <c r="D120" s="30"/>
      <c r="E120" s="30"/>
      <c r="F120" s="35"/>
      <c r="G120" s="35"/>
      <c r="H120" s="35" t="str">
        <f t="shared" si="1"/>
        <v/>
      </c>
      <c r="I120" s="29"/>
    </row>
    <row r="121" spans="1:9">
      <c r="A121" s="33"/>
      <c r="B121" s="29"/>
      <c r="C121" s="29"/>
      <c r="D121" s="30"/>
      <c r="E121" s="30"/>
      <c r="F121" s="35"/>
      <c r="G121" s="35"/>
      <c r="H121" s="35" t="str">
        <f t="shared" si="1"/>
        <v/>
      </c>
      <c r="I121" s="29"/>
    </row>
    <row r="122" spans="1:9">
      <c r="A122" s="33"/>
      <c r="B122" s="29"/>
      <c r="C122" s="29"/>
      <c r="D122" s="30"/>
      <c r="E122" s="30"/>
      <c r="F122" s="35"/>
      <c r="G122" s="35"/>
      <c r="H122" s="35" t="str">
        <f t="shared" si="1"/>
        <v/>
      </c>
      <c r="I122" s="29"/>
    </row>
    <row r="123" spans="1:9">
      <c r="A123" s="33"/>
      <c r="B123" s="29"/>
      <c r="C123" s="29"/>
      <c r="D123" s="30"/>
      <c r="E123" s="30"/>
      <c r="F123" s="35"/>
      <c r="G123" s="35"/>
      <c r="H123" s="35" t="str">
        <f t="shared" si="1"/>
        <v/>
      </c>
      <c r="I123" s="29"/>
    </row>
    <row r="124" spans="1:9">
      <c r="A124" s="33"/>
      <c r="B124" s="29"/>
      <c r="C124" s="29"/>
      <c r="D124" s="30"/>
      <c r="E124" s="30"/>
      <c r="F124" s="35"/>
      <c r="G124" s="35"/>
      <c r="H124" s="35" t="str">
        <f t="shared" si="1"/>
        <v/>
      </c>
      <c r="I124" s="29"/>
    </row>
    <row r="125" spans="1:9">
      <c r="A125" s="33"/>
      <c r="B125" s="29"/>
      <c r="C125" s="29"/>
      <c r="D125" s="30"/>
      <c r="E125" s="30"/>
      <c r="F125" s="35"/>
      <c r="G125" s="35"/>
      <c r="H125" s="35" t="str">
        <f t="shared" si="1"/>
        <v/>
      </c>
      <c r="I125" s="29"/>
    </row>
    <row r="126" spans="1:9">
      <c r="A126" s="33"/>
      <c r="B126" s="29"/>
      <c r="C126" s="29"/>
      <c r="D126" s="30"/>
      <c r="E126" s="30"/>
      <c r="F126" s="35"/>
      <c r="G126" s="35"/>
      <c r="H126" s="35" t="str">
        <f t="shared" si="1"/>
        <v/>
      </c>
      <c r="I126" s="29"/>
    </row>
    <row r="127" spans="1:9">
      <c r="A127" s="33"/>
      <c r="B127" s="29"/>
      <c r="C127" s="29"/>
      <c r="D127" s="30"/>
      <c r="E127" s="30"/>
      <c r="F127" s="35"/>
      <c r="G127" s="35"/>
      <c r="H127" s="35" t="str">
        <f t="shared" si="1"/>
        <v/>
      </c>
      <c r="I127" s="29"/>
    </row>
    <row r="128" spans="1:9">
      <c r="A128" s="33"/>
      <c r="B128" s="29"/>
      <c r="C128" s="29"/>
      <c r="D128" s="30"/>
      <c r="E128" s="30"/>
      <c r="F128" s="35"/>
      <c r="G128" s="35"/>
      <c r="H128" s="35" t="str">
        <f t="shared" si="1"/>
        <v/>
      </c>
      <c r="I128" s="29"/>
    </row>
    <row r="129" spans="1:9">
      <c r="A129" s="33"/>
      <c r="B129" s="29"/>
      <c r="C129" s="29"/>
      <c r="D129" s="30"/>
      <c r="E129" s="30"/>
      <c r="F129" s="35"/>
      <c r="G129" s="35"/>
      <c r="H129" s="35" t="str">
        <f t="shared" si="1"/>
        <v/>
      </c>
      <c r="I129" s="29"/>
    </row>
    <row r="130" spans="1:9">
      <c r="A130" s="33"/>
      <c r="B130" s="29"/>
      <c r="C130" s="29"/>
      <c r="D130" s="30"/>
      <c r="E130" s="30"/>
      <c r="F130" s="35"/>
      <c r="G130" s="35"/>
      <c r="H130" s="35" t="str">
        <f t="shared" si="1"/>
        <v/>
      </c>
      <c r="I130" s="29"/>
    </row>
    <row r="131" spans="1:9">
      <c r="A131" s="33"/>
      <c r="B131" s="29"/>
      <c r="C131" s="29"/>
      <c r="D131" s="30"/>
      <c r="E131" s="30"/>
      <c r="F131" s="35"/>
      <c r="G131" s="35"/>
      <c r="H131" s="35" t="str">
        <f t="shared" si="1"/>
        <v/>
      </c>
      <c r="I131" s="29"/>
    </row>
    <row r="132" spans="1:9">
      <c r="A132" s="33"/>
      <c r="B132" s="29"/>
      <c r="C132" s="29"/>
      <c r="D132" s="30"/>
      <c r="E132" s="30"/>
      <c r="F132" s="35"/>
      <c r="G132" s="35"/>
      <c r="H132" s="35" t="str">
        <f t="shared" ref="H132:H195" si="2">IF(F132="","",F132-G132)</f>
        <v/>
      </c>
      <c r="I132" s="29"/>
    </row>
    <row r="133" spans="1:9">
      <c r="A133" s="33"/>
      <c r="B133" s="29"/>
      <c r="C133" s="29"/>
      <c r="D133" s="30"/>
      <c r="E133" s="30"/>
      <c r="F133" s="35"/>
      <c r="G133" s="35"/>
      <c r="H133" s="35" t="str">
        <f t="shared" si="2"/>
        <v/>
      </c>
      <c r="I133" s="29"/>
    </row>
    <row r="134" spans="1:9">
      <c r="A134" s="33"/>
      <c r="B134" s="29"/>
      <c r="C134" s="29"/>
      <c r="D134" s="30"/>
      <c r="E134" s="30"/>
      <c r="F134" s="35"/>
      <c r="G134" s="35"/>
      <c r="H134" s="35" t="str">
        <f t="shared" si="2"/>
        <v/>
      </c>
      <c r="I134" s="29"/>
    </row>
    <row r="135" spans="1:9">
      <c r="A135" s="33"/>
      <c r="B135" s="29"/>
      <c r="C135" s="29"/>
      <c r="D135" s="30"/>
      <c r="E135" s="30"/>
      <c r="F135" s="35"/>
      <c r="G135" s="35"/>
      <c r="H135" s="35" t="str">
        <f t="shared" si="2"/>
        <v/>
      </c>
      <c r="I135" s="29"/>
    </row>
    <row r="136" spans="1:9">
      <c r="A136" s="33"/>
      <c r="B136" s="29"/>
      <c r="C136" s="29"/>
      <c r="D136" s="30"/>
      <c r="E136" s="30"/>
      <c r="F136" s="35"/>
      <c r="G136" s="35"/>
      <c r="H136" s="35" t="str">
        <f t="shared" si="2"/>
        <v/>
      </c>
      <c r="I136" s="29"/>
    </row>
    <row r="137" spans="1:9">
      <c r="A137" s="33"/>
      <c r="B137" s="29"/>
      <c r="C137" s="29"/>
      <c r="D137" s="30"/>
      <c r="E137" s="30"/>
      <c r="F137" s="35"/>
      <c r="G137" s="35"/>
      <c r="H137" s="35" t="str">
        <f t="shared" si="2"/>
        <v/>
      </c>
      <c r="I137" s="29"/>
    </row>
    <row r="138" spans="1:9">
      <c r="A138" s="33"/>
      <c r="B138" s="29"/>
      <c r="C138" s="29"/>
      <c r="D138" s="30"/>
      <c r="E138" s="30"/>
      <c r="F138" s="35"/>
      <c r="G138" s="35"/>
      <c r="H138" s="35" t="str">
        <f t="shared" si="2"/>
        <v/>
      </c>
      <c r="I138" s="29"/>
    </row>
    <row r="139" spans="1:9">
      <c r="A139" s="33"/>
      <c r="B139" s="29"/>
      <c r="C139" s="29"/>
      <c r="D139" s="30"/>
      <c r="E139" s="30"/>
      <c r="F139" s="35"/>
      <c r="G139" s="35"/>
      <c r="H139" s="35" t="str">
        <f t="shared" si="2"/>
        <v/>
      </c>
      <c r="I139" s="29"/>
    </row>
    <row r="140" spans="1:9">
      <c r="A140" s="33"/>
      <c r="B140" s="29"/>
      <c r="C140" s="29"/>
      <c r="D140" s="30"/>
      <c r="E140" s="30"/>
      <c r="F140" s="35"/>
      <c r="G140" s="35"/>
      <c r="H140" s="35" t="str">
        <f t="shared" si="2"/>
        <v/>
      </c>
      <c r="I140" s="29"/>
    </row>
    <row r="141" spans="1:9">
      <c r="A141" s="33"/>
      <c r="B141" s="29"/>
      <c r="C141" s="29"/>
      <c r="D141" s="30"/>
      <c r="E141" s="30"/>
      <c r="F141" s="35"/>
      <c r="G141" s="35"/>
      <c r="H141" s="35" t="str">
        <f t="shared" si="2"/>
        <v/>
      </c>
      <c r="I141" s="29"/>
    </row>
    <row r="142" spans="1:9">
      <c r="A142" s="33"/>
      <c r="B142" s="29"/>
      <c r="C142" s="29"/>
      <c r="D142" s="30"/>
      <c r="E142" s="30"/>
      <c r="F142" s="35"/>
      <c r="G142" s="35"/>
      <c r="H142" s="35" t="str">
        <f t="shared" si="2"/>
        <v/>
      </c>
      <c r="I142" s="29"/>
    </row>
    <row r="143" spans="1:9">
      <c r="A143" s="33"/>
      <c r="B143" s="29"/>
      <c r="C143" s="29"/>
      <c r="D143" s="30"/>
      <c r="E143" s="30"/>
      <c r="F143" s="35"/>
      <c r="G143" s="35"/>
      <c r="H143" s="35" t="str">
        <f t="shared" si="2"/>
        <v/>
      </c>
      <c r="I143" s="29"/>
    </row>
    <row r="144" spans="1:9">
      <c r="A144" s="33"/>
      <c r="B144" s="29"/>
      <c r="C144" s="29"/>
      <c r="D144" s="30"/>
      <c r="E144" s="30"/>
      <c r="F144" s="35"/>
      <c r="G144" s="35"/>
      <c r="H144" s="35" t="str">
        <f t="shared" si="2"/>
        <v/>
      </c>
      <c r="I144" s="29"/>
    </row>
    <row r="145" spans="1:9">
      <c r="A145" s="33"/>
      <c r="B145" s="29"/>
      <c r="C145" s="29"/>
      <c r="D145" s="30"/>
      <c r="E145" s="30"/>
      <c r="F145" s="35"/>
      <c r="G145" s="35"/>
      <c r="H145" s="35" t="str">
        <f t="shared" si="2"/>
        <v/>
      </c>
      <c r="I145" s="29"/>
    </row>
    <row r="146" spans="1:9">
      <c r="A146" s="33"/>
      <c r="B146" s="29"/>
      <c r="C146" s="29"/>
      <c r="D146" s="30"/>
      <c r="E146" s="30"/>
      <c r="F146" s="35"/>
      <c r="G146" s="35"/>
      <c r="H146" s="35" t="str">
        <f t="shared" si="2"/>
        <v/>
      </c>
      <c r="I146" s="29"/>
    </row>
    <row r="147" spans="1:9">
      <c r="A147" s="33"/>
      <c r="B147" s="29"/>
      <c r="C147" s="29"/>
      <c r="D147" s="30"/>
      <c r="E147" s="30"/>
      <c r="F147" s="35"/>
      <c r="G147" s="35"/>
      <c r="H147" s="35" t="str">
        <f t="shared" si="2"/>
        <v/>
      </c>
      <c r="I147" s="29"/>
    </row>
    <row r="148" spans="1:9">
      <c r="A148" s="33"/>
      <c r="B148" s="29"/>
      <c r="C148" s="29"/>
      <c r="D148" s="30"/>
      <c r="E148" s="30"/>
      <c r="F148" s="35"/>
      <c r="G148" s="35"/>
      <c r="H148" s="35" t="str">
        <f t="shared" si="2"/>
        <v/>
      </c>
      <c r="I148" s="29"/>
    </row>
    <row r="149" spans="1:9">
      <c r="A149" s="33"/>
      <c r="B149" s="29"/>
      <c r="C149" s="29"/>
      <c r="D149" s="30"/>
      <c r="E149" s="30"/>
      <c r="F149" s="35"/>
      <c r="G149" s="35"/>
      <c r="H149" s="35" t="str">
        <f t="shared" si="2"/>
        <v/>
      </c>
      <c r="I149" s="29"/>
    </row>
    <row r="150" spans="1:9">
      <c r="A150" s="33"/>
      <c r="B150" s="29"/>
      <c r="C150" s="29"/>
      <c r="D150" s="30"/>
      <c r="E150" s="30"/>
      <c r="F150" s="35"/>
      <c r="G150" s="35"/>
      <c r="H150" s="35" t="str">
        <f t="shared" si="2"/>
        <v/>
      </c>
      <c r="I150" s="29"/>
    </row>
    <row r="151" spans="1:9">
      <c r="A151" s="33"/>
      <c r="B151" s="29"/>
      <c r="C151" s="29"/>
      <c r="D151" s="30"/>
      <c r="E151" s="30"/>
      <c r="F151" s="35"/>
      <c r="G151" s="35"/>
      <c r="H151" s="35" t="str">
        <f t="shared" si="2"/>
        <v/>
      </c>
      <c r="I151" s="29"/>
    </row>
    <row r="152" spans="1:9">
      <c r="A152" s="33"/>
      <c r="B152" s="29"/>
      <c r="C152" s="29"/>
      <c r="D152" s="30"/>
      <c r="E152" s="30"/>
      <c r="F152" s="35"/>
      <c r="G152" s="35"/>
      <c r="H152" s="35" t="str">
        <f t="shared" si="2"/>
        <v/>
      </c>
      <c r="I152" s="29"/>
    </row>
    <row r="153" spans="1:9">
      <c r="A153" s="33"/>
      <c r="B153" s="29"/>
      <c r="C153" s="29"/>
      <c r="D153" s="30"/>
      <c r="E153" s="30"/>
      <c r="F153" s="35"/>
      <c r="G153" s="35"/>
      <c r="H153" s="35" t="str">
        <f t="shared" si="2"/>
        <v/>
      </c>
      <c r="I153" s="29"/>
    </row>
    <row r="154" spans="1:9">
      <c r="A154" s="33"/>
      <c r="B154" s="29"/>
      <c r="C154" s="29"/>
      <c r="D154" s="30"/>
      <c r="E154" s="30"/>
      <c r="F154" s="35"/>
      <c r="G154" s="35"/>
      <c r="H154" s="35" t="str">
        <f t="shared" si="2"/>
        <v/>
      </c>
      <c r="I154" s="29"/>
    </row>
    <row r="155" spans="1:9">
      <c r="A155" s="33"/>
      <c r="B155" s="29"/>
      <c r="C155" s="29"/>
      <c r="D155" s="30"/>
      <c r="E155" s="30"/>
      <c r="F155" s="35"/>
      <c r="G155" s="35"/>
      <c r="H155" s="35" t="str">
        <f t="shared" si="2"/>
        <v/>
      </c>
      <c r="I155" s="29"/>
    </row>
    <row r="156" spans="1:9">
      <c r="A156" s="33"/>
      <c r="B156" s="29"/>
      <c r="C156" s="29"/>
      <c r="D156" s="30"/>
      <c r="E156" s="30"/>
      <c r="F156" s="35"/>
      <c r="G156" s="35"/>
      <c r="H156" s="35" t="str">
        <f t="shared" si="2"/>
        <v/>
      </c>
      <c r="I156" s="29"/>
    </row>
    <row r="157" spans="1:9">
      <c r="A157" s="33"/>
      <c r="B157" s="29"/>
      <c r="C157" s="29"/>
      <c r="D157" s="30"/>
      <c r="E157" s="30"/>
      <c r="F157" s="35"/>
      <c r="G157" s="35"/>
      <c r="H157" s="35" t="str">
        <f t="shared" si="2"/>
        <v/>
      </c>
      <c r="I157" s="29"/>
    </row>
    <row r="158" spans="1:9">
      <c r="A158" s="33"/>
      <c r="B158" s="29"/>
      <c r="C158" s="29"/>
      <c r="D158" s="30"/>
      <c r="E158" s="30"/>
      <c r="F158" s="35"/>
      <c r="G158" s="35"/>
      <c r="H158" s="35" t="str">
        <f t="shared" si="2"/>
        <v/>
      </c>
      <c r="I158" s="29"/>
    </row>
    <row r="159" spans="1:9">
      <c r="A159" s="33"/>
      <c r="B159" s="29"/>
      <c r="C159" s="29"/>
      <c r="D159" s="30"/>
      <c r="E159" s="30"/>
      <c r="F159" s="35"/>
      <c r="G159" s="35"/>
      <c r="H159" s="35" t="str">
        <f t="shared" si="2"/>
        <v/>
      </c>
      <c r="I159" s="29"/>
    </row>
    <row r="160" spans="1:9">
      <c r="A160" s="33"/>
      <c r="B160" s="29"/>
      <c r="C160" s="29"/>
      <c r="D160" s="30"/>
      <c r="E160" s="30"/>
      <c r="F160" s="35"/>
      <c r="G160" s="35"/>
      <c r="H160" s="35" t="str">
        <f t="shared" si="2"/>
        <v/>
      </c>
      <c r="I160" s="29"/>
    </row>
    <row r="161" spans="1:9">
      <c r="A161" s="33"/>
      <c r="B161" s="29"/>
      <c r="C161" s="29"/>
      <c r="D161" s="30"/>
      <c r="E161" s="30"/>
      <c r="F161" s="35"/>
      <c r="G161" s="35"/>
      <c r="H161" s="35" t="str">
        <f t="shared" si="2"/>
        <v/>
      </c>
      <c r="I161" s="29"/>
    </row>
    <row r="162" spans="1:9">
      <c r="A162" s="33"/>
      <c r="B162" s="29"/>
      <c r="C162" s="29"/>
      <c r="D162" s="30"/>
      <c r="E162" s="30"/>
      <c r="F162" s="35"/>
      <c r="G162" s="35"/>
      <c r="H162" s="35" t="str">
        <f t="shared" si="2"/>
        <v/>
      </c>
      <c r="I162" s="29"/>
    </row>
    <row r="163" spans="1:9">
      <c r="A163" s="33"/>
      <c r="B163" s="29"/>
      <c r="C163" s="29"/>
      <c r="D163" s="30"/>
      <c r="E163" s="30"/>
      <c r="F163" s="35"/>
      <c r="G163" s="35"/>
      <c r="H163" s="35" t="str">
        <f t="shared" si="2"/>
        <v/>
      </c>
      <c r="I163" s="29"/>
    </row>
    <row r="164" spans="1:9">
      <c r="A164" s="33"/>
      <c r="B164" s="29"/>
      <c r="C164" s="29"/>
      <c r="D164" s="30"/>
      <c r="E164" s="30"/>
      <c r="F164" s="35"/>
      <c r="G164" s="35"/>
      <c r="H164" s="35" t="str">
        <f t="shared" si="2"/>
        <v/>
      </c>
      <c r="I164" s="29"/>
    </row>
    <row r="165" spans="1:9">
      <c r="A165" s="33"/>
      <c r="B165" s="29"/>
      <c r="C165" s="29"/>
      <c r="D165" s="30"/>
      <c r="E165" s="30"/>
      <c r="F165" s="35"/>
      <c r="G165" s="35"/>
      <c r="H165" s="35" t="str">
        <f t="shared" si="2"/>
        <v/>
      </c>
      <c r="I165" s="29"/>
    </row>
    <row r="166" spans="1:9">
      <c r="A166" s="33"/>
      <c r="B166" s="29"/>
      <c r="C166" s="29"/>
      <c r="D166" s="30"/>
      <c r="E166" s="30"/>
      <c r="F166" s="35"/>
      <c r="G166" s="35"/>
      <c r="H166" s="35" t="str">
        <f t="shared" si="2"/>
        <v/>
      </c>
      <c r="I166" s="29"/>
    </row>
    <row r="167" spans="1:9">
      <c r="A167" s="33"/>
      <c r="B167" s="29"/>
      <c r="C167" s="29"/>
      <c r="D167" s="30"/>
      <c r="E167" s="30"/>
      <c r="F167" s="35"/>
      <c r="G167" s="35"/>
      <c r="H167" s="35" t="str">
        <f t="shared" si="2"/>
        <v/>
      </c>
      <c r="I167" s="29"/>
    </row>
    <row r="168" spans="1:9">
      <c r="A168" s="33"/>
      <c r="B168" s="29"/>
      <c r="C168" s="29"/>
      <c r="D168" s="30"/>
      <c r="E168" s="30"/>
      <c r="F168" s="35"/>
      <c r="G168" s="35"/>
      <c r="H168" s="35" t="str">
        <f t="shared" si="2"/>
        <v/>
      </c>
      <c r="I168" s="29"/>
    </row>
    <row r="169" spans="1:9">
      <c r="A169" s="33"/>
      <c r="B169" s="29"/>
      <c r="C169" s="29"/>
      <c r="D169" s="30"/>
      <c r="E169" s="30"/>
      <c r="F169" s="35"/>
      <c r="G169" s="35"/>
      <c r="H169" s="35" t="str">
        <f t="shared" si="2"/>
        <v/>
      </c>
      <c r="I169" s="29"/>
    </row>
    <row r="170" spans="1:9">
      <c r="A170" s="33"/>
      <c r="B170" s="29"/>
      <c r="C170" s="29"/>
      <c r="D170" s="30"/>
      <c r="E170" s="30"/>
      <c r="F170" s="35"/>
      <c r="G170" s="35"/>
      <c r="H170" s="35" t="str">
        <f t="shared" si="2"/>
        <v/>
      </c>
      <c r="I170" s="29"/>
    </row>
    <row r="171" spans="1:9">
      <c r="A171" s="33"/>
      <c r="B171" s="29"/>
      <c r="C171" s="29"/>
      <c r="D171" s="30"/>
      <c r="E171" s="30"/>
      <c r="F171" s="35"/>
      <c r="G171" s="35"/>
      <c r="H171" s="35" t="str">
        <f t="shared" si="2"/>
        <v/>
      </c>
      <c r="I171" s="29"/>
    </row>
    <row r="172" spans="1:9">
      <c r="A172" s="33"/>
      <c r="B172" s="29"/>
      <c r="C172" s="29"/>
      <c r="D172" s="30"/>
      <c r="E172" s="30"/>
      <c r="F172" s="35"/>
      <c r="G172" s="35"/>
      <c r="H172" s="35" t="str">
        <f t="shared" si="2"/>
        <v/>
      </c>
      <c r="I172" s="29"/>
    </row>
    <row r="173" spans="1:9">
      <c r="A173" s="33"/>
      <c r="B173" s="29"/>
      <c r="C173" s="29"/>
      <c r="D173" s="30"/>
      <c r="E173" s="30"/>
      <c r="F173" s="35"/>
      <c r="G173" s="35"/>
      <c r="H173" s="35" t="str">
        <f t="shared" si="2"/>
        <v/>
      </c>
      <c r="I173" s="29"/>
    </row>
    <row r="174" spans="1:9">
      <c r="A174" s="33"/>
      <c r="B174" s="29"/>
      <c r="C174" s="29"/>
      <c r="D174" s="30"/>
      <c r="E174" s="30"/>
      <c r="F174" s="35"/>
      <c r="G174" s="35"/>
      <c r="H174" s="35" t="str">
        <f t="shared" si="2"/>
        <v/>
      </c>
      <c r="I174" s="29"/>
    </row>
    <row r="175" spans="1:9">
      <c r="A175" s="33"/>
      <c r="B175" s="29"/>
      <c r="C175" s="29"/>
      <c r="D175" s="30"/>
      <c r="E175" s="30"/>
      <c r="F175" s="35"/>
      <c r="G175" s="35"/>
      <c r="H175" s="35" t="str">
        <f t="shared" si="2"/>
        <v/>
      </c>
      <c r="I175" s="29"/>
    </row>
    <row r="176" spans="1:9">
      <c r="A176" s="33"/>
      <c r="B176" s="29"/>
      <c r="C176" s="29"/>
      <c r="D176" s="30"/>
      <c r="E176" s="30"/>
      <c r="F176" s="35"/>
      <c r="G176" s="35"/>
      <c r="H176" s="35" t="str">
        <f t="shared" si="2"/>
        <v/>
      </c>
      <c r="I176" s="29"/>
    </row>
    <row r="177" spans="1:9">
      <c r="A177" s="33"/>
      <c r="B177" s="29"/>
      <c r="C177" s="29"/>
      <c r="D177" s="30"/>
      <c r="E177" s="30"/>
      <c r="F177" s="35"/>
      <c r="G177" s="35"/>
      <c r="H177" s="35" t="str">
        <f t="shared" si="2"/>
        <v/>
      </c>
      <c r="I177" s="29"/>
    </row>
    <row r="178" spans="1:9">
      <c r="A178" s="33"/>
      <c r="B178" s="29"/>
      <c r="C178" s="29"/>
      <c r="D178" s="30"/>
      <c r="E178" s="30"/>
      <c r="F178" s="35"/>
      <c r="G178" s="35"/>
      <c r="H178" s="35" t="str">
        <f t="shared" si="2"/>
        <v/>
      </c>
      <c r="I178" s="29"/>
    </row>
    <row r="179" spans="1:9">
      <c r="A179" s="33"/>
      <c r="B179" s="29"/>
      <c r="C179" s="29"/>
      <c r="D179" s="30"/>
      <c r="E179" s="30"/>
      <c r="F179" s="35"/>
      <c r="G179" s="35"/>
      <c r="H179" s="35" t="str">
        <f t="shared" si="2"/>
        <v/>
      </c>
      <c r="I179" s="29"/>
    </row>
    <row r="180" spans="1:9">
      <c r="A180" s="33"/>
      <c r="B180" s="29"/>
      <c r="C180" s="29"/>
      <c r="D180" s="30"/>
      <c r="E180" s="30"/>
      <c r="F180" s="35"/>
      <c r="G180" s="35"/>
      <c r="H180" s="35" t="str">
        <f t="shared" si="2"/>
        <v/>
      </c>
      <c r="I180" s="29"/>
    </row>
    <row r="181" spans="1:9">
      <c r="A181" s="33"/>
      <c r="B181" s="29"/>
      <c r="C181" s="29"/>
      <c r="D181" s="30"/>
      <c r="E181" s="30"/>
      <c r="F181" s="35"/>
      <c r="G181" s="35"/>
      <c r="H181" s="35" t="str">
        <f t="shared" si="2"/>
        <v/>
      </c>
      <c r="I181" s="29"/>
    </row>
    <row r="182" spans="1:9">
      <c r="A182" s="33"/>
      <c r="B182" s="29"/>
      <c r="C182" s="29"/>
      <c r="D182" s="30"/>
      <c r="E182" s="30"/>
      <c r="F182" s="35"/>
      <c r="G182" s="35"/>
      <c r="H182" s="35" t="str">
        <f t="shared" si="2"/>
        <v/>
      </c>
      <c r="I182" s="29"/>
    </row>
    <row r="183" spans="1:9">
      <c r="A183" s="33"/>
      <c r="B183" s="29"/>
      <c r="C183" s="29"/>
      <c r="D183" s="30"/>
      <c r="E183" s="30"/>
      <c r="F183" s="35"/>
      <c r="G183" s="35"/>
      <c r="H183" s="35" t="str">
        <f t="shared" si="2"/>
        <v/>
      </c>
      <c r="I183" s="29"/>
    </row>
    <row r="184" spans="1:9">
      <c r="A184" s="33"/>
      <c r="B184" s="29"/>
      <c r="C184" s="29"/>
      <c r="D184" s="30"/>
      <c r="E184" s="30"/>
      <c r="F184" s="35"/>
      <c r="G184" s="35"/>
      <c r="H184" s="35" t="str">
        <f t="shared" si="2"/>
        <v/>
      </c>
      <c r="I184" s="29"/>
    </row>
    <row r="185" spans="1:9">
      <c r="A185" s="33"/>
      <c r="B185" s="29"/>
      <c r="C185" s="29"/>
      <c r="D185" s="30"/>
      <c r="E185" s="30"/>
      <c r="F185" s="35"/>
      <c r="G185" s="35"/>
      <c r="H185" s="35" t="str">
        <f t="shared" si="2"/>
        <v/>
      </c>
      <c r="I185" s="29"/>
    </row>
    <row r="186" spans="1:9">
      <c r="A186" s="33"/>
      <c r="B186" s="29"/>
      <c r="C186" s="29"/>
      <c r="D186" s="30"/>
      <c r="E186" s="30"/>
      <c r="F186" s="35"/>
      <c r="G186" s="35"/>
      <c r="H186" s="35" t="str">
        <f t="shared" si="2"/>
        <v/>
      </c>
      <c r="I186" s="29"/>
    </row>
    <row r="187" spans="1:9">
      <c r="A187" s="33"/>
      <c r="B187" s="29"/>
      <c r="C187" s="29"/>
      <c r="D187" s="30"/>
      <c r="E187" s="30"/>
      <c r="F187" s="35"/>
      <c r="G187" s="35"/>
      <c r="H187" s="35" t="str">
        <f t="shared" si="2"/>
        <v/>
      </c>
      <c r="I187" s="29"/>
    </row>
    <row r="188" spans="1:9">
      <c r="A188" s="33"/>
      <c r="B188" s="29"/>
      <c r="C188" s="29"/>
      <c r="D188" s="30"/>
      <c r="E188" s="30"/>
      <c r="F188" s="35"/>
      <c r="G188" s="35"/>
      <c r="H188" s="35" t="str">
        <f t="shared" si="2"/>
        <v/>
      </c>
      <c r="I188" s="29"/>
    </row>
    <row r="189" spans="1:9">
      <c r="A189" s="33"/>
      <c r="B189" s="29"/>
      <c r="C189" s="29"/>
      <c r="D189" s="30"/>
      <c r="E189" s="30"/>
      <c r="F189" s="35"/>
      <c r="G189" s="35"/>
      <c r="H189" s="35" t="str">
        <f t="shared" si="2"/>
        <v/>
      </c>
      <c r="I189" s="29"/>
    </row>
    <row r="190" spans="1:9">
      <c r="A190" s="33"/>
      <c r="B190" s="29"/>
      <c r="C190" s="29"/>
      <c r="D190" s="30"/>
      <c r="E190" s="30"/>
      <c r="F190" s="35"/>
      <c r="G190" s="35"/>
      <c r="H190" s="35" t="str">
        <f t="shared" si="2"/>
        <v/>
      </c>
      <c r="I190" s="29"/>
    </row>
    <row r="191" spans="1:9">
      <c r="A191" s="33"/>
      <c r="B191" s="29"/>
      <c r="C191" s="29"/>
      <c r="D191" s="30"/>
      <c r="E191" s="30"/>
      <c r="F191" s="35"/>
      <c r="G191" s="35"/>
      <c r="H191" s="35" t="str">
        <f t="shared" si="2"/>
        <v/>
      </c>
      <c r="I191" s="29"/>
    </row>
    <row r="192" spans="1:9">
      <c r="A192" s="33"/>
      <c r="B192" s="29"/>
      <c r="C192" s="29"/>
      <c r="D192" s="30"/>
      <c r="E192" s="30"/>
      <c r="F192" s="35"/>
      <c r="G192" s="35"/>
      <c r="H192" s="35" t="str">
        <f t="shared" si="2"/>
        <v/>
      </c>
      <c r="I192" s="29"/>
    </row>
    <row r="193" spans="1:9">
      <c r="A193" s="33"/>
      <c r="B193" s="29"/>
      <c r="C193" s="29"/>
      <c r="D193" s="30"/>
      <c r="E193" s="30"/>
      <c r="F193" s="35"/>
      <c r="G193" s="35"/>
      <c r="H193" s="35" t="str">
        <f t="shared" si="2"/>
        <v/>
      </c>
      <c r="I193" s="29"/>
    </row>
    <row r="194" spans="1:9">
      <c r="A194" s="33"/>
      <c r="B194" s="29"/>
      <c r="C194" s="29"/>
      <c r="D194" s="30"/>
      <c r="E194" s="30"/>
      <c r="F194" s="35"/>
      <c r="G194" s="35"/>
      <c r="H194" s="35" t="str">
        <f t="shared" si="2"/>
        <v/>
      </c>
      <c r="I194" s="29"/>
    </row>
    <row r="195" spans="1:9">
      <c r="A195" s="33"/>
      <c r="B195" s="29"/>
      <c r="C195" s="29"/>
      <c r="D195" s="30"/>
      <c r="E195" s="30"/>
      <c r="F195" s="35"/>
      <c r="G195" s="35"/>
      <c r="H195" s="35" t="str">
        <f t="shared" si="2"/>
        <v/>
      </c>
      <c r="I195" s="29"/>
    </row>
    <row r="196" spans="1:9">
      <c r="A196" s="33"/>
      <c r="B196" s="29"/>
      <c r="C196" s="29"/>
      <c r="D196" s="30"/>
      <c r="E196" s="30"/>
      <c r="F196" s="35"/>
      <c r="G196" s="35"/>
      <c r="H196" s="35" t="str">
        <f t="shared" ref="H196:H259" si="3">IF(F196="","",F196-G196)</f>
        <v/>
      </c>
      <c r="I196" s="29"/>
    </row>
    <row r="197" spans="1:9">
      <c r="A197" s="33"/>
      <c r="B197" s="29"/>
      <c r="C197" s="29"/>
      <c r="D197" s="30"/>
      <c r="E197" s="30"/>
      <c r="F197" s="35"/>
      <c r="G197" s="35"/>
      <c r="H197" s="35" t="str">
        <f t="shared" si="3"/>
        <v/>
      </c>
      <c r="I197" s="29"/>
    </row>
    <row r="198" spans="1:9">
      <c r="A198" s="33"/>
      <c r="B198" s="29"/>
      <c r="C198" s="29"/>
      <c r="D198" s="30"/>
      <c r="E198" s="30"/>
      <c r="F198" s="35"/>
      <c r="G198" s="35"/>
      <c r="H198" s="35" t="str">
        <f t="shared" si="3"/>
        <v/>
      </c>
      <c r="I198" s="29"/>
    </row>
    <row r="199" spans="1:9">
      <c r="A199" s="33"/>
      <c r="B199" s="29"/>
      <c r="C199" s="29"/>
      <c r="D199" s="30"/>
      <c r="E199" s="30"/>
      <c r="F199" s="35"/>
      <c r="G199" s="35"/>
      <c r="H199" s="35" t="str">
        <f t="shared" si="3"/>
        <v/>
      </c>
      <c r="I199" s="29"/>
    </row>
    <row r="200" spans="1:9">
      <c r="A200" s="33"/>
      <c r="B200" s="29"/>
      <c r="C200" s="29"/>
      <c r="D200" s="30"/>
      <c r="E200" s="30"/>
      <c r="F200" s="35"/>
      <c r="G200" s="35"/>
      <c r="H200" s="35" t="str">
        <f t="shared" si="3"/>
        <v/>
      </c>
      <c r="I200" s="29"/>
    </row>
    <row r="201" spans="1:9">
      <c r="A201" s="33"/>
      <c r="B201" s="29"/>
      <c r="C201" s="29"/>
      <c r="D201" s="30"/>
      <c r="E201" s="30"/>
      <c r="F201" s="35"/>
      <c r="G201" s="35"/>
      <c r="H201" s="35" t="str">
        <f t="shared" si="3"/>
        <v/>
      </c>
      <c r="I201" s="29"/>
    </row>
    <row r="202" spans="1:9">
      <c r="A202" s="33"/>
      <c r="B202" s="29"/>
      <c r="C202" s="29"/>
      <c r="D202" s="30"/>
      <c r="E202" s="30"/>
      <c r="F202" s="35"/>
      <c r="G202" s="35"/>
      <c r="H202" s="35" t="str">
        <f t="shared" si="3"/>
        <v/>
      </c>
      <c r="I202" s="29"/>
    </row>
    <row r="203" spans="1:9">
      <c r="A203" s="33"/>
      <c r="B203" s="29"/>
      <c r="C203" s="29"/>
      <c r="D203" s="30"/>
      <c r="E203" s="30"/>
      <c r="F203" s="35"/>
      <c r="G203" s="35"/>
      <c r="H203" s="35" t="str">
        <f t="shared" si="3"/>
        <v/>
      </c>
      <c r="I203" s="29"/>
    </row>
    <row r="204" spans="1:9">
      <c r="A204" s="33"/>
      <c r="B204" s="29"/>
      <c r="C204" s="29"/>
      <c r="D204" s="30"/>
      <c r="E204" s="30"/>
      <c r="F204" s="35"/>
      <c r="G204" s="35"/>
      <c r="H204" s="35" t="str">
        <f t="shared" si="3"/>
        <v/>
      </c>
      <c r="I204" s="29"/>
    </row>
    <row r="205" spans="1:9">
      <c r="A205" s="33"/>
      <c r="B205" s="29"/>
      <c r="C205" s="29"/>
      <c r="D205" s="30"/>
      <c r="E205" s="30"/>
      <c r="F205" s="35"/>
      <c r="G205" s="35"/>
      <c r="H205" s="35" t="str">
        <f t="shared" si="3"/>
        <v/>
      </c>
      <c r="I205" s="29"/>
    </row>
    <row r="206" spans="1:9">
      <c r="A206" s="33"/>
      <c r="B206" s="29"/>
      <c r="C206" s="29"/>
      <c r="D206" s="30"/>
      <c r="E206" s="30"/>
      <c r="F206" s="35"/>
      <c r="G206" s="35"/>
      <c r="H206" s="35" t="str">
        <f t="shared" si="3"/>
        <v/>
      </c>
      <c r="I206" s="29"/>
    </row>
    <row r="207" spans="1:9">
      <c r="A207" s="33"/>
      <c r="B207" s="29"/>
      <c r="C207" s="29"/>
      <c r="D207" s="30"/>
      <c r="E207" s="30"/>
      <c r="F207" s="35"/>
      <c r="G207" s="35"/>
      <c r="H207" s="35" t="str">
        <f t="shared" si="3"/>
        <v/>
      </c>
      <c r="I207" s="29"/>
    </row>
    <row r="208" spans="1:9">
      <c r="A208" s="33"/>
      <c r="B208" s="29"/>
      <c r="C208" s="29"/>
      <c r="D208" s="30"/>
      <c r="E208" s="30"/>
      <c r="F208" s="35"/>
      <c r="G208" s="35"/>
      <c r="H208" s="35" t="str">
        <f t="shared" si="3"/>
        <v/>
      </c>
      <c r="I208" s="29"/>
    </row>
    <row r="209" spans="1:9">
      <c r="A209" s="33"/>
      <c r="B209" s="29"/>
      <c r="C209" s="29"/>
      <c r="D209" s="30"/>
      <c r="E209" s="30"/>
      <c r="F209" s="35"/>
      <c r="G209" s="35"/>
      <c r="H209" s="35" t="str">
        <f t="shared" si="3"/>
        <v/>
      </c>
      <c r="I209" s="29"/>
    </row>
    <row r="210" spans="1:9">
      <c r="A210" s="33"/>
      <c r="B210" s="29"/>
      <c r="C210" s="29"/>
      <c r="D210" s="30"/>
      <c r="E210" s="30"/>
      <c r="F210" s="35"/>
      <c r="G210" s="35"/>
      <c r="H210" s="35" t="str">
        <f t="shared" si="3"/>
        <v/>
      </c>
      <c r="I210" s="29"/>
    </row>
    <row r="211" spans="1:9">
      <c r="A211" s="33"/>
      <c r="B211" s="29"/>
      <c r="C211" s="29"/>
      <c r="D211" s="30"/>
      <c r="E211" s="30"/>
      <c r="F211" s="35"/>
      <c r="G211" s="35"/>
      <c r="H211" s="35" t="str">
        <f t="shared" si="3"/>
        <v/>
      </c>
      <c r="I211" s="29"/>
    </row>
    <row r="212" spans="1:9">
      <c r="A212" s="33"/>
      <c r="B212" s="29"/>
      <c r="C212" s="29"/>
      <c r="D212" s="30"/>
      <c r="E212" s="30"/>
      <c r="F212" s="35"/>
      <c r="G212" s="35"/>
      <c r="H212" s="35" t="str">
        <f t="shared" si="3"/>
        <v/>
      </c>
      <c r="I212" s="29"/>
    </row>
    <row r="213" spans="1:9">
      <c r="A213" s="33"/>
      <c r="B213" s="29"/>
      <c r="C213" s="29"/>
      <c r="D213" s="30"/>
      <c r="E213" s="30"/>
      <c r="F213" s="35"/>
      <c r="G213" s="35"/>
      <c r="H213" s="35" t="str">
        <f t="shared" si="3"/>
        <v/>
      </c>
      <c r="I213" s="29"/>
    </row>
    <row r="214" spans="1:9">
      <c r="A214" s="33"/>
      <c r="B214" s="29"/>
      <c r="C214" s="29"/>
      <c r="D214" s="30"/>
      <c r="E214" s="30"/>
      <c r="F214" s="35"/>
      <c r="G214" s="35"/>
      <c r="H214" s="35" t="str">
        <f t="shared" si="3"/>
        <v/>
      </c>
      <c r="I214" s="29"/>
    </row>
    <row r="215" spans="1:9">
      <c r="A215" s="33"/>
      <c r="B215" s="29"/>
      <c r="C215" s="29"/>
      <c r="D215" s="30"/>
      <c r="E215" s="30"/>
      <c r="F215" s="35"/>
      <c r="G215" s="35"/>
      <c r="H215" s="35" t="str">
        <f t="shared" si="3"/>
        <v/>
      </c>
      <c r="I215" s="29"/>
    </row>
    <row r="216" spans="1:9">
      <c r="A216" s="33"/>
      <c r="B216" s="29"/>
      <c r="C216" s="29"/>
      <c r="D216" s="30"/>
      <c r="E216" s="30"/>
      <c r="F216" s="35"/>
      <c r="G216" s="35"/>
      <c r="H216" s="35" t="str">
        <f t="shared" si="3"/>
        <v/>
      </c>
      <c r="I216" s="29"/>
    </row>
    <row r="217" spans="1:9">
      <c r="A217" s="33"/>
      <c r="B217" s="29"/>
      <c r="C217" s="29"/>
      <c r="D217" s="30"/>
      <c r="E217" s="30"/>
      <c r="F217" s="35"/>
      <c r="G217" s="35"/>
      <c r="H217" s="35" t="str">
        <f t="shared" si="3"/>
        <v/>
      </c>
      <c r="I217" s="29"/>
    </row>
    <row r="218" spans="1:9">
      <c r="A218" s="33"/>
      <c r="B218" s="29"/>
      <c r="C218" s="29"/>
      <c r="D218" s="30"/>
      <c r="E218" s="30"/>
      <c r="F218" s="35"/>
      <c r="G218" s="35"/>
      <c r="H218" s="35" t="str">
        <f t="shared" si="3"/>
        <v/>
      </c>
      <c r="I218" s="29"/>
    </row>
    <row r="219" spans="1:9">
      <c r="A219" s="33"/>
      <c r="B219" s="29"/>
      <c r="C219" s="29"/>
      <c r="D219" s="30"/>
      <c r="E219" s="30"/>
      <c r="F219" s="35"/>
      <c r="G219" s="35"/>
      <c r="H219" s="35" t="str">
        <f t="shared" si="3"/>
        <v/>
      </c>
      <c r="I219" s="29"/>
    </row>
    <row r="220" spans="1:9">
      <c r="A220" s="33"/>
      <c r="B220" s="29"/>
      <c r="C220" s="29"/>
      <c r="D220" s="30"/>
      <c r="E220" s="30"/>
      <c r="F220" s="35"/>
      <c r="G220" s="35"/>
      <c r="H220" s="35" t="str">
        <f t="shared" si="3"/>
        <v/>
      </c>
      <c r="I220" s="29"/>
    </row>
    <row r="221" spans="1:9">
      <c r="A221" s="33"/>
      <c r="B221" s="29"/>
      <c r="C221" s="29"/>
      <c r="D221" s="30"/>
      <c r="E221" s="30"/>
      <c r="F221" s="35"/>
      <c r="G221" s="35"/>
      <c r="H221" s="35" t="str">
        <f t="shared" si="3"/>
        <v/>
      </c>
      <c r="I221" s="29"/>
    </row>
    <row r="222" spans="1:9">
      <c r="A222" s="33"/>
      <c r="B222" s="29"/>
      <c r="C222" s="29"/>
      <c r="D222" s="30"/>
      <c r="E222" s="30"/>
      <c r="F222" s="35"/>
      <c r="G222" s="35"/>
      <c r="H222" s="35" t="str">
        <f t="shared" si="3"/>
        <v/>
      </c>
      <c r="I222" s="29"/>
    </row>
    <row r="223" spans="1:9">
      <c r="A223" s="33"/>
      <c r="B223" s="29"/>
      <c r="C223" s="29"/>
      <c r="D223" s="30"/>
      <c r="E223" s="30"/>
      <c r="F223" s="35"/>
      <c r="G223" s="35"/>
      <c r="H223" s="35" t="str">
        <f t="shared" si="3"/>
        <v/>
      </c>
      <c r="I223" s="29"/>
    </row>
    <row r="224" spans="1:9">
      <c r="A224" s="33"/>
      <c r="B224" s="29"/>
      <c r="C224" s="29"/>
      <c r="D224" s="30"/>
      <c r="E224" s="30"/>
      <c r="F224" s="35"/>
      <c r="G224" s="35"/>
      <c r="H224" s="35" t="str">
        <f t="shared" si="3"/>
        <v/>
      </c>
      <c r="I224" s="29"/>
    </row>
    <row r="225" spans="1:9">
      <c r="A225" s="33"/>
      <c r="B225" s="29"/>
      <c r="C225" s="29"/>
      <c r="D225" s="30"/>
      <c r="E225" s="30"/>
      <c r="F225" s="35"/>
      <c r="G225" s="35"/>
      <c r="H225" s="35" t="str">
        <f t="shared" si="3"/>
        <v/>
      </c>
      <c r="I225" s="29"/>
    </row>
    <row r="226" spans="1:9">
      <c r="A226" s="33"/>
      <c r="B226" s="29"/>
      <c r="C226" s="29"/>
      <c r="D226" s="30"/>
      <c r="E226" s="30"/>
      <c r="F226" s="35"/>
      <c r="G226" s="35"/>
      <c r="H226" s="35" t="str">
        <f t="shared" si="3"/>
        <v/>
      </c>
      <c r="I226" s="29"/>
    </row>
    <row r="227" spans="1:9">
      <c r="A227" s="33"/>
      <c r="B227" s="29"/>
      <c r="C227" s="29"/>
      <c r="D227" s="30"/>
      <c r="E227" s="30"/>
      <c r="F227" s="35"/>
      <c r="G227" s="35"/>
      <c r="H227" s="35" t="str">
        <f t="shared" si="3"/>
        <v/>
      </c>
      <c r="I227" s="29"/>
    </row>
    <row r="228" spans="1:9">
      <c r="A228" s="33"/>
      <c r="B228" s="29"/>
      <c r="C228" s="29"/>
      <c r="D228" s="30"/>
      <c r="E228" s="30"/>
      <c r="F228" s="35"/>
      <c r="G228" s="35"/>
      <c r="H228" s="35" t="str">
        <f t="shared" si="3"/>
        <v/>
      </c>
      <c r="I228" s="29"/>
    </row>
    <row r="229" spans="1:9">
      <c r="A229" s="33"/>
      <c r="B229" s="29"/>
      <c r="C229" s="29"/>
      <c r="D229" s="30"/>
      <c r="E229" s="30"/>
      <c r="F229" s="35"/>
      <c r="G229" s="35"/>
      <c r="H229" s="35" t="str">
        <f t="shared" si="3"/>
        <v/>
      </c>
      <c r="I229" s="29"/>
    </row>
    <row r="230" spans="1:9">
      <c r="A230" s="33"/>
      <c r="B230" s="29"/>
      <c r="C230" s="29"/>
      <c r="D230" s="30"/>
      <c r="E230" s="30"/>
      <c r="F230" s="35"/>
      <c r="G230" s="35"/>
      <c r="H230" s="35" t="str">
        <f t="shared" si="3"/>
        <v/>
      </c>
      <c r="I230" s="29"/>
    </row>
    <row r="231" spans="1:9">
      <c r="A231" s="33"/>
      <c r="B231" s="29"/>
      <c r="C231" s="29"/>
      <c r="D231" s="30"/>
      <c r="E231" s="30"/>
      <c r="F231" s="35"/>
      <c r="G231" s="35"/>
      <c r="H231" s="35" t="str">
        <f t="shared" si="3"/>
        <v/>
      </c>
      <c r="I231" s="29"/>
    </row>
    <row r="232" spans="1:9">
      <c r="A232" s="33"/>
      <c r="B232" s="29"/>
      <c r="C232" s="29"/>
      <c r="D232" s="30"/>
      <c r="E232" s="30"/>
      <c r="F232" s="35"/>
      <c r="G232" s="35"/>
      <c r="H232" s="35" t="str">
        <f t="shared" si="3"/>
        <v/>
      </c>
      <c r="I232" s="29"/>
    </row>
    <row r="233" spans="1:9">
      <c r="A233" s="33"/>
      <c r="B233" s="29"/>
      <c r="C233" s="29"/>
      <c r="D233" s="30"/>
      <c r="E233" s="30"/>
      <c r="F233" s="35"/>
      <c r="G233" s="35"/>
      <c r="H233" s="35" t="str">
        <f t="shared" si="3"/>
        <v/>
      </c>
      <c r="I233" s="29"/>
    </row>
    <row r="234" spans="1:9">
      <c r="A234" s="33"/>
      <c r="B234" s="29"/>
      <c r="C234" s="29"/>
      <c r="D234" s="30"/>
      <c r="E234" s="30"/>
      <c r="F234" s="35"/>
      <c r="G234" s="35"/>
      <c r="H234" s="35" t="str">
        <f t="shared" si="3"/>
        <v/>
      </c>
      <c r="I234" s="29"/>
    </row>
    <row r="235" spans="1:9">
      <c r="A235" s="33"/>
      <c r="B235" s="29"/>
      <c r="C235" s="29"/>
      <c r="D235" s="30"/>
      <c r="E235" s="30"/>
      <c r="F235" s="35"/>
      <c r="G235" s="35"/>
      <c r="H235" s="35" t="str">
        <f t="shared" si="3"/>
        <v/>
      </c>
      <c r="I235" s="29"/>
    </row>
    <row r="236" spans="1:9">
      <c r="A236" s="33"/>
      <c r="B236" s="29"/>
      <c r="C236" s="29"/>
      <c r="D236" s="30"/>
      <c r="E236" s="30"/>
      <c r="F236" s="35"/>
      <c r="G236" s="35"/>
      <c r="H236" s="35" t="str">
        <f t="shared" si="3"/>
        <v/>
      </c>
      <c r="I236" s="29"/>
    </row>
    <row r="237" spans="1:9">
      <c r="A237" s="33"/>
      <c r="B237" s="29"/>
      <c r="C237" s="29"/>
      <c r="D237" s="30"/>
      <c r="E237" s="30"/>
      <c r="F237" s="35"/>
      <c r="G237" s="35"/>
      <c r="H237" s="35" t="str">
        <f t="shared" si="3"/>
        <v/>
      </c>
      <c r="I237" s="29"/>
    </row>
    <row r="238" spans="1:9">
      <c r="A238" s="33"/>
      <c r="B238" s="29"/>
      <c r="C238" s="29"/>
      <c r="D238" s="30"/>
      <c r="E238" s="30"/>
      <c r="F238" s="35"/>
      <c r="G238" s="35"/>
      <c r="H238" s="35" t="str">
        <f t="shared" si="3"/>
        <v/>
      </c>
      <c r="I238" s="29"/>
    </row>
    <row r="239" spans="1:9">
      <c r="A239" s="33"/>
      <c r="B239" s="29"/>
      <c r="C239" s="29"/>
      <c r="D239" s="30"/>
      <c r="E239" s="30"/>
      <c r="F239" s="35"/>
      <c r="G239" s="35"/>
      <c r="H239" s="35" t="str">
        <f t="shared" si="3"/>
        <v/>
      </c>
      <c r="I239" s="29"/>
    </row>
    <row r="240" spans="1:9">
      <c r="A240" s="33"/>
      <c r="B240" s="29"/>
      <c r="C240" s="29"/>
      <c r="D240" s="30"/>
      <c r="E240" s="30"/>
      <c r="F240" s="35"/>
      <c r="G240" s="35"/>
      <c r="H240" s="35" t="str">
        <f t="shared" si="3"/>
        <v/>
      </c>
      <c r="I240" s="29"/>
    </row>
    <row r="241" spans="1:9">
      <c r="A241" s="33"/>
      <c r="B241" s="29"/>
      <c r="C241" s="29"/>
      <c r="D241" s="30"/>
      <c r="E241" s="30"/>
      <c r="F241" s="35"/>
      <c r="G241" s="35"/>
      <c r="H241" s="35" t="str">
        <f t="shared" si="3"/>
        <v/>
      </c>
      <c r="I241" s="29"/>
    </row>
    <row r="242" spans="1:9">
      <c r="A242" s="33"/>
      <c r="B242" s="29"/>
      <c r="C242" s="29"/>
      <c r="D242" s="30"/>
      <c r="E242" s="30"/>
      <c r="F242" s="35"/>
      <c r="G242" s="35"/>
      <c r="H242" s="35" t="str">
        <f t="shared" si="3"/>
        <v/>
      </c>
      <c r="I242" s="29"/>
    </row>
    <row r="243" spans="1:9">
      <c r="A243" s="33"/>
      <c r="B243" s="29"/>
      <c r="C243" s="29"/>
      <c r="D243" s="30"/>
      <c r="E243" s="30"/>
      <c r="F243" s="35"/>
      <c r="G243" s="35"/>
      <c r="H243" s="35" t="str">
        <f t="shared" si="3"/>
        <v/>
      </c>
      <c r="I243" s="29"/>
    </row>
    <row r="244" spans="1:9">
      <c r="A244" s="33"/>
      <c r="B244" s="29"/>
      <c r="C244" s="29"/>
      <c r="D244" s="30"/>
      <c r="E244" s="30"/>
      <c r="F244" s="35"/>
      <c r="G244" s="35"/>
      <c r="H244" s="35" t="str">
        <f t="shared" si="3"/>
        <v/>
      </c>
      <c r="I244" s="29"/>
    </row>
    <row r="245" spans="1:9">
      <c r="A245" s="33"/>
      <c r="B245" s="29"/>
      <c r="C245" s="29"/>
      <c r="D245" s="30"/>
      <c r="E245" s="30"/>
      <c r="F245" s="35"/>
      <c r="G245" s="35"/>
      <c r="H245" s="35" t="str">
        <f t="shared" si="3"/>
        <v/>
      </c>
      <c r="I245" s="29"/>
    </row>
    <row r="246" spans="1:9">
      <c r="A246" s="33"/>
      <c r="B246" s="29"/>
      <c r="C246" s="29"/>
      <c r="D246" s="30"/>
      <c r="E246" s="30"/>
      <c r="F246" s="35"/>
      <c r="G246" s="35"/>
      <c r="H246" s="35" t="str">
        <f t="shared" si="3"/>
        <v/>
      </c>
      <c r="I246" s="29"/>
    </row>
    <row r="247" spans="1:9">
      <c r="A247" s="33"/>
      <c r="B247" s="29"/>
      <c r="C247" s="29"/>
      <c r="D247" s="30"/>
      <c r="E247" s="30"/>
      <c r="F247" s="35"/>
      <c r="G247" s="35"/>
      <c r="H247" s="35" t="str">
        <f t="shared" si="3"/>
        <v/>
      </c>
      <c r="I247" s="29"/>
    </row>
    <row r="248" spans="1:9">
      <c r="A248" s="33"/>
      <c r="B248" s="29"/>
      <c r="C248" s="29"/>
      <c r="D248" s="30"/>
      <c r="E248" s="30"/>
      <c r="F248" s="35"/>
      <c r="G248" s="35"/>
      <c r="H248" s="35" t="str">
        <f t="shared" si="3"/>
        <v/>
      </c>
      <c r="I248" s="29"/>
    </row>
    <row r="249" spans="1:9">
      <c r="A249" s="33"/>
      <c r="B249" s="29"/>
      <c r="C249" s="29"/>
      <c r="D249" s="30"/>
      <c r="E249" s="30"/>
      <c r="F249" s="35"/>
      <c r="G249" s="35"/>
      <c r="H249" s="35" t="str">
        <f t="shared" si="3"/>
        <v/>
      </c>
      <c r="I249" s="29"/>
    </row>
    <row r="250" spans="1:9">
      <c r="A250" s="33"/>
      <c r="B250" s="29"/>
      <c r="C250" s="29"/>
      <c r="D250" s="30"/>
      <c r="E250" s="30"/>
      <c r="F250" s="35"/>
      <c r="G250" s="35"/>
      <c r="H250" s="35" t="str">
        <f t="shared" si="3"/>
        <v/>
      </c>
      <c r="I250" s="29"/>
    </row>
    <row r="251" spans="1:9">
      <c r="A251" s="33"/>
      <c r="B251" s="29"/>
      <c r="C251" s="29"/>
      <c r="D251" s="30"/>
      <c r="E251" s="30"/>
      <c r="F251" s="35"/>
      <c r="G251" s="35"/>
      <c r="H251" s="35" t="str">
        <f t="shared" si="3"/>
        <v/>
      </c>
      <c r="I251" s="29"/>
    </row>
    <row r="252" spans="1:9">
      <c r="A252" s="33"/>
      <c r="B252" s="29"/>
      <c r="C252" s="29"/>
      <c r="D252" s="30"/>
      <c r="E252" s="30"/>
      <c r="F252" s="35"/>
      <c r="G252" s="35"/>
      <c r="H252" s="35" t="str">
        <f t="shared" si="3"/>
        <v/>
      </c>
      <c r="I252" s="29"/>
    </row>
    <row r="253" spans="1:9">
      <c r="A253" s="33"/>
      <c r="B253" s="29"/>
      <c r="C253" s="29"/>
      <c r="D253" s="30"/>
      <c r="E253" s="30"/>
      <c r="F253" s="35"/>
      <c r="G253" s="35"/>
      <c r="H253" s="35" t="str">
        <f t="shared" si="3"/>
        <v/>
      </c>
      <c r="I253" s="29"/>
    </row>
    <row r="254" spans="1:9">
      <c r="A254" s="33"/>
      <c r="B254" s="29"/>
      <c r="C254" s="29"/>
      <c r="D254" s="30"/>
      <c r="E254" s="30"/>
      <c r="F254" s="35"/>
      <c r="G254" s="35"/>
      <c r="H254" s="35" t="str">
        <f t="shared" si="3"/>
        <v/>
      </c>
      <c r="I254" s="29"/>
    </row>
    <row r="255" spans="1:9">
      <c r="A255" s="33"/>
      <c r="B255" s="29"/>
      <c r="C255" s="29"/>
      <c r="D255" s="30"/>
      <c r="E255" s="30"/>
      <c r="F255" s="35"/>
      <c r="G255" s="35"/>
      <c r="H255" s="35" t="str">
        <f t="shared" si="3"/>
        <v/>
      </c>
      <c r="I255" s="29"/>
    </row>
    <row r="256" spans="1:9">
      <c r="A256" s="33"/>
      <c r="B256" s="29"/>
      <c r="C256" s="29"/>
      <c r="D256" s="30"/>
      <c r="E256" s="30"/>
      <c r="F256" s="35"/>
      <c r="G256" s="35"/>
      <c r="H256" s="35" t="str">
        <f t="shared" si="3"/>
        <v/>
      </c>
      <c r="I256" s="29"/>
    </row>
    <row r="257" spans="1:9">
      <c r="A257" s="33"/>
      <c r="B257" s="29"/>
      <c r="C257" s="29"/>
      <c r="D257" s="30"/>
      <c r="E257" s="30"/>
      <c r="F257" s="35"/>
      <c r="G257" s="35"/>
      <c r="H257" s="35" t="str">
        <f t="shared" si="3"/>
        <v/>
      </c>
      <c r="I257" s="29"/>
    </row>
    <row r="258" spans="1:9">
      <c r="A258" s="33"/>
      <c r="B258" s="29"/>
      <c r="C258" s="29"/>
      <c r="D258" s="30"/>
      <c r="E258" s="30"/>
      <c r="F258" s="35"/>
      <c r="G258" s="35"/>
      <c r="H258" s="35" t="str">
        <f t="shared" si="3"/>
        <v/>
      </c>
      <c r="I258" s="29"/>
    </row>
    <row r="259" spans="1:9">
      <c r="A259" s="33"/>
      <c r="B259" s="29"/>
      <c r="C259" s="29"/>
      <c r="D259" s="30"/>
      <c r="E259" s="30"/>
      <c r="F259" s="35"/>
      <c r="G259" s="35"/>
      <c r="H259" s="35" t="str">
        <f t="shared" si="3"/>
        <v/>
      </c>
      <c r="I259" s="29"/>
    </row>
    <row r="260" spans="1:9">
      <c r="A260" s="33"/>
      <c r="B260" s="29"/>
      <c r="C260" s="29"/>
      <c r="D260" s="30"/>
      <c r="E260" s="30"/>
      <c r="F260" s="35"/>
      <c r="G260" s="35"/>
      <c r="H260" s="35" t="str">
        <f t="shared" ref="H260:H323" si="4">IF(F260="","",F260-G260)</f>
        <v/>
      </c>
      <c r="I260" s="29"/>
    </row>
    <row r="261" spans="1:9">
      <c r="A261" s="33"/>
      <c r="B261" s="29"/>
      <c r="C261" s="29"/>
      <c r="D261" s="30"/>
      <c r="E261" s="30"/>
      <c r="F261" s="35"/>
      <c r="G261" s="35"/>
      <c r="H261" s="35" t="str">
        <f t="shared" si="4"/>
        <v/>
      </c>
      <c r="I261" s="29"/>
    </row>
    <row r="262" spans="1:9">
      <c r="A262" s="33"/>
      <c r="B262" s="29"/>
      <c r="C262" s="29"/>
      <c r="D262" s="30"/>
      <c r="E262" s="30"/>
      <c r="F262" s="35"/>
      <c r="G262" s="35"/>
      <c r="H262" s="35" t="str">
        <f t="shared" si="4"/>
        <v/>
      </c>
      <c r="I262" s="29"/>
    </row>
    <row r="263" spans="1:9">
      <c r="A263" s="33"/>
      <c r="B263" s="29"/>
      <c r="C263" s="29"/>
      <c r="D263" s="30"/>
      <c r="E263" s="30"/>
      <c r="F263" s="35"/>
      <c r="G263" s="35"/>
      <c r="H263" s="35" t="str">
        <f t="shared" si="4"/>
        <v/>
      </c>
      <c r="I263" s="29"/>
    </row>
    <row r="264" spans="1:9">
      <c r="A264" s="33"/>
      <c r="B264" s="29"/>
      <c r="C264" s="29"/>
      <c r="D264" s="30"/>
      <c r="E264" s="30"/>
      <c r="F264" s="35"/>
      <c r="G264" s="35"/>
      <c r="H264" s="35" t="str">
        <f t="shared" si="4"/>
        <v/>
      </c>
      <c r="I264" s="29"/>
    </row>
    <row r="265" spans="1:9">
      <c r="A265" s="33"/>
      <c r="B265" s="29"/>
      <c r="C265" s="29"/>
      <c r="D265" s="30"/>
      <c r="E265" s="30"/>
      <c r="F265" s="35"/>
      <c r="G265" s="35"/>
      <c r="H265" s="35" t="str">
        <f t="shared" si="4"/>
        <v/>
      </c>
      <c r="I265" s="29"/>
    </row>
    <row r="266" spans="1:9">
      <c r="A266" s="33"/>
      <c r="B266" s="29"/>
      <c r="C266" s="29"/>
      <c r="D266" s="30"/>
      <c r="E266" s="30"/>
      <c r="F266" s="35"/>
      <c r="G266" s="35"/>
      <c r="H266" s="35" t="str">
        <f t="shared" si="4"/>
        <v/>
      </c>
      <c r="I266" s="29"/>
    </row>
    <row r="267" spans="1:9">
      <c r="A267" s="33"/>
      <c r="B267" s="29"/>
      <c r="C267" s="29"/>
      <c r="D267" s="30"/>
      <c r="E267" s="30"/>
      <c r="F267" s="35"/>
      <c r="G267" s="35"/>
      <c r="H267" s="35" t="str">
        <f t="shared" si="4"/>
        <v/>
      </c>
      <c r="I267" s="29"/>
    </row>
    <row r="268" spans="1:9">
      <c r="A268" s="33"/>
      <c r="B268" s="29"/>
      <c r="C268" s="29"/>
      <c r="D268" s="30"/>
      <c r="E268" s="30"/>
      <c r="F268" s="35"/>
      <c r="G268" s="35"/>
      <c r="H268" s="35" t="str">
        <f t="shared" si="4"/>
        <v/>
      </c>
      <c r="I268" s="29"/>
    </row>
    <row r="269" spans="1:9">
      <c r="A269" s="33"/>
      <c r="B269" s="29"/>
      <c r="C269" s="29"/>
      <c r="D269" s="30"/>
      <c r="E269" s="30"/>
      <c r="F269" s="35"/>
      <c r="G269" s="35"/>
      <c r="H269" s="35" t="str">
        <f t="shared" si="4"/>
        <v/>
      </c>
      <c r="I269" s="29"/>
    </row>
    <row r="270" spans="1:9">
      <c r="A270" s="33"/>
      <c r="B270" s="29"/>
      <c r="C270" s="29"/>
      <c r="D270" s="30"/>
      <c r="E270" s="30"/>
      <c r="F270" s="35"/>
      <c r="G270" s="35"/>
      <c r="H270" s="35" t="str">
        <f t="shared" si="4"/>
        <v/>
      </c>
      <c r="I270" s="29"/>
    </row>
    <row r="271" spans="1:9">
      <c r="A271" s="33"/>
      <c r="B271" s="29"/>
      <c r="C271" s="29"/>
      <c r="D271" s="30"/>
      <c r="E271" s="30"/>
      <c r="F271" s="35"/>
      <c r="G271" s="35"/>
      <c r="H271" s="35" t="str">
        <f t="shared" si="4"/>
        <v/>
      </c>
      <c r="I271" s="29"/>
    </row>
    <row r="272" spans="1:9">
      <c r="A272" s="33"/>
      <c r="B272" s="29"/>
      <c r="C272" s="29"/>
      <c r="D272" s="30"/>
      <c r="E272" s="30"/>
      <c r="F272" s="35"/>
      <c r="G272" s="35"/>
      <c r="H272" s="35" t="str">
        <f t="shared" si="4"/>
        <v/>
      </c>
      <c r="I272" s="29"/>
    </row>
    <row r="273" spans="1:9">
      <c r="A273" s="33"/>
      <c r="B273" s="29"/>
      <c r="C273" s="29"/>
      <c r="D273" s="30"/>
      <c r="E273" s="30"/>
      <c r="F273" s="35"/>
      <c r="G273" s="35"/>
      <c r="H273" s="35" t="str">
        <f t="shared" si="4"/>
        <v/>
      </c>
      <c r="I273" s="29"/>
    </row>
    <row r="274" spans="1:9">
      <c r="A274" s="33"/>
      <c r="B274" s="29"/>
      <c r="C274" s="29"/>
      <c r="D274" s="30"/>
      <c r="E274" s="30"/>
      <c r="F274" s="35"/>
      <c r="G274" s="35"/>
      <c r="H274" s="35" t="str">
        <f t="shared" si="4"/>
        <v/>
      </c>
      <c r="I274" s="29"/>
    </row>
    <row r="275" spans="1:9">
      <c r="A275" s="33"/>
      <c r="B275" s="29"/>
      <c r="C275" s="29"/>
      <c r="D275" s="30"/>
      <c r="E275" s="30"/>
      <c r="F275" s="35"/>
      <c r="G275" s="35"/>
      <c r="H275" s="35" t="str">
        <f t="shared" si="4"/>
        <v/>
      </c>
      <c r="I275" s="29"/>
    </row>
    <row r="276" spans="1:9">
      <c r="A276" s="33"/>
      <c r="B276" s="29"/>
      <c r="C276" s="29"/>
      <c r="D276" s="30"/>
      <c r="E276" s="30"/>
      <c r="F276" s="35"/>
      <c r="G276" s="35"/>
      <c r="H276" s="35" t="str">
        <f t="shared" si="4"/>
        <v/>
      </c>
      <c r="I276" s="29"/>
    </row>
    <row r="277" spans="1:9">
      <c r="A277" s="33"/>
      <c r="B277" s="29"/>
      <c r="C277" s="29"/>
      <c r="D277" s="30"/>
      <c r="E277" s="30"/>
      <c r="F277" s="35"/>
      <c r="G277" s="35"/>
      <c r="H277" s="35" t="str">
        <f t="shared" si="4"/>
        <v/>
      </c>
      <c r="I277" s="29"/>
    </row>
    <row r="278" spans="1:9">
      <c r="A278" s="33"/>
      <c r="B278" s="29"/>
      <c r="C278" s="29"/>
      <c r="D278" s="30"/>
      <c r="E278" s="30"/>
      <c r="F278" s="35"/>
      <c r="G278" s="35"/>
      <c r="H278" s="35" t="str">
        <f t="shared" si="4"/>
        <v/>
      </c>
      <c r="I278" s="29"/>
    </row>
    <row r="279" spans="1:9">
      <c r="A279" s="33"/>
      <c r="B279" s="29"/>
      <c r="C279" s="29"/>
      <c r="D279" s="30"/>
      <c r="E279" s="30"/>
      <c r="F279" s="35"/>
      <c r="G279" s="35"/>
      <c r="H279" s="35" t="str">
        <f t="shared" si="4"/>
        <v/>
      </c>
      <c r="I279" s="29"/>
    </row>
    <row r="280" spans="1:9">
      <c r="A280" s="33"/>
      <c r="B280" s="29"/>
      <c r="C280" s="29"/>
      <c r="D280" s="30"/>
      <c r="E280" s="30"/>
      <c r="F280" s="35"/>
      <c r="G280" s="35"/>
      <c r="H280" s="35" t="str">
        <f t="shared" si="4"/>
        <v/>
      </c>
      <c r="I280" s="29"/>
    </row>
    <row r="281" spans="1:9">
      <c r="A281" s="33"/>
      <c r="B281" s="29"/>
      <c r="C281" s="29"/>
      <c r="D281" s="30"/>
      <c r="E281" s="30"/>
      <c r="F281" s="35"/>
      <c r="G281" s="35"/>
      <c r="H281" s="35" t="str">
        <f t="shared" si="4"/>
        <v/>
      </c>
      <c r="I281" s="29"/>
    </row>
    <row r="282" spans="1:9">
      <c r="A282" s="33"/>
      <c r="B282" s="29"/>
      <c r="C282" s="29"/>
      <c r="D282" s="30"/>
      <c r="E282" s="30"/>
      <c r="F282" s="35"/>
      <c r="G282" s="35"/>
      <c r="H282" s="35" t="str">
        <f t="shared" si="4"/>
        <v/>
      </c>
      <c r="I282" s="29"/>
    </row>
    <row r="283" spans="1:9">
      <c r="A283" s="33"/>
      <c r="B283" s="29"/>
      <c r="C283" s="29"/>
      <c r="D283" s="30"/>
      <c r="E283" s="30"/>
      <c r="F283" s="35"/>
      <c r="G283" s="35"/>
      <c r="H283" s="35" t="str">
        <f t="shared" si="4"/>
        <v/>
      </c>
      <c r="I283" s="29"/>
    </row>
    <row r="284" spans="1:9">
      <c r="A284" s="33"/>
      <c r="B284" s="29"/>
      <c r="C284" s="29"/>
      <c r="D284" s="30"/>
      <c r="E284" s="30"/>
      <c r="F284" s="35"/>
      <c r="G284" s="35"/>
      <c r="H284" s="35" t="str">
        <f t="shared" si="4"/>
        <v/>
      </c>
      <c r="I284" s="29"/>
    </row>
    <row r="285" spans="1:9">
      <c r="A285" s="33"/>
      <c r="B285" s="29"/>
      <c r="C285" s="29"/>
      <c r="D285" s="30"/>
      <c r="E285" s="30"/>
      <c r="F285" s="35"/>
      <c r="G285" s="35"/>
      <c r="H285" s="35" t="str">
        <f t="shared" si="4"/>
        <v/>
      </c>
      <c r="I285" s="29"/>
    </row>
    <row r="286" spans="1:9">
      <c r="A286" s="33"/>
      <c r="B286" s="29"/>
      <c r="C286" s="29"/>
      <c r="D286" s="30"/>
      <c r="E286" s="30"/>
      <c r="F286" s="35"/>
      <c r="G286" s="35"/>
      <c r="H286" s="35" t="str">
        <f t="shared" si="4"/>
        <v/>
      </c>
      <c r="I286" s="29"/>
    </row>
    <row r="287" spans="1:9">
      <c r="A287" s="33"/>
      <c r="B287" s="29"/>
      <c r="C287" s="29"/>
      <c r="D287" s="30"/>
      <c r="E287" s="30"/>
      <c r="F287" s="35"/>
      <c r="G287" s="35"/>
      <c r="H287" s="35" t="str">
        <f t="shared" si="4"/>
        <v/>
      </c>
      <c r="I287" s="29"/>
    </row>
    <row r="288" spans="1:9">
      <c r="A288" s="33"/>
      <c r="B288" s="29"/>
      <c r="C288" s="29"/>
      <c r="D288" s="30"/>
      <c r="E288" s="30"/>
      <c r="F288" s="35"/>
      <c r="G288" s="35"/>
      <c r="H288" s="35" t="str">
        <f t="shared" si="4"/>
        <v/>
      </c>
      <c r="I288" s="29"/>
    </row>
    <row r="289" spans="1:9">
      <c r="A289" s="33"/>
      <c r="B289" s="29"/>
      <c r="C289" s="29"/>
      <c r="D289" s="30"/>
      <c r="E289" s="30"/>
      <c r="F289" s="35"/>
      <c r="G289" s="35"/>
      <c r="H289" s="35" t="str">
        <f t="shared" si="4"/>
        <v/>
      </c>
      <c r="I289" s="29"/>
    </row>
    <row r="290" spans="1:9">
      <c r="A290" s="33"/>
      <c r="B290" s="29"/>
      <c r="C290" s="29"/>
      <c r="D290" s="30"/>
      <c r="E290" s="30"/>
      <c r="F290" s="35"/>
      <c r="G290" s="35"/>
      <c r="H290" s="35" t="str">
        <f t="shared" si="4"/>
        <v/>
      </c>
      <c r="I290" s="29"/>
    </row>
    <row r="291" spans="1:9">
      <c r="A291" s="33"/>
      <c r="B291" s="29"/>
      <c r="C291" s="29"/>
      <c r="D291" s="30"/>
      <c r="E291" s="30"/>
      <c r="F291" s="35"/>
      <c r="G291" s="35"/>
      <c r="H291" s="35" t="str">
        <f t="shared" si="4"/>
        <v/>
      </c>
      <c r="I291" s="29"/>
    </row>
    <row r="292" spans="1:9">
      <c r="A292" s="33"/>
      <c r="B292" s="29"/>
      <c r="C292" s="29"/>
      <c r="D292" s="30"/>
      <c r="E292" s="30"/>
      <c r="F292" s="35"/>
      <c r="G292" s="35"/>
      <c r="H292" s="35" t="str">
        <f t="shared" si="4"/>
        <v/>
      </c>
      <c r="I292" s="29"/>
    </row>
    <row r="293" spans="1:9">
      <c r="A293" s="33"/>
      <c r="B293" s="29"/>
      <c r="C293" s="29"/>
      <c r="D293" s="30"/>
      <c r="E293" s="30"/>
      <c r="F293" s="35"/>
      <c r="G293" s="35"/>
      <c r="H293" s="35" t="str">
        <f t="shared" si="4"/>
        <v/>
      </c>
      <c r="I293" s="29"/>
    </row>
    <row r="294" spans="1:9">
      <c r="A294" s="33"/>
      <c r="B294" s="29"/>
      <c r="C294" s="29"/>
      <c r="D294" s="30"/>
      <c r="E294" s="30"/>
      <c r="F294" s="35"/>
      <c r="G294" s="35"/>
      <c r="H294" s="35" t="str">
        <f t="shared" si="4"/>
        <v/>
      </c>
      <c r="I294" s="29"/>
    </row>
    <row r="295" spans="1:9">
      <c r="A295" s="33"/>
      <c r="B295" s="29"/>
      <c r="C295" s="29"/>
      <c r="D295" s="30"/>
      <c r="E295" s="30"/>
      <c r="F295" s="35"/>
      <c r="G295" s="35"/>
      <c r="H295" s="35" t="str">
        <f t="shared" si="4"/>
        <v/>
      </c>
      <c r="I295" s="29"/>
    </row>
    <row r="296" spans="1:9">
      <c r="A296" s="33"/>
      <c r="B296" s="29"/>
      <c r="C296" s="29"/>
      <c r="D296" s="30"/>
      <c r="E296" s="30"/>
      <c r="F296" s="35"/>
      <c r="G296" s="35"/>
      <c r="H296" s="35" t="str">
        <f t="shared" si="4"/>
        <v/>
      </c>
      <c r="I296" s="29"/>
    </row>
    <row r="297" spans="1:9">
      <c r="A297" s="33"/>
      <c r="B297" s="29"/>
      <c r="C297" s="29"/>
      <c r="D297" s="30"/>
      <c r="E297" s="30"/>
      <c r="F297" s="35"/>
      <c r="G297" s="35"/>
      <c r="H297" s="35" t="str">
        <f t="shared" si="4"/>
        <v/>
      </c>
      <c r="I297" s="29"/>
    </row>
    <row r="298" spans="1:9">
      <c r="A298" s="33"/>
      <c r="B298" s="29"/>
      <c r="C298" s="29"/>
      <c r="D298" s="30"/>
      <c r="E298" s="30"/>
      <c r="F298" s="35"/>
      <c r="G298" s="35"/>
      <c r="H298" s="35" t="str">
        <f t="shared" si="4"/>
        <v/>
      </c>
      <c r="I298" s="29"/>
    </row>
    <row r="299" spans="1:9">
      <c r="A299" s="33"/>
      <c r="B299" s="29"/>
      <c r="C299" s="29"/>
      <c r="D299" s="30"/>
      <c r="E299" s="30"/>
      <c r="F299" s="35"/>
      <c r="G299" s="35"/>
      <c r="H299" s="35" t="str">
        <f t="shared" si="4"/>
        <v/>
      </c>
      <c r="I299" s="29"/>
    </row>
    <row r="300" spans="1:9">
      <c r="A300" s="33"/>
      <c r="B300" s="29"/>
      <c r="C300" s="29"/>
      <c r="D300" s="30"/>
      <c r="E300" s="30"/>
      <c r="F300" s="35"/>
      <c r="G300" s="35"/>
      <c r="H300" s="35" t="str">
        <f t="shared" si="4"/>
        <v/>
      </c>
      <c r="I300" s="29"/>
    </row>
    <row r="301" spans="1:9">
      <c r="A301" s="33"/>
      <c r="B301" s="29"/>
      <c r="C301" s="29"/>
      <c r="D301" s="30"/>
      <c r="E301" s="30"/>
      <c r="F301" s="35"/>
      <c r="G301" s="35"/>
      <c r="H301" s="35" t="str">
        <f t="shared" si="4"/>
        <v/>
      </c>
      <c r="I301" s="29"/>
    </row>
    <row r="302" spans="1:9">
      <c r="A302" s="33"/>
      <c r="B302" s="29"/>
      <c r="C302" s="29"/>
      <c r="D302" s="30"/>
      <c r="E302" s="30"/>
      <c r="F302" s="35"/>
      <c r="G302" s="35"/>
      <c r="H302" s="35" t="str">
        <f t="shared" si="4"/>
        <v/>
      </c>
      <c r="I302" s="29"/>
    </row>
    <row r="303" spans="1:9">
      <c r="A303" s="33"/>
      <c r="B303" s="29"/>
      <c r="C303" s="29"/>
      <c r="D303" s="30"/>
      <c r="E303" s="30"/>
      <c r="F303" s="35"/>
      <c r="G303" s="35"/>
      <c r="H303" s="35" t="str">
        <f t="shared" si="4"/>
        <v/>
      </c>
      <c r="I303" s="29"/>
    </row>
    <row r="304" spans="1:9">
      <c r="A304" s="33"/>
      <c r="B304" s="29"/>
      <c r="C304" s="29"/>
      <c r="D304" s="30"/>
      <c r="E304" s="30"/>
      <c r="F304" s="35"/>
      <c r="G304" s="35"/>
      <c r="H304" s="35" t="str">
        <f t="shared" si="4"/>
        <v/>
      </c>
      <c r="I304" s="29"/>
    </row>
    <row r="305" spans="1:9">
      <c r="A305" s="33"/>
      <c r="B305" s="29"/>
      <c r="C305" s="29"/>
      <c r="D305" s="30"/>
      <c r="E305" s="30"/>
      <c r="F305" s="35"/>
      <c r="G305" s="35"/>
      <c r="H305" s="35" t="str">
        <f t="shared" si="4"/>
        <v/>
      </c>
      <c r="I305" s="29"/>
    </row>
    <row r="306" spans="1:9">
      <c r="A306" s="33"/>
      <c r="B306" s="29"/>
      <c r="C306" s="29"/>
      <c r="D306" s="30"/>
      <c r="E306" s="30"/>
      <c r="F306" s="35"/>
      <c r="G306" s="35"/>
      <c r="H306" s="35" t="str">
        <f t="shared" si="4"/>
        <v/>
      </c>
      <c r="I306" s="29"/>
    </row>
    <row r="307" spans="1:9">
      <c r="A307" s="33"/>
      <c r="B307" s="29"/>
      <c r="C307" s="29"/>
      <c r="D307" s="30"/>
      <c r="E307" s="30"/>
      <c r="F307" s="35"/>
      <c r="G307" s="35"/>
      <c r="H307" s="35" t="str">
        <f t="shared" si="4"/>
        <v/>
      </c>
      <c r="I307" s="29"/>
    </row>
    <row r="308" spans="1:9">
      <c r="A308" s="33"/>
      <c r="B308" s="29"/>
      <c r="C308" s="29"/>
      <c r="D308" s="30"/>
      <c r="E308" s="30"/>
      <c r="F308" s="35"/>
      <c r="G308" s="35"/>
      <c r="H308" s="35" t="str">
        <f t="shared" si="4"/>
        <v/>
      </c>
      <c r="I308" s="29"/>
    </row>
    <row r="309" spans="1:9">
      <c r="A309" s="33"/>
      <c r="B309" s="29"/>
      <c r="C309" s="29"/>
      <c r="D309" s="30"/>
      <c r="E309" s="30"/>
      <c r="F309" s="35"/>
      <c r="G309" s="35"/>
      <c r="H309" s="35" t="str">
        <f t="shared" si="4"/>
        <v/>
      </c>
      <c r="I309" s="29"/>
    </row>
    <row r="310" spans="1:9">
      <c r="A310" s="33"/>
      <c r="B310" s="29"/>
      <c r="C310" s="29"/>
      <c r="D310" s="30"/>
      <c r="E310" s="30"/>
      <c r="F310" s="35"/>
      <c r="G310" s="35"/>
      <c r="H310" s="35" t="str">
        <f t="shared" si="4"/>
        <v/>
      </c>
      <c r="I310" s="29"/>
    </row>
    <row r="311" spans="1:9">
      <c r="A311" s="33"/>
      <c r="B311" s="29"/>
      <c r="C311" s="29"/>
      <c r="D311" s="30"/>
      <c r="E311" s="30"/>
      <c r="F311" s="35"/>
      <c r="G311" s="35"/>
      <c r="H311" s="35" t="str">
        <f t="shared" si="4"/>
        <v/>
      </c>
      <c r="I311" s="29"/>
    </row>
    <row r="312" spans="1:9">
      <c r="A312" s="33"/>
      <c r="B312" s="29"/>
      <c r="C312" s="29"/>
      <c r="D312" s="30"/>
      <c r="E312" s="30"/>
      <c r="F312" s="35"/>
      <c r="G312" s="35"/>
      <c r="H312" s="35" t="str">
        <f t="shared" si="4"/>
        <v/>
      </c>
      <c r="I312" s="29"/>
    </row>
    <row r="313" spans="1:9">
      <c r="A313" s="33"/>
      <c r="B313" s="29"/>
      <c r="C313" s="29"/>
      <c r="D313" s="30"/>
      <c r="E313" s="30"/>
      <c r="F313" s="35"/>
      <c r="G313" s="35"/>
      <c r="H313" s="35" t="str">
        <f t="shared" si="4"/>
        <v/>
      </c>
      <c r="I313" s="29"/>
    </row>
    <row r="314" spans="1:9">
      <c r="A314" s="33"/>
      <c r="B314" s="29"/>
      <c r="C314" s="29"/>
      <c r="D314" s="30"/>
      <c r="E314" s="30"/>
      <c r="F314" s="35"/>
      <c r="G314" s="35"/>
      <c r="H314" s="35" t="str">
        <f t="shared" si="4"/>
        <v/>
      </c>
      <c r="I314" s="29"/>
    </row>
    <row r="315" spans="1:9">
      <c r="A315" s="33"/>
      <c r="B315" s="29"/>
      <c r="C315" s="29"/>
      <c r="D315" s="30"/>
      <c r="E315" s="30"/>
      <c r="F315" s="35"/>
      <c r="G315" s="35"/>
      <c r="H315" s="35" t="str">
        <f t="shared" si="4"/>
        <v/>
      </c>
      <c r="I315" s="29"/>
    </row>
    <row r="316" spans="1:9">
      <c r="A316" s="33"/>
      <c r="B316" s="29"/>
      <c r="C316" s="29"/>
      <c r="D316" s="30"/>
      <c r="E316" s="30"/>
      <c r="F316" s="35"/>
      <c r="G316" s="35"/>
      <c r="H316" s="35" t="str">
        <f t="shared" si="4"/>
        <v/>
      </c>
      <c r="I316" s="29"/>
    </row>
    <row r="317" spans="1:9">
      <c r="A317" s="33"/>
      <c r="B317" s="29"/>
      <c r="C317" s="29"/>
      <c r="D317" s="30"/>
      <c r="E317" s="30"/>
      <c r="F317" s="35"/>
      <c r="G317" s="35"/>
      <c r="H317" s="35" t="str">
        <f t="shared" si="4"/>
        <v/>
      </c>
      <c r="I317" s="29"/>
    </row>
    <row r="318" spans="1:9">
      <c r="A318" s="33"/>
      <c r="B318" s="29"/>
      <c r="C318" s="29"/>
      <c r="D318" s="30"/>
      <c r="E318" s="30"/>
      <c r="F318" s="35"/>
      <c r="G318" s="35"/>
      <c r="H318" s="35" t="str">
        <f t="shared" si="4"/>
        <v/>
      </c>
      <c r="I318" s="29"/>
    </row>
    <row r="319" spans="1:9">
      <c r="A319" s="33"/>
      <c r="B319" s="29"/>
      <c r="C319" s="29"/>
      <c r="D319" s="30"/>
      <c r="E319" s="30"/>
      <c r="F319" s="35"/>
      <c r="G319" s="35"/>
      <c r="H319" s="35" t="str">
        <f t="shared" si="4"/>
        <v/>
      </c>
      <c r="I319" s="29"/>
    </row>
    <row r="320" spans="1:9">
      <c r="A320" s="33"/>
      <c r="B320" s="29"/>
      <c r="C320" s="29"/>
      <c r="D320" s="30"/>
      <c r="E320" s="30"/>
      <c r="F320" s="35"/>
      <c r="G320" s="35"/>
      <c r="H320" s="35" t="str">
        <f t="shared" si="4"/>
        <v/>
      </c>
      <c r="I320" s="29"/>
    </row>
    <row r="321" spans="1:9">
      <c r="A321" s="33"/>
      <c r="B321" s="29"/>
      <c r="C321" s="29"/>
      <c r="D321" s="30"/>
      <c r="E321" s="30"/>
      <c r="F321" s="35"/>
      <c r="G321" s="35"/>
      <c r="H321" s="35" t="str">
        <f t="shared" si="4"/>
        <v/>
      </c>
      <c r="I321" s="29"/>
    </row>
    <row r="322" spans="1:9">
      <c r="A322" s="33"/>
      <c r="B322" s="29"/>
      <c r="C322" s="29"/>
      <c r="D322" s="30"/>
      <c r="E322" s="30"/>
      <c r="F322" s="35"/>
      <c r="G322" s="35"/>
      <c r="H322" s="35" t="str">
        <f t="shared" si="4"/>
        <v/>
      </c>
      <c r="I322" s="29"/>
    </row>
    <row r="323" spans="1:9">
      <c r="A323" s="33"/>
      <c r="B323" s="29"/>
      <c r="C323" s="29"/>
      <c r="D323" s="30"/>
      <c r="E323" s="30"/>
      <c r="F323" s="35"/>
      <c r="G323" s="35"/>
      <c r="H323" s="35" t="str">
        <f t="shared" si="4"/>
        <v/>
      </c>
      <c r="I323" s="29"/>
    </row>
    <row r="324" spans="1:9">
      <c r="A324" s="33"/>
      <c r="B324" s="29"/>
      <c r="C324" s="29"/>
      <c r="D324" s="30"/>
      <c r="E324" s="30"/>
      <c r="F324" s="35"/>
      <c r="G324" s="35"/>
      <c r="H324" s="35" t="str">
        <f t="shared" ref="H324:H387" si="5">IF(F324="","",F324-G324)</f>
        <v/>
      </c>
      <c r="I324" s="29"/>
    </row>
    <row r="325" spans="1:9">
      <c r="A325" s="33"/>
      <c r="B325" s="29"/>
      <c r="C325" s="29"/>
      <c r="D325" s="30"/>
      <c r="E325" s="30"/>
      <c r="F325" s="35"/>
      <c r="G325" s="35"/>
      <c r="H325" s="35" t="str">
        <f t="shared" si="5"/>
        <v/>
      </c>
      <c r="I325" s="29"/>
    </row>
    <row r="326" spans="1:9">
      <c r="A326" s="33"/>
      <c r="B326" s="29"/>
      <c r="C326" s="29"/>
      <c r="D326" s="30"/>
      <c r="E326" s="30"/>
      <c r="F326" s="35"/>
      <c r="G326" s="35"/>
      <c r="H326" s="35" t="str">
        <f t="shared" si="5"/>
        <v/>
      </c>
      <c r="I326" s="29"/>
    </row>
    <row r="327" spans="1:9">
      <c r="A327" s="33"/>
      <c r="B327" s="29"/>
      <c r="C327" s="29"/>
      <c r="D327" s="30"/>
      <c r="E327" s="30"/>
      <c r="F327" s="35"/>
      <c r="G327" s="35"/>
      <c r="H327" s="35" t="str">
        <f t="shared" si="5"/>
        <v/>
      </c>
      <c r="I327" s="29"/>
    </row>
    <row r="328" spans="1:9">
      <c r="A328" s="33"/>
      <c r="B328" s="29"/>
      <c r="C328" s="29"/>
      <c r="D328" s="30"/>
      <c r="E328" s="30"/>
      <c r="F328" s="35"/>
      <c r="G328" s="35"/>
      <c r="H328" s="35" t="str">
        <f t="shared" si="5"/>
        <v/>
      </c>
      <c r="I328" s="29"/>
    </row>
    <row r="329" spans="1:9">
      <c r="A329" s="33"/>
      <c r="B329" s="29"/>
      <c r="C329" s="29"/>
      <c r="D329" s="30"/>
      <c r="E329" s="30"/>
      <c r="F329" s="35"/>
      <c r="G329" s="35"/>
      <c r="H329" s="35" t="str">
        <f t="shared" si="5"/>
        <v/>
      </c>
      <c r="I329" s="29"/>
    </row>
    <row r="330" spans="1:9">
      <c r="A330" s="33"/>
      <c r="B330" s="29"/>
      <c r="C330" s="29"/>
      <c r="D330" s="30"/>
      <c r="E330" s="30"/>
      <c r="F330" s="35"/>
      <c r="G330" s="35"/>
      <c r="H330" s="35" t="str">
        <f t="shared" si="5"/>
        <v/>
      </c>
      <c r="I330" s="29"/>
    </row>
    <row r="331" spans="1:9">
      <c r="A331" s="33"/>
      <c r="B331" s="29"/>
      <c r="C331" s="29"/>
      <c r="D331" s="30"/>
      <c r="E331" s="30"/>
      <c r="F331" s="35"/>
      <c r="G331" s="35"/>
      <c r="H331" s="35" t="str">
        <f t="shared" si="5"/>
        <v/>
      </c>
      <c r="I331" s="29"/>
    </row>
    <row r="332" spans="1:9">
      <c r="A332" s="33"/>
      <c r="B332" s="29"/>
      <c r="C332" s="29"/>
      <c r="D332" s="30"/>
      <c r="E332" s="30"/>
      <c r="F332" s="35"/>
      <c r="G332" s="35"/>
      <c r="H332" s="35" t="str">
        <f t="shared" si="5"/>
        <v/>
      </c>
      <c r="I332" s="29"/>
    </row>
    <row r="333" spans="1:9">
      <c r="A333" s="33"/>
      <c r="B333" s="29"/>
      <c r="C333" s="29"/>
      <c r="D333" s="30"/>
      <c r="E333" s="30"/>
      <c r="F333" s="35"/>
      <c r="G333" s="35"/>
      <c r="H333" s="35" t="str">
        <f t="shared" si="5"/>
        <v/>
      </c>
      <c r="I333" s="29"/>
    </row>
    <row r="334" spans="1:9">
      <c r="A334" s="33"/>
      <c r="B334" s="29"/>
      <c r="C334" s="29"/>
      <c r="D334" s="30"/>
      <c r="E334" s="30"/>
      <c r="F334" s="35"/>
      <c r="G334" s="35"/>
      <c r="H334" s="35" t="str">
        <f t="shared" si="5"/>
        <v/>
      </c>
      <c r="I334" s="29"/>
    </row>
    <row r="335" spans="1:9">
      <c r="A335" s="33"/>
      <c r="B335" s="29"/>
      <c r="C335" s="29"/>
      <c r="D335" s="30"/>
      <c r="E335" s="30"/>
      <c r="F335" s="35"/>
      <c r="G335" s="35"/>
      <c r="H335" s="35" t="str">
        <f t="shared" si="5"/>
        <v/>
      </c>
      <c r="I335" s="29"/>
    </row>
    <row r="336" spans="1:9">
      <c r="A336" s="33"/>
      <c r="B336" s="29"/>
      <c r="C336" s="29"/>
      <c r="D336" s="30"/>
      <c r="E336" s="30"/>
      <c r="F336" s="35"/>
      <c r="G336" s="35"/>
      <c r="H336" s="35" t="str">
        <f t="shared" si="5"/>
        <v/>
      </c>
      <c r="I336" s="29"/>
    </row>
    <row r="337" spans="1:9">
      <c r="A337" s="33"/>
      <c r="B337" s="29"/>
      <c r="C337" s="29"/>
      <c r="D337" s="30"/>
      <c r="E337" s="30"/>
      <c r="F337" s="35"/>
      <c r="G337" s="35"/>
      <c r="H337" s="35" t="str">
        <f t="shared" si="5"/>
        <v/>
      </c>
      <c r="I337" s="29"/>
    </row>
    <row r="338" spans="1:9">
      <c r="A338" s="33"/>
      <c r="B338" s="29"/>
      <c r="C338" s="29"/>
      <c r="D338" s="30"/>
      <c r="E338" s="30"/>
      <c r="F338" s="35"/>
      <c r="G338" s="35"/>
      <c r="H338" s="35" t="str">
        <f t="shared" si="5"/>
        <v/>
      </c>
      <c r="I338" s="29"/>
    </row>
    <row r="339" spans="1:9">
      <c r="A339" s="33"/>
      <c r="B339" s="29"/>
      <c r="C339" s="29"/>
      <c r="D339" s="30"/>
      <c r="E339" s="30"/>
      <c r="F339" s="35"/>
      <c r="G339" s="35"/>
      <c r="H339" s="35" t="str">
        <f t="shared" si="5"/>
        <v/>
      </c>
      <c r="I339" s="29"/>
    </row>
    <row r="340" spans="1:9">
      <c r="A340" s="33"/>
      <c r="B340" s="29"/>
      <c r="C340" s="29"/>
      <c r="D340" s="30"/>
      <c r="E340" s="30"/>
      <c r="F340" s="35"/>
      <c r="G340" s="35"/>
      <c r="H340" s="35" t="str">
        <f t="shared" si="5"/>
        <v/>
      </c>
      <c r="I340" s="29"/>
    </row>
    <row r="341" spans="1:9">
      <c r="A341" s="33"/>
      <c r="B341" s="29"/>
      <c r="C341" s="29"/>
      <c r="D341" s="30"/>
      <c r="E341" s="30"/>
      <c r="F341" s="35"/>
      <c r="G341" s="35"/>
      <c r="H341" s="35" t="str">
        <f t="shared" si="5"/>
        <v/>
      </c>
      <c r="I341" s="29"/>
    </row>
    <row r="342" spans="1:9">
      <c r="A342" s="33"/>
      <c r="B342" s="29"/>
      <c r="C342" s="29"/>
      <c r="D342" s="30"/>
      <c r="E342" s="30"/>
      <c r="F342" s="35"/>
      <c r="G342" s="35"/>
      <c r="H342" s="35" t="str">
        <f t="shared" si="5"/>
        <v/>
      </c>
      <c r="I342" s="29"/>
    </row>
    <row r="343" spans="1:9">
      <c r="A343" s="33"/>
      <c r="B343" s="29"/>
      <c r="C343" s="29"/>
      <c r="D343" s="30"/>
      <c r="E343" s="30"/>
      <c r="F343" s="35"/>
      <c r="G343" s="35"/>
      <c r="H343" s="35" t="str">
        <f t="shared" si="5"/>
        <v/>
      </c>
      <c r="I343" s="29"/>
    </row>
    <row r="344" spans="1:9">
      <c r="A344" s="33"/>
      <c r="B344" s="29"/>
      <c r="C344" s="29"/>
      <c r="D344" s="30"/>
      <c r="E344" s="30"/>
      <c r="F344" s="35"/>
      <c r="G344" s="35"/>
      <c r="H344" s="35" t="str">
        <f t="shared" si="5"/>
        <v/>
      </c>
      <c r="I344" s="29"/>
    </row>
    <row r="345" spans="1:9">
      <c r="A345" s="33"/>
      <c r="B345" s="29"/>
      <c r="C345" s="29"/>
      <c r="D345" s="30"/>
      <c r="E345" s="30"/>
      <c r="F345" s="35"/>
      <c r="G345" s="35"/>
      <c r="H345" s="35" t="str">
        <f t="shared" si="5"/>
        <v/>
      </c>
      <c r="I345" s="29"/>
    </row>
    <row r="346" spans="1:9">
      <c r="A346" s="33"/>
      <c r="B346" s="29"/>
      <c r="C346" s="29"/>
      <c r="D346" s="30"/>
      <c r="E346" s="30"/>
      <c r="F346" s="35"/>
      <c r="G346" s="35"/>
      <c r="H346" s="35" t="str">
        <f t="shared" si="5"/>
        <v/>
      </c>
      <c r="I346" s="29"/>
    </row>
    <row r="347" spans="1:9">
      <c r="A347" s="33"/>
      <c r="B347" s="29"/>
      <c r="C347" s="29"/>
      <c r="D347" s="30"/>
      <c r="E347" s="30"/>
      <c r="F347" s="35"/>
      <c r="G347" s="35"/>
      <c r="H347" s="35" t="str">
        <f t="shared" si="5"/>
        <v/>
      </c>
      <c r="I347" s="29"/>
    </row>
    <row r="348" spans="1:9">
      <c r="A348" s="33"/>
      <c r="B348" s="29"/>
      <c r="C348" s="29"/>
      <c r="D348" s="30"/>
      <c r="E348" s="30"/>
      <c r="F348" s="35"/>
      <c r="G348" s="35"/>
      <c r="H348" s="35" t="str">
        <f t="shared" si="5"/>
        <v/>
      </c>
      <c r="I348" s="29"/>
    </row>
    <row r="349" spans="1:9">
      <c r="A349" s="33"/>
      <c r="B349" s="29"/>
      <c r="C349" s="29"/>
      <c r="D349" s="30"/>
      <c r="E349" s="30"/>
      <c r="F349" s="35"/>
      <c r="G349" s="35"/>
      <c r="H349" s="35" t="str">
        <f t="shared" si="5"/>
        <v/>
      </c>
      <c r="I349" s="29"/>
    </row>
    <row r="350" spans="1:9">
      <c r="A350" s="33"/>
      <c r="B350" s="29"/>
      <c r="C350" s="29"/>
      <c r="D350" s="30"/>
      <c r="E350" s="30"/>
      <c r="F350" s="35"/>
      <c r="G350" s="35"/>
      <c r="H350" s="35" t="str">
        <f t="shared" si="5"/>
        <v/>
      </c>
      <c r="I350" s="29"/>
    </row>
    <row r="351" spans="1:9">
      <c r="A351" s="33"/>
      <c r="B351" s="29"/>
      <c r="C351" s="29"/>
      <c r="D351" s="30"/>
      <c r="E351" s="30"/>
      <c r="F351" s="35"/>
      <c r="G351" s="35"/>
      <c r="H351" s="35" t="str">
        <f t="shared" si="5"/>
        <v/>
      </c>
      <c r="I351" s="29"/>
    </row>
    <row r="352" spans="1:9">
      <c r="A352" s="33"/>
      <c r="B352" s="29"/>
      <c r="C352" s="29"/>
      <c r="D352" s="30"/>
      <c r="E352" s="30"/>
      <c r="F352" s="35"/>
      <c r="G352" s="35"/>
      <c r="H352" s="35" t="str">
        <f t="shared" si="5"/>
        <v/>
      </c>
      <c r="I352" s="29"/>
    </row>
    <row r="353" spans="1:9">
      <c r="A353" s="33"/>
      <c r="B353" s="29"/>
      <c r="C353" s="29"/>
      <c r="D353" s="30"/>
      <c r="E353" s="30"/>
      <c r="F353" s="35"/>
      <c r="G353" s="35"/>
      <c r="H353" s="35" t="str">
        <f t="shared" si="5"/>
        <v/>
      </c>
      <c r="I353" s="29"/>
    </row>
    <row r="354" spans="1:9">
      <c r="A354" s="33"/>
      <c r="B354" s="29"/>
      <c r="C354" s="29"/>
      <c r="D354" s="30"/>
      <c r="E354" s="30"/>
      <c r="F354" s="35"/>
      <c r="G354" s="35"/>
      <c r="H354" s="35" t="str">
        <f t="shared" si="5"/>
        <v/>
      </c>
      <c r="I354" s="29"/>
    </row>
    <row r="355" spans="1:9">
      <c r="A355" s="33"/>
      <c r="B355" s="29"/>
      <c r="C355" s="29"/>
      <c r="D355" s="30"/>
      <c r="E355" s="30"/>
      <c r="F355" s="35"/>
      <c r="G355" s="35"/>
      <c r="H355" s="35" t="str">
        <f t="shared" si="5"/>
        <v/>
      </c>
      <c r="I355" s="29"/>
    </row>
    <row r="356" spans="1:9">
      <c r="A356" s="33"/>
      <c r="B356" s="29"/>
      <c r="C356" s="29"/>
      <c r="D356" s="30"/>
      <c r="E356" s="30"/>
      <c r="F356" s="35"/>
      <c r="G356" s="35"/>
      <c r="H356" s="35" t="str">
        <f t="shared" si="5"/>
        <v/>
      </c>
      <c r="I356" s="29"/>
    </row>
    <row r="357" spans="1:9">
      <c r="A357" s="33"/>
      <c r="B357" s="29"/>
      <c r="C357" s="29"/>
      <c r="D357" s="30"/>
      <c r="E357" s="30"/>
      <c r="F357" s="35"/>
      <c r="G357" s="35"/>
      <c r="H357" s="35" t="str">
        <f t="shared" si="5"/>
        <v/>
      </c>
      <c r="I357" s="29"/>
    </row>
    <row r="358" spans="1:9">
      <c r="A358" s="33"/>
      <c r="B358" s="29"/>
      <c r="C358" s="29"/>
      <c r="D358" s="30"/>
      <c r="E358" s="30"/>
      <c r="F358" s="35"/>
      <c r="G358" s="35"/>
      <c r="H358" s="35" t="str">
        <f t="shared" si="5"/>
        <v/>
      </c>
      <c r="I358" s="29"/>
    </row>
    <row r="359" spans="1:9">
      <c r="A359" s="33"/>
      <c r="B359" s="29"/>
      <c r="C359" s="29"/>
      <c r="D359" s="30"/>
      <c r="E359" s="30"/>
      <c r="F359" s="35"/>
      <c r="G359" s="35"/>
      <c r="H359" s="35" t="str">
        <f t="shared" si="5"/>
        <v/>
      </c>
      <c r="I359" s="29"/>
    </row>
    <row r="360" spans="1:9">
      <c r="A360" s="33"/>
      <c r="B360" s="29"/>
      <c r="C360" s="29"/>
      <c r="D360" s="30"/>
      <c r="E360" s="30"/>
      <c r="F360" s="35"/>
      <c r="G360" s="35"/>
      <c r="H360" s="35" t="str">
        <f t="shared" si="5"/>
        <v/>
      </c>
      <c r="I360" s="29"/>
    </row>
    <row r="361" spans="1:9">
      <c r="A361" s="33"/>
      <c r="B361" s="29"/>
      <c r="C361" s="29"/>
      <c r="D361" s="30"/>
      <c r="E361" s="30"/>
      <c r="F361" s="35"/>
      <c r="G361" s="35"/>
      <c r="H361" s="35" t="str">
        <f t="shared" si="5"/>
        <v/>
      </c>
      <c r="I361" s="29"/>
    </row>
    <row r="362" spans="1:9">
      <c r="A362" s="33"/>
      <c r="B362" s="29"/>
      <c r="C362" s="29"/>
      <c r="D362" s="30"/>
      <c r="E362" s="30"/>
      <c r="F362" s="35"/>
      <c r="G362" s="35"/>
      <c r="H362" s="35" t="str">
        <f t="shared" si="5"/>
        <v/>
      </c>
      <c r="I362" s="29"/>
    </row>
    <row r="363" spans="1:9">
      <c r="A363" s="33"/>
      <c r="B363" s="29"/>
      <c r="C363" s="29"/>
      <c r="D363" s="30"/>
      <c r="E363" s="30"/>
      <c r="F363" s="35"/>
      <c r="G363" s="35"/>
      <c r="H363" s="35" t="str">
        <f t="shared" si="5"/>
        <v/>
      </c>
      <c r="I363" s="29"/>
    </row>
    <row r="364" spans="1:9">
      <c r="A364" s="33"/>
      <c r="B364" s="29"/>
      <c r="C364" s="29"/>
      <c r="D364" s="30"/>
      <c r="E364" s="30"/>
      <c r="F364" s="35"/>
      <c r="G364" s="35"/>
      <c r="H364" s="35" t="str">
        <f t="shared" si="5"/>
        <v/>
      </c>
      <c r="I364" s="29"/>
    </row>
    <row r="365" spans="1:9">
      <c r="A365" s="33"/>
      <c r="B365" s="29"/>
      <c r="C365" s="29"/>
      <c r="D365" s="30"/>
      <c r="E365" s="30"/>
      <c r="F365" s="35"/>
      <c r="G365" s="35"/>
      <c r="H365" s="35" t="str">
        <f t="shared" si="5"/>
        <v/>
      </c>
      <c r="I365" s="29"/>
    </row>
    <row r="366" spans="1:9">
      <c r="A366" s="33"/>
      <c r="B366" s="29"/>
      <c r="C366" s="29"/>
      <c r="D366" s="30"/>
      <c r="E366" s="30"/>
      <c r="F366" s="35"/>
      <c r="G366" s="35"/>
      <c r="H366" s="35" t="str">
        <f t="shared" si="5"/>
        <v/>
      </c>
      <c r="I366" s="29"/>
    </row>
    <row r="367" spans="1:9">
      <c r="A367" s="33"/>
      <c r="B367" s="29"/>
      <c r="C367" s="29"/>
      <c r="D367" s="30"/>
      <c r="E367" s="30"/>
      <c r="F367" s="35"/>
      <c r="G367" s="35"/>
      <c r="H367" s="35" t="str">
        <f t="shared" si="5"/>
        <v/>
      </c>
      <c r="I367" s="29"/>
    </row>
    <row r="368" spans="1:9">
      <c r="A368" s="33"/>
      <c r="B368" s="29"/>
      <c r="C368" s="29"/>
      <c r="D368" s="30"/>
      <c r="E368" s="30"/>
      <c r="F368" s="35"/>
      <c r="G368" s="35"/>
      <c r="H368" s="35" t="str">
        <f t="shared" si="5"/>
        <v/>
      </c>
      <c r="I368" s="29"/>
    </row>
    <row r="369" spans="1:9">
      <c r="A369" s="33"/>
      <c r="B369" s="29"/>
      <c r="C369" s="29"/>
      <c r="D369" s="30"/>
      <c r="E369" s="30"/>
      <c r="F369" s="35"/>
      <c r="G369" s="35"/>
      <c r="H369" s="35" t="str">
        <f t="shared" si="5"/>
        <v/>
      </c>
      <c r="I369" s="29"/>
    </row>
    <row r="370" spans="1:9">
      <c r="A370" s="33"/>
      <c r="B370" s="29"/>
      <c r="C370" s="29"/>
      <c r="D370" s="30"/>
      <c r="E370" s="30"/>
      <c r="F370" s="35"/>
      <c r="G370" s="35"/>
      <c r="H370" s="35" t="str">
        <f t="shared" si="5"/>
        <v/>
      </c>
      <c r="I370" s="29"/>
    </row>
    <row r="371" spans="1:9">
      <c r="A371" s="33"/>
      <c r="B371" s="29"/>
      <c r="C371" s="29"/>
      <c r="D371" s="30"/>
      <c r="E371" s="30"/>
      <c r="F371" s="35"/>
      <c r="G371" s="35"/>
      <c r="H371" s="35" t="str">
        <f t="shared" si="5"/>
        <v/>
      </c>
      <c r="I371" s="29"/>
    </row>
    <row r="372" spans="1:9">
      <c r="A372" s="33"/>
      <c r="B372" s="29"/>
      <c r="C372" s="29"/>
      <c r="D372" s="30"/>
      <c r="E372" s="30"/>
      <c r="F372" s="35"/>
      <c r="G372" s="35"/>
      <c r="H372" s="35" t="str">
        <f t="shared" si="5"/>
        <v/>
      </c>
      <c r="I372" s="29"/>
    </row>
    <row r="373" spans="1:9">
      <c r="A373" s="33"/>
      <c r="B373" s="29"/>
      <c r="C373" s="29"/>
      <c r="D373" s="30"/>
      <c r="E373" s="30"/>
      <c r="F373" s="35"/>
      <c r="G373" s="35"/>
      <c r="H373" s="35" t="str">
        <f t="shared" si="5"/>
        <v/>
      </c>
      <c r="I373" s="29"/>
    </row>
    <row r="374" spans="1:9">
      <c r="A374" s="33"/>
      <c r="B374" s="29"/>
      <c r="C374" s="29"/>
      <c r="D374" s="30"/>
      <c r="E374" s="30"/>
      <c r="F374" s="35"/>
      <c r="G374" s="35"/>
      <c r="H374" s="35" t="str">
        <f t="shared" si="5"/>
        <v/>
      </c>
      <c r="I374" s="29"/>
    </row>
    <row r="375" spans="1:9">
      <c r="A375" s="33"/>
      <c r="B375" s="29"/>
      <c r="C375" s="29"/>
      <c r="D375" s="30"/>
      <c r="E375" s="30"/>
      <c r="F375" s="35"/>
      <c r="G375" s="35"/>
      <c r="H375" s="35" t="str">
        <f t="shared" si="5"/>
        <v/>
      </c>
      <c r="I375" s="29"/>
    </row>
    <row r="376" spans="1:9">
      <c r="A376" s="33"/>
      <c r="B376" s="29"/>
      <c r="C376" s="29"/>
      <c r="D376" s="30"/>
      <c r="E376" s="30"/>
      <c r="F376" s="35"/>
      <c r="G376" s="35"/>
      <c r="H376" s="35" t="str">
        <f t="shared" si="5"/>
        <v/>
      </c>
      <c r="I376" s="29"/>
    </row>
    <row r="377" spans="1:9">
      <c r="A377" s="33"/>
      <c r="B377" s="29"/>
      <c r="C377" s="29"/>
      <c r="D377" s="30"/>
      <c r="E377" s="30"/>
      <c r="F377" s="35"/>
      <c r="G377" s="35"/>
      <c r="H377" s="35" t="str">
        <f t="shared" si="5"/>
        <v/>
      </c>
      <c r="I377" s="29"/>
    </row>
    <row r="378" spans="1:9">
      <c r="A378" s="33"/>
      <c r="B378" s="29"/>
      <c r="C378" s="29"/>
      <c r="D378" s="30"/>
      <c r="E378" s="30"/>
      <c r="F378" s="35"/>
      <c r="G378" s="35"/>
      <c r="H378" s="35" t="str">
        <f t="shared" si="5"/>
        <v/>
      </c>
      <c r="I378" s="29"/>
    </row>
    <row r="379" spans="1:9">
      <c r="A379" s="33"/>
      <c r="B379" s="29"/>
      <c r="C379" s="29"/>
      <c r="D379" s="30"/>
      <c r="E379" s="30"/>
      <c r="F379" s="35"/>
      <c r="G379" s="35"/>
      <c r="H379" s="35" t="str">
        <f t="shared" si="5"/>
        <v/>
      </c>
      <c r="I379" s="29"/>
    </row>
    <row r="380" spans="1:9">
      <c r="A380" s="33"/>
      <c r="B380" s="29"/>
      <c r="C380" s="29"/>
      <c r="D380" s="30"/>
      <c r="E380" s="30"/>
      <c r="F380" s="35"/>
      <c r="G380" s="35"/>
      <c r="H380" s="35" t="str">
        <f t="shared" si="5"/>
        <v/>
      </c>
      <c r="I380" s="29"/>
    </row>
    <row r="381" spans="1:9">
      <c r="A381" s="33"/>
      <c r="B381" s="29"/>
      <c r="C381" s="29"/>
      <c r="D381" s="30"/>
      <c r="E381" s="30"/>
      <c r="F381" s="35"/>
      <c r="G381" s="35"/>
      <c r="H381" s="35" t="str">
        <f t="shared" si="5"/>
        <v/>
      </c>
      <c r="I381" s="29"/>
    </row>
    <row r="382" spans="1:9">
      <c r="A382" s="33"/>
      <c r="B382" s="29"/>
      <c r="C382" s="29"/>
      <c r="D382" s="30"/>
      <c r="E382" s="30"/>
      <c r="F382" s="35"/>
      <c r="G382" s="35"/>
      <c r="H382" s="35" t="str">
        <f t="shared" si="5"/>
        <v/>
      </c>
      <c r="I382" s="29"/>
    </row>
    <row r="383" spans="1:9">
      <c r="A383" s="33"/>
      <c r="B383" s="29"/>
      <c r="C383" s="29"/>
      <c r="D383" s="30"/>
      <c r="E383" s="30"/>
      <c r="F383" s="35"/>
      <c r="G383" s="35"/>
      <c r="H383" s="35" t="str">
        <f t="shared" si="5"/>
        <v/>
      </c>
      <c r="I383" s="29"/>
    </row>
    <row r="384" spans="1:9">
      <c r="A384" s="33"/>
      <c r="B384" s="29"/>
      <c r="C384" s="29"/>
      <c r="D384" s="30"/>
      <c r="E384" s="30"/>
      <c r="F384" s="35"/>
      <c r="G384" s="35"/>
      <c r="H384" s="35" t="str">
        <f t="shared" si="5"/>
        <v/>
      </c>
      <c r="I384" s="29"/>
    </row>
    <row r="385" spans="1:9">
      <c r="A385" s="33"/>
      <c r="B385" s="29"/>
      <c r="C385" s="29"/>
      <c r="D385" s="30"/>
      <c r="E385" s="30"/>
      <c r="F385" s="35"/>
      <c r="G385" s="35"/>
      <c r="H385" s="35" t="str">
        <f t="shared" si="5"/>
        <v/>
      </c>
      <c r="I385" s="29"/>
    </row>
    <row r="386" spans="1:9">
      <c r="A386" s="33"/>
      <c r="B386" s="29"/>
      <c r="C386" s="29"/>
      <c r="D386" s="30"/>
      <c r="E386" s="30"/>
      <c r="F386" s="35"/>
      <c r="G386" s="35"/>
      <c r="H386" s="35" t="str">
        <f t="shared" si="5"/>
        <v/>
      </c>
      <c r="I386" s="29"/>
    </row>
    <row r="387" spans="1:9">
      <c r="A387" s="33"/>
      <c r="B387" s="29"/>
      <c r="C387" s="29"/>
      <c r="D387" s="30"/>
      <c r="E387" s="30"/>
      <c r="F387" s="35"/>
      <c r="G387" s="35"/>
      <c r="H387" s="35" t="str">
        <f t="shared" si="5"/>
        <v/>
      </c>
      <c r="I387" s="29"/>
    </row>
    <row r="388" spans="1:9">
      <c r="A388" s="33"/>
      <c r="B388" s="29"/>
      <c r="C388" s="29"/>
      <c r="D388" s="30"/>
      <c r="E388" s="30"/>
      <c r="F388" s="35"/>
      <c r="G388" s="35"/>
      <c r="H388" s="35" t="str">
        <f t="shared" ref="H388:H451" si="6">IF(F388="","",F388-G388)</f>
        <v/>
      </c>
      <c r="I388" s="29"/>
    </row>
    <row r="389" spans="1:9">
      <c r="A389" s="33"/>
      <c r="B389" s="29"/>
      <c r="C389" s="29"/>
      <c r="D389" s="30"/>
      <c r="E389" s="30"/>
      <c r="F389" s="35"/>
      <c r="G389" s="35"/>
      <c r="H389" s="35" t="str">
        <f t="shared" si="6"/>
        <v/>
      </c>
      <c r="I389" s="29"/>
    </row>
    <row r="390" spans="1:9">
      <c r="A390" s="33"/>
      <c r="B390" s="29"/>
      <c r="C390" s="29"/>
      <c r="D390" s="30"/>
      <c r="E390" s="30"/>
      <c r="F390" s="35"/>
      <c r="G390" s="35"/>
      <c r="H390" s="35" t="str">
        <f t="shared" si="6"/>
        <v/>
      </c>
      <c r="I390" s="29"/>
    </row>
    <row r="391" spans="1:9">
      <c r="A391" s="33"/>
      <c r="B391" s="29"/>
      <c r="C391" s="29"/>
      <c r="D391" s="30"/>
      <c r="E391" s="30"/>
      <c r="F391" s="35"/>
      <c r="G391" s="35"/>
      <c r="H391" s="35" t="str">
        <f t="shared" si="6"/>
        <v/>
      </c>
      <c r="I391" s="29"/>
    </row>
    <row r="392" spans="1:9">
      <c r="A392" s="33"/>
      <c r="B392" s="29"/>
      <c r="C392" s="29"/>
      <c r="D392" s="30"/>
      <c r="E392" s="30"/>
      <c r="F392" s="35"/>
      <c r="G392" s="35"/>
      <c r="H392" s="35" t="str">
        <f t="shared" si="6"/>
        <v/>
      </c>
      <c r="I392" s="29"/>
    </row>
    <row r="393" spans="1:9">
      <c r="A393" s="33"/>
      <c r="B393" s="29"/>
      <c r="C393" s="29"/>
      <c r="D393" s="30"/>
      <c r="E393" s="30"/>
      <c r="F393" s="35"/>
      <c r="G393" s="35"/>
      <c r="H393" s="35" t="str">
        <f t="shared" si="6"/>
        <v/>
      </c>
      <c r="I393" s="29"/>
    </row>
    <row r="394" spans="1:9">
      <c r="A394" s="33"/>
      <c r="B394" s="29"/>
      <c r="C394" s="29"/>
      <c r="D394" s="30"/>
      <c r="E394" s="30"/>
      <c r="F394" s="35"/>
      <c r="G394" s="35"/>
      <c r="H394" s="35" t="str">
        <f t="shared" si="6"/>
        <v/>
      </c>
      <c r="I394" s="29"/>
    </row>
    <row r="395" spans="1:9">
      <c r="A395" s="33"/>
      <c r="B395" s="29"/>
      <c r="C395" s="29"/>
      <c r="D395" s="30"/>
      <c r="E395" s="30"/>
      <c r="F395" s="35"/>
      <c r="G395" s="35"/>
      <c r="H395" s="35" t="str">
        <f t="shared" si="6"/>
        <v/>
      </c>
      <c r="I395" s="29"/>
    </row>
    <row r="396" spans="1:9">
      <c r="A396" s="33"/>
      <c r="B396" s="29"/>
      <c r="C396" s="29"/>
      <c r="D396" s="30"/>
      <c r="E396" s="30"/>
      <c r="F396" s="35"/>
      <c r="G396" s="35"/>
      <c r="H396" s="35" t="str">
        <f t="shared" si="6"/>
        <v/>
      </c>
      <c r="I396" s="29"/>
    </row>
    <row r="397" spans="1:9">
      <c r="A397" s="33"/>
      <c r="B397" s="29"/>
      <c r="C397" s="29"/>
      <c r="D397" s="30"/>
      <c r="E397" s="30"/>
      <c r="F397" s="35"/>
      <c r="G397" s="35"/>
      <c r="H397" s="35" t="str">
        <f t="shared" si="6"/>
        <v/>
      </c>
      <c r="I397" s="29"/>
    </row>
    <row r="398" spans="1:9">
      <c r="A398" s="33"/>
      <c r="B398" s="29"/>
      <c r="C398" s="29"/>
      <c r="D398" s="30"/>
      <c r="E398" s="30"/>
      <c r="F398" s="35"/>
      <c r="G398" s="35"/>
      <c r="H398" s="35" t="str">
        <f t="shared" si="6"/>
        <v/>
      </c>
      <c r="I398" s="29"/>
    </row>
    <row r="399" spans="1:9">
      <c r="A399" s="33"/>
      <c r="B399" s="29"/>
      <c r="C399" s="29"/>
      <c r="D399" s="30"/>
      <c r="E399" s="30"/>
      <c r="F399" s="35"/>
      <c r="G399" s="35"/>
      <c r="H399" s="35" t="str">
        <f t="shared" si="6"/>
        <v/>
      </c>
      <c r="I399" s="29"/>
    </row>
    <row r="400" spans="1:9">
      <c r="A400" s="33"/>
      <c r="B400" s="29"/>
      <c r="C400" s="29"/>
      <c r="D400" s="30"/>
      <c r="E400" s="30"/>
      <c r="F400" s="35"/>
      <c r="G400" s="35"/>
      <c r="H400" s="35" t="str">
        <f t="shared" si="6"/>
        <v/>
      </c>
      <c r="I400" s="29"/>
    </row>
    <row r="401" spans="1:9">
      <c r="A401" s="33"/>
      <c r="B401" s="29"/>
      <c r="C401" s="29"/>
      <c r="D401" s="30"/>
      <c r="E401" s="30"/>
      <c r="F401" s="35"/>
      <c r="G401" s="35"/>
      <c r="H401" s="35" t="str">
        <f t="shared" si="6"/>
        <v/>
      </c>
      <c r="I401" s="29"/>
    </row>
    <row r="402" spans="1:9">
      <c r="A402" s="33"/>
      <c r="B402" s="29"/>
      <c r="C402" s="29"/>
      <c r="D402" s="30"/>
      <c r="E402" s="30"/>
      <c r="F402" s="35"/>
      <c r="G402" s="35"/>
      <c r="H402" s="35" t="str">
        <f t="shared" si="6"/>
        <v/>
      </c>
      <c r="I402" s="29"/>
    </row>
    <row r="403" spans="1:9">
      <c r="A403" s="33"/>
      <c r="B403" s="29"/>
      <c r="C403" s="29"/>
      <c r="D403" s="30"/>
      <c r="E403" s="30"/>
      <c r="F403" s="35"/>
      <c r="G403" s="35"/>
      <c r="H403" s="35" t="str">
        <f t="shared" si="6"/>
        <v/>
      </c>
      <c r="I403" s="29"/>
    </row>
    <row r="404" spans="1:9">
      <c r="A404" s="33"/>
      <c r="B404" s="29"/>
      <c r="C404" s="29"/>
      <c r="D404" s="30"/>
      <c r="E404" s="30"/>
      <c r="F404" s="35"/>
      <c r="G404" s="35"/>
      <c r="H404" s="35" t="str">
        <f t="shared" si="6"/>
        <v/>
      </c>
      <c r="I404" s="29"/>
    </row>
    <row r="405" spans="1:9">
      <c r="A405" s="33"/>
      <c r="B405" s="29"/>
      <c r="C405" s="29"/>
      <c r="D405" s="30"/>
      <c r="E405" s="30"/>
      <c r="F405" s="35"/>
      <c r="G405" s="35"/>
      <c r="H405" s="35" t="str">
        <f t="shared" si="6"/>
        <v/>
      </c>
      <c r="I405" s="29"/>
    </row>
    <row r="406" spans="1:9">
      <c r="A406" s="33"/>
      <c r="B406" s="29"/>
      <c r="C406" s="29"/>
      <c r="D406" s="30"/>
      <c r="E406" s="30"/>
      <c r="F406" s="35"/>
      <c r="G406" s="35"/>
      <c r="H406" s="35" t="str">
        <f t="shared" si="6"/>
        <v/>
      </c>
      <c r="I406" s="29"/>
    </row>
    <row r="407" spans="1:9">
      <c r="A407" s="33"/>
      <c r="B407" s="29"/>
      <c r="C407" s="29"/>
      <c r="D407" s="30"/>
      <c r="E407" s="30"/>
      <c r="F407" s="35"/>
      <c r="G407" s="35"/>
      <c r="H407" s="35" t="str">
        <f t="shared" si="6"/>
        <v/>
      </c>
      <c r="I407" s="29"/>
    </row>
    <row r="408" spans="1:9">
      <c r="A408" s="33"/>
      <c r="B408" s="29"/>
      <c r="C408" s="29"/>
      <c r="D408" s="30"/>
      <c r="E408" s="30"/>
      <c r="F408" s="35"/>
      <c r="G408" s="35"/>
      <c r="H408" s="35" t="str">
        <f t="shared" si="6"/>
        <v/>
      </c>
      <c r="I408" s="29"/>
    </row>
    <row r="409" spans="1:9">
      <c r="A409" s="33"/>
      <c r="B409" s="29"/>
      <c r="C409" s="29"/>
      <c r="D409" s="30"/>
      <c r="E409" s="30"/>
      <c r="F409" s="35"/>
      <c r="G409" s="35"/>
      <c r="H409" s="35" t="str">
        <f t="shared" si="6"/>
        <v/>
      </c>
      <c r="I409" s="29"/>
    </row>
    <row r="410" spans="1:9">
      <c r="A410" s="33"/>
      <c r="B410" s="29"/>
      <c r="C410" s="29"/>
      <c r="D410" s="30"/>
      <c r="E410" s="30"/>
      <c r="F410" s="35"/>
      <c r="G410" s="35"/>
      <c r="H410" s="35" t="str">
        <f t="shared" si="6"/>
        <v/>
      </c>
      <c r="I410" s="29"/>
    </row>
    <row r="411" spans="1:9">
      <c r="A411" s="33"/>
      <c r="B411" s="29"/>
      <c r="C411" s="29"/>
      <c r="D411" s="30"/>
      <c r="E411" s="30"/>
      <c r="F411" s="35"/>
      <c r="G411" s="35"/>
      <c r="H411" s="35" t="str">
        <f t="shared" si="6"/>
        <v/>
      </c>
      <c r="I411" s="29"/>
    </row>
    <row r="412" spans="1:9">
      <c r="A412" s="33"/>
      <c r="B412" s="29"/>
      <c r="C412" s="29"/>
      <c r="D412" s="30"/>
      <c r="E412" s="30"/>
      <c r="F412" s="35"/>
      <c r="G412" s="35"/>
      <c r="H412" s="35" t="str">
        <f t="shared" si="6"/>
        <v/>
      </c>
      <c r="I412" s="29"/>
    </row>
    <row r="413" spans="1:9">
      <c r="A413" s="33"/>
      <c r="B413" s="29"/>
      <c r="C413" s="29"/>
      <c r="D413" s="30"/>
      <c r="E413" s="30"/>
      <c r="F413" s="35"/>
      <c r="G413" s="35"/>
      <c r="H413" s="35" t="str">
        <f t="shared" si="6"/>
        <v/>
      </c>
      <c r="I413" s="29"/>
    </row>
    <row r="414" spans="1:9">
      <c r="A414" s="33"/>
      <c r="B414" s="29"/>
      <c r="C414" s="29"/>
      <c r="D414" s="30"/>
      <c r="E414" s="30"/>
      <c r="F414" s="35"/>
      <c r="G414" s="35"/>
      <c r="H414" s="35" t="str">
        <f t="shared" si="6"/>
        <v/>
      </c>
      <c r="I414" s="29"/>
    </row>
    <row r="415" spans="1:9">
      <c r="A415" s="33"/>
      <c r="B415" s="29"/>
      <c r="C415" s="29"/>
      <c r="D415" s="30"/>
      <c r="E415" s="30"/>
      <c r="F415" s="35"/>
      <c r="G415" s="35"/>
      <c r="H415" s="35" t="str">
        <f t="shared" si="6"/>
        <v/>
      </c>
      <c r="I415" s="29"/>
    </row>
    <row r="416" spans="1:9">
      <c r="A416" s="33"/>
      <c r="B416" s="29"/>
      <c r="C416" s="29"/>
      <c r="D416" s="30"/>
      <c r="E416" s="30"/>
      <c r="F416" s="35"/>
      <c r="G416" s="35"/>
      <c r="H416" s="35" t="str">
        <f t="shared" si="6"/>
        <v/>
      </c>
      <c r="I416" s="29"/>
    </row>
    <row r="417" spans="1:9">
      <c r="A417" s="33"/>
      <c r="B417" s="29"/>
      <c r="C417" s="29"/>
      <c r="D417" s="30"/>
      <c r="E417" s="30"/>
      <c r="F417" s="35"/>
      <c r="G417" s="35"/>
      <c r="H417" s="35" t="str">
        <f t="shared" si="6"/>
        <v/>
      </c>
      <c r="I417" s="29"/>
    </row>
    <row r="418" spans="1:9">
      <c r="A418" s="33"/>
      <c r="B418" s="29"/>
      <c r="C418" s="29"/>
      <c r="D418" s="30"/>
      <c r="E418" s="30"/>
      <c r="F418" s="35"/>
      <c r="G418" s="35"/>
      <c r="H418" s="35" t="str">
        <f t="shared" si="6"/>
        <v/>
      </c>
      <c r="I418" s="29"/>
    </row>
    <row r="419" spans="1:9">
      <c r="A419" s="33"/>
      <c r="B419" s="29"/>
      <c r="C419" s="29"/>
      <c r="D419" s="30"/>
      <c r="E419" s="30"/>
      <c r="F419" s="35"/>
      <c r="G419" s="35"/>
      <c r="H419" s="35" t="str">
        <f t="shared" si="6"/>
        <v/>
      </c>
      <c r="I419" s="29"/>
    </row>
    <row r="420" spans="1:9">
      <c r="A420" s="33"/>
      <c r="B420" s="29"/>
      <c r="C420" s="29"/>
      <c r="D420" s="30"/>
      <c r="E420" s="30"/>
      <c r="F420" s="35"/>
      <c r="G420" s="35"/>
      <c r="H420" s="35" t="str">
        <f t="shared" si="6"/>
        <v/>
      </c>
      <c r="I420" s="29"/>
    </row>
    <row r="421" spans="1:9">
      <c r="A421" s="33"/>
      <c r="B421" s="29"/>
      <c r="C421" s="29"/>
      <c r="D421" s="30"/>
      <c r="E421" s="30"/>
      <c r="F421" s="35"/>
      <c r="G421" s="35"/>
      <c r="H421" s="35" t="str">
        <f t="shared" si="6"/>
        <v/>
      </c>
      <c r="I421" s="29"/>
    </row>
    <row r="422" spans="1:9">
      <c r="A422" s="33"/>
      <c r="B422" s="29"/>
      <c r="C422" s="29"/>
      <c r="D422" s="30"/>
      <c r="E422" s="30"/>
      <c r="F422" s="35"/>
      <c r="G422" s="35"/>
      <c r="H422" s="35" t="str">
        <f t="shared" si="6"/>
        <v/>
      </c>
      <c r="I422" s="29"/>
    </row>
    <row r="423" spans="1:9">
      <c r="A423" s="33"/>
      <c r="B423" s="29"/>
      <c r="C423" s="29"/>
      <c r="D423" s="30"/>
      <c r="E423" s="30"/>
      <c r="F423" s="35"/>
      <c r="G423" s="35"/>
      <c r="H423" s="35" t="str">
        <f t="shared" si="6"/>
        <v/>
      </c>
      <c r="I423" s="29"/>
    </row>
    <row r="424" spans="1:9">
      <c r="A424" s="33"/>
      <c r="B424" s="29"/>
      <c r="C424" s="29"/>
      <c r="D424" s="30"/>
      <c r="E424" s="30"/>
      <c r="F424" s="35"/>
      <c r="G424" s="35"/>
      <c r="H424" s="35" t="str">
        <f t="shared" si="6"/>
        <v/>
      </c>
      <c r="I424" s="29"/>
    </row>
    <row r="425" spans="1:9">
      <c r="A425" s="33"/>
      <c r="B425" s="29"/>
      <c r="C425" s="29"/>
      <c r="D425" s="30"/>
      <c r="E425" s="30"/>
      <c r="F425" s="35"/>
      <c r="G425" s="35"/>
      <c r="H425" s="35" t="str">
        <f t="shared" si="6"/>
        <v/>
      </c>
      <c r="I425" s="29"/>
    </row>
    <row r="426" spans="1:9">
      <c r="A426" s="33"/>
      <c r="B426" s="29"/>
      <c r="C426" s="29"/>
      <c r="D426" s="30"/>
      <c r="E426" s="30"/>
      <c r="F426" s="35"/>
      <c r="G426" s="35"/>
      <c r="H426" s="35" t="str">
        <f t="shared" si="6"/>
        <v/>
      </c>
      <c r="I426" s="29"/>
    </row>
    <row r="427" spans="1:9">
      <c r="A427" s="33"/>
      <c r="B427" s="29"/>
      <c r="C427" s="29"/>
      <c r="D427" s="30"/>
      <c r="E427" s="30"/>
      <c r="F427" s="35"/>
      <c r="G427" s="35"/>
      <c r="H427" s="35" t="str">
        <f t="shared" si="6"/>
        <v/>
      </c>
      <c r="I427" s="29"/>
    </row>
    <row r="428" spans="1:9">
      <c r="A428" s="33"/>
      <c r="B428" s="29"/>
      <c r="C428" s="29"/>
      <c r="D428" s="30"/>
      <c r="E428" s="30"/>
      <c r="F428" s="35"/>
      <c r="G428" s="35"/>
      <c r="H428" s="35" t="str">
        <f t="shared" si="6"/>
        <v/>
      </c>
      <c r="I428" s="29"/>
    </row>
    <row r="429" spans="1:9">
      <c r="A429" s="33"/>
      <c r="B429" s="29"/>
      <c r="C429" s="29"/>
      <c r="D429" s="30"/>
      <c r="E429" s="30"/>
      <c r="F429" s="35"/>
      <c r="G429" s="35"/>
      <c r="H429" s="35" t="str">
        <f t="shared" si="6"/>
        <v/>
      </c>
      <c r="I429" s="29"/>
    </row>
    <row r="430" spans="1:9">
      <c r="A430" s="33"/>
      <c r="B430" s="29"/>
      <c r="C430" s="29"/>
      <c r="D430" s="30"/>
      <c r="E430" s="30"/>
      <c r="F430" s="35"/>
      <c r="G430" s="35"/>
      <c r="H430" s="35" t="str">
        <f t="shared" si="6"/>
        <v/>
      </c>
      <c r="I430" s="29"/>
    </row>
    <row r="431" spans="1:9">
      <c r="A431" s="33"/>
      <c r="B431" s="29"/>
      <c r="C431" s="29"/>
      <c r="D431" s="30"/>
      <c r="E431" s="30"/>
      <c r="F431" s="35"/>
      <c r="G431" s="35"/>
      <c r="H431" s="35" t="str">
        <f t="shared" si="6"/>
        <v/>
      </c>
      <c r="I431" s="29"/>
    </row>
    <row r="432" spans="1:9">
      <c r="A432" s="33"/>
      <c r="B432" s="29"/>
      <c r="C432" s="29"/>
      <c r="D432" s="30"/>
      <c r="E432" s="30"/>
      <c r="F432" s="35"/>
      <c r="G432" s="35"/>
      <c r="H432" s="35" t="str">
        <f t="shared" si="6"/>
        <v/>
      </c>
      <c r="I432" s="29"/>
    </row>
    <row r="433" spans="1:9">
      <c r="A433" s="33"/>
      <c r="B433" s="29"/>
      <c r="C433" s="29"/>
      <c r="D433" s="30"/>
      <c r="E433" s="30"/>
      <c r="F433" s="35"/>
      <c r="G433" s="35"/>
      <c r="H433" s="35" t="str">
        <f t="shared" si="6"/>
        <v/>
      </c>
      <c r="I433" s="29"/>
    </row>
    <row r="434" spans="1:9">
      <c r="A434" s="33"/>
      <c r="B434" s="29"/>
      <c r="C434" s="29"/>
      <c r="D434" s="30"/>
      <c r="E434" s="30"/>
      <c r="F434" s="35"/>
      <c r="G434" s="35"/>
      <c r="H434" s="35" t="str">
        <f t="shared" si="6"/>
        <v/>
      </c>
      <c r="I434" s="29"/>
    </row>
    <row r="435" spans="1:9">
      <c r="A435" s="33"/>
      <c r="B435" s="29"/>
      <c r="C435" s="29"/>
      <c r="D435" s="30"/>
      <c r="E435" s="30"/>
      <c r="F435" s="35"/>
      <c r="G435" s="35"/>
      <c r="H435" s="35" t="str">
        <f t="shared" si="6"/>
        <v/>
      </c>
      <c r="I435" s="29"/>
    </row>
    <row r="436" spans="1:9">
      <c r="A436" s="33"/>
      <c r="B436" s="29"/>
      <c r="C436" s="29"/>
      <c r="D436" s="30"/>
      <c r="E436" s="30"/>
      <c r="F436" s="35"/>
      <c r="G436" s="35"/>
      <c r="H436" s="35" t="str">
        <f t="shared" si="6"/>
        <v/>
      </c>
      <c r="I436" s="29"/>
    </row>
    <row r="437" spans="1:9">
      <c r="A437" s="33"/>
      <c r="B437" s="29"/>
      <c r="C437" s="29"/>
      <c r="D437" s="30"/>
      <c r="E437" s="30"/>
      <c r="F437" s="35"/>
      <c r="G437" s="35"/>
      <c r="H437" s="35" t="str">
        <f t="shared" si="6"/>
        <v/>
      </c>
      <c r="I437" s="29"/>
    </row>
    <row r="438" spans="1:9">
      <c r="A438" s="33"/>
      <c r="B438" s="29"/>
      <c r="C438" s="29"/>
      <c r="D438" s="30"/>
      <c r="E438" s="30"/>
      <c r="F438" s="35"/>
      <c r="G438" s="35"/>
      <c r="H438" s="35" t="str">
        <f t="shared" si="6"/>
        <v/>
      </c>
      <c r="I438" s="29"/>
    </row>
    <row r="439" spans="1:9">
      <c r="A439" s="33"/>
      <c r="B439" s="29"/>
      <c r="C439" s="29"/>
      <c r="D439" s="30"/>
      <c r="E439" s="30"/>
      <c r="F439" s="35"/>
      <c r="G439" s="35"/>
      <c r="H439" s="35" t="str">
        <f t="shared" si="6"/>
        <v/>
      </c>
      <c r="I439" s="29"/>
    </row>
    <row r="440" spans="1:9">
      <c r="A440" s="33"/>
      <c r="B440" s="29"/>
      <c r="C440" s="29"/>
      <c r="D440" s="30"/>
      <c r="E440" s="30"/>
      <c r="F440" s="35"/>
      <c r="G440" s="35"/>
      <c r="H440" s="35" t="str">
        <f t="shared" si="6"/>
        <v/>
      </c>
      <c r="I440" s="29"/>
    </row>
    <row r="441" spans="1:9">
      <c r="A441" s="33"/>
      <c r="B441" s="29"/>
      <c r="C441" s="29"/>
      <c r="D441" s="30"/>
      <c r="E441" s="30"/>
      <c r="F441" s="35"/>
      <c r="G441" s="35"/>
      <c r="H441" s="35" t="str">
        <f t="shared" si="6"/>
        <v/>
      </c>
      <c r="I441" s="29"/>
    </row>
    <row r="442" spans="1:9">
      <c r="A442" s="33"/>
      <c r="B442" s="29"/>
      <c r="C442" s="29"/>
      <c r="D442" s="30"/>
      <c r="E442" s="30"/>
      <c r="F442" s="35"/>
      <c r="G442" s="35"/>
      <c r="H442" s="35" t="str">
        <f t="shared" si="6"/>
        <v/>
      </c>
      <c r="I442" s="29"/>
    </row>
    <row r="443" spans="1:9">
      <c r="A443" s="33"/>
      <c r="B443" s="29"/>
      <c r="C443" s="29"/>
      <c r="D443" s="30"/>
      <c r="E443" s="30"/>
      <c r="F443" s="35"/>
      <c r="G443" s="35"/>
      <c r="H443" s="35" t="str">
        <f t="shared" si="6"/>
        <v/>
      </c>
      <c r="I443" s="29"/>
    </row>
    <row r="444" spans="1:9">
      <c r="A444" s="33"/>
      <c r="B444" s="29"/>
      <c r="C444" s="29"/>
      <c r="D444" s="30"/>
      <c r="E444" s="30"/>
      <c r="F444" s="35"/>
      <c r="G444" s="35"/>
      <c r="H444" s="35" t="str">
        <f t="shared" si="6"/>
        <v/>
      </c>
      <c r="I444" s="29"/>
    </row>
    <row r="445" spans="1:9">
      <c r="A445" s="33"/>
      <c r="B445" s="29"/>
      <c r="C445" s="29"/>
      <c r="D445" s="30"/>
      <c r="E445" s="30"/>
      <c r="F445" s="35"/>
      <c r="G445" s="35"/>
      <c r="H445" s="35" t="str">
        <f t="shared" si="6"/>
        <v/>
      </c>
      <c r="I445" s="29"/>
    </row>
    <row r="446" spans="1:9">
      <c r="A446" s="33"/>
      <c r="B446" s="29"/>
      <c r="C446" s="29"/>
      <c r="D446" s="30"/>
      <c r="E446" s="30"/>
      <c r="F446" s="35"/>
      <c r="G446" s="35"/>
      <c r="H446" s="35" t="str">
        <f t="shared" si="6"/>
        <v/>
      </c>
      <c r="I446" s="29"/>
    </row>
    <row r="447" spans="1:9">
      <c r="A447" s="33"/>
      <c r="B447" s="29"/>
      <c r="C447" s="29"/>
      <c r="D447" s="30"/>
      <c r="E447" s="30"/>
      <c r="F447" s="35"/>
      <c r="G447" s="35"/>
      <c r="H447" s="35" t="str">
        <f t="shared" si="6"/>
        <v/>
      </c>
      <c r="I447" s="29"/>
    </row>
    <row r="448" spans="1:9">
      <c r="A448" s="33"/>
      <c r="B448" s="29"/>
      <c r="C448" s="29"/>
      <c r="D448" s="30"/>
      <c r="E448" s="30"/>
      <c r="F448" s="35"/>
      <c r="G448" s="35"/>
      <c r="H448" s="35" t="str">
        <f t="shared" si="6"/>
        <v/>
      </c>
      <c r="I448" s="29"/>
    </row>
    <row r="449" spans="1:9">
      <c r="A449" s="33"/>
      <c r="B449" s="29"/>
      <c r="C449" s="29"/>
      <c r="D449" s="30"/>
      <c r="E449" s="30"/>
      <c r="F449" s="35"/>
      <c r="G449" s="35"/>
      <c r="H449" s="35" t="str">
        <f t="shared" si="6"/>
        <v/>
      </c>
      <c r="I449" s="29"/>
    </row>
    <row r="450" spans="1:9">
      <c r="A450" s="33"/>
      <c r="B450" s="29"/>
      <c r="C450" s="29"/>
      <c r="D450" s="30"/>
      <c r="E450" s="30"/>
      <c r="F450" s="35"/>
      <c r="G450" s="35"/>
      <c r="H450" s="35" t="str">
        <f t="shared" si="6"/>
        <v/>
      </c>
      <c r="I450" s="29"/>
    </row>
    <row r="451" spans="1:9">
      <c r="A451" s="33"/>
      <c r="B451" s="29"/>
      <c r="C451" s="29"/>
      <c r="D451" s="30"/>
      <c r="E451" s="30"/>
      <c r="F451" s="35"/>
      <c r="G451" s="35"/>
      <c r="H451" s="35" t="str">
        <f t="shared" si="6"/>
        <v/>
      </c>
      <c r="I451" s="29"/>
    </row>
    <row r="452" spans="1:9">
      <c r="A452" s="33"/>
      <c r="B452" s="29"/>
      <c r="C452" s="29"/>
      <c r="D452" s="30"/>
      <c r="E452" s="30"/>
      <c r="F452" s="35"/>
      <c r="G452" s="35"/>
      <c r="H452" s="35" t="str">
        <f t="shared" ref="H452:H515" si="7">IF(F452="","",F452-G452)</f>
        <v/>
      </c>
      <c r="I452" s="29"/>
    </row>
    <row r="453" spans="1:9">
      <c r="A453" s="33"/>
      <c r="B453" s="29"/>
      <c r="C453" s="29"/>
      <c r="D453" s="30"/>
      <c r="E453" s="30"/>
      <c r="F453" s="35"/>
      <c r="G453" s="35"/>
      <c r="H453" s="35" t="str">
        <f t="shared" si="7"/>
        <v/>
      </c>
      <c r="I453" s="29"/>
    </row>
    <row r="454" spans="1:9">
      <c r="A454" s="33"/>
      <c r="B454" s="29"/>
      <c r="C454" s="29"/>
      <c r="D454" s="30"/>
      <c r="E454" s="30"/>
      <c r="F454" s="35"/>
      <c r="G454" s="35"/>
      <c r="H454" s="35" t="str">
        <f t="shared" si="7"/>
        <v/>
      </c>
      <c r="I454" s="29"/>
    </row>
    <row r="455" spans="1:9">
      <c r="A455" s="33"/>
      <c r="B455" s="29"/>
      <c r="C455" s="29"/>
      <c r="D455" s="30"/>
      <c r="E455" s="30"/>
      <c r="F455" s="35"/>
      <c r="G455" s="35"/>
      <c r="H455" s="35" t="str">
        <f t="shared" si="7"/>
        <v/>
      </c>
      <c r="I455" s="29"/>
    </row>
    <row r="456" spans="1:9">
      <c r="A456" s="33"/>
      <c r="B456" s="29"/>
      <c r="C456" s="29"/>
      <c r="D456" s="30"/>
      <c r="E456" s="30"/>
      <c r="F456" s="35"/>
      <c r="G456" s="35"/>
      <c r="H456" s="35" t="str">
        <f t="shared" si="7"/>
        <v/>
      </c>
      <c r="I456" s="29"/>
    </row>
    <row r="457" spans="1:9">
      <c r="A457" s="33"/>
      <c r="B457" s="29"/>
      <c r="C457" s="29"/>
      <c r="D457" s="30"/>
      <c r="E457" s="30"/>
      <c r="F457" s="35"/>
      <c r="G457" s="35"/>
      <c r="H457" s="35" t="str">
        <f t="shared" si="7"/>
        <v/>
      </c>
      <c r="I457" s="29"/>
    </row>
    <row r="458" spans="1:9">
      <c r="A458" s="33"/>
      <c r="B458" s="29"/>
      <c r="C458" s="29"/>
      <c r="D458" s="30"/>
      <c r="E458" s="30"/>
      <c r="F458" s="35"/>
      <c r="G458" s="35"/>
      <c r="H458" s="35" t="str">
        <f t="shared" si="7"/>
        <v/>
      </c>
      <c r="I458" s="29"/>
    </row>
    <row r="459" spans="1:9">
      <c r="A459" s="33"/>
      <c r="B459" s="29"/>
      <c r="C459" s="29"/>
      <c r="D459" s="30"/>
      <c r="E459" s="30"/>
      <c r="F459" s="35"/>
      <c r="G459" s="35"/>
      <c r="H459" s="35" t="str">
        <f t="shared" si="7"/>
        <v/>
      </c>
      <c r="I459" s="29"/>
    </row>
    <row r="460" spans="1:9">
      <c r="A460" s="33"/>
      <c r="B460" s="29"/>
      <c r="C460" s="29"/>
      <c r="D460" s="30"/>
      <c r="E460" s="30"/>
      <c r="F460" s="35"/>
      <c r="G460" s="35"/>
      <c r="H460" s="35" t="str">
        <f t="shared" si="7"/>
        <v/>
      </c>
      <c r="I460" s="29"/>
    </row>
    <row r="461" spans="1:9">
      <c r="A461" s="33"/>
      <c r="B461" s="29"/>
      <c r="C461" s="29"/>
      <c r="D461" s="30"/>
      <c r="E461" s="30"/>
      <c r="F461" s="35"/>
      <c r="G461" s="35"/>
      <c r="H461" s="35" t="str">
        <f t="shared" si="7"/>
        <v/>
      </c>
      <c r="I461" s="29"/>
    </row>
    <row r="462" spans="1:9">
      <c r="A462" s="33"/>
      <c r="B462" s="29"/>
      <c r="C462" s="29"/>
      <c r="D462" s="30"/>
      <c r="E462" s="30"/>
      <c r="F462" s="35"/>
      <c r="G462" s="35"/>
      <c r="H462" s="35" t="str">
        <f t="shared" si="7"/>
        <v/>
      </c>
      <c r="I462" s="29"/>
    </row>
    <row r="463" spans="1:9">
      <c r="A463" s="33"/>
      <c r="B463" s="29"/>
      <c r="C463" s="29"/>
      <c r="D463" s="30"/>
      <c r="E463" s="30"/>
      <c r="F463" s="35"/>
      <c r="G463" s="35"/>
      <c r="H463" s="35" t="str">
        <f t="shared" si="7"/>
        <v/>
      </c>
      <c r="I463" s="29"/>
    </row>
    <row r="464" spans="1:9">
      <c r="A464" s="33"/>
      <c r="B464" s="29"/>
      <c r="C464" s="29"/>
      <c r="D464" s="30"/>
      <c r="E464" s="30"/>
      <c r="F464" s="35"/>
      <c r="G464" s="35"/>
      <c r="H464" s="35" t="str">
        <f t="shared" si="7"/>
        <v/>
      </c>
      <c r="I464" s="29"/>
    </row>
    <row r="465" spans="1:9">
      <c r="A465" s="33"/>
      <c r="B465" s="29"/>
      <c r="C465" s="29"/>
      <c r="D465" s="30"/>
      <c r="E465" s="30"/>
      <c r="F465" s="35"/>
      <c r="G465" s="35"/>
      <c r="H465" s="35" t="str">
        <f t="shared" si="7"/>
        <v/>
      </c>
      <c r="I465" s="29"/>
    </row>
    <row r="466" spans="1:9">
      <c r="A466" s="33"/>
      <c r="B466" s="29"/>
      <c r="C466" s="29"/>
      <c r="D466" s="30"/>
      <c r="E466" s="30"/>
      <c r="F466" s="35"/>
      <c r="G466" s="35"/>
      <c r="H466" s="35" t="str">
        <f t="shared" si="7"/>
        <v/>
      </c>
      <c r="I466" s="29"/>
    </row>
    <row r="467" spans="1:9">
      <c r="A467" s="33"/>
      <c r="B467" s="29"/>
      <c r="C467" s="29"/>
      <c r="D467" s="30"/>
      <c r="E467" s="30"/>
      <c r="F467" s="35"/>
      <c r="G467" s="35"/>
      <c r="H467" s="35" t="str">
        <f t="shared" si="7"/>
        <v/>
      </c>
      <c r="I467" s="29"/>
    </row>
    <row r="468" spans="1:9">
      <c r="A468" s="33"/>
      <c r="B468" s="29"/>
      <c r="C468" s="29"/>
      <c r="D468" s="30"/>
      <c r="E468" s="30"/>
      <c r="F468" s="35"/>
      <c r="G468" s="35"/>
      <c r="H468" s="35" t="str">
        <f t="shared" si="7"/>
        <v/>
      </c>
      <c r="I468" s="29"/>
    </row>
    <row r="469" spans="1:9">
      <c r="A469" s="33"/>
      <c r="B469" s="29"/>
      <c r="C469" s="29"/>
      <c r="D469" s="30"/>
      <c r="E469" s="30"/>
      <c r="F469" s="35"/>
      <c r="G469" s="35"/>
      <c r="H469" s="35" t="str">
        <f t="shared" si="7"/>
        <v/>
      </c>
      <c r="I469" s="29"/>
    </row>
    <row r="470" spans="1:9">
      <c r="A470" s="33"/>
      <c r="B470" s="29"/>
      <c r="C470" s="29"/>
      <c r="D470" s="30"/>
      <c r="E470" s="30"/>
      <c r="F470" s="35"/>
      <c r="G470" s="35"/>
      <c r="H470" s="35" t="str">
        <f t="shared" si="7"/>
        <v/>
      </c>
      <c r="I470" s="29"/>
    </row>
    <row r="471" spans="1:9">
      <c r="A471" s="33"/>
      <c r="B471" s="29"/>
      <c r="C471" s="29"/>
      <c r="D471" s="30"/>
      <c r="E471" s="30"/>
      <c r="F471" s="35"/>
      <c r="G471" s="35"/>
      <c r="H471" s="35" t="str">
        <f t="shared" si="7"/>
        <v/>
      </c>
      <c r="I471" s="29"/>
    </row>
    <row r="472" spans="1:9">
      <c r="A472" s="33"/>
      <c r="B472" s="29"/>
      <c r="C472" s="29"/>
      <c r="D472" s="30"/>
      <c r="E472" s="30"/>
      <c r="F472" s="35"/>
      <c r="G472" s="35"/>
      <c r="H472" s="35" t="str">
        <f t="shared" si="7"/>
        <v/>
      </c>
      <c r="I472" s="29"/>
    </row>
    <row r="473" spans="1:9">
      <c r="A473" s="33"/>
      <c r="B473" s="29"/>
      <c r="C473" s="29"/>
      <c r="D473" s="30"/>
      <c r="E473" s="30"/>
      <c r="F473" s="35"/>
      <c r="G473" s="35"/>
      <c r="H473" s="35" t="str">
        <f t="shared" si="7"/>
        <v/>
      </c>
      <c r="I473" s="29"/>
    </row>
    <row r="474" spans="1:9">
      <c r="A474" s="33"/>
      <c r="B474" s="29"/>
      <c r="C474" s="29"/>
      <c r="D474" s="30"/>
      <c r="E474" s="30"/>
      <c r="F474" s="35"/>
      <c r="G474" s="35"/>
      <c r="H474" s="35" t="str">
        <f t="shared" si="7"/>
        <v/>
      </c>
      <c r="I474" s="29"/>
    </row>
    <row r="475" spans="1:9">
      <c r="A475" s="33"/>
      <c r="B475" s="29"/>
      <c r="C475" s="29"/>
      <c r="D475" s="30"/>
      <c r="E475" s="30"/>
      <c r="F475" s="35"/>
      <c r="G475" s="35"/>
      <c r="H475" s="35" t="str">
        <f t="shared" si="7"/>
        <v/>
      </c>
      <c r="I475" s="29"/>
    </row>
    <row r="476" spans="1:9">
      <c r="A476" s="33"/>
      <c r="B476" s="29"/>
      <c r="C476" s="29"/>
      <c r="D476" s="30"/>
      <c r="E476" s="30"/>
      <c r="F476" s="35"/>
      <c r="G476" s="35"/>
      <c r="H476" s="35" t="str">
        <f t="shared" si="7"/>
        <v/>
      </c>
      <c r="I476" s="29"/>
    </row>
    <row r="477" spans="1:9">
      <c r="A477" s="33"/>
      <c r="B477" s="29"/>
      <c r="C477" s="29"/>
      <c r="D477" s="30"/>
      <c r="E477" s="30"/>
      <c r="F477" s="35"/>
      <c r="G477" s="35"/>
      <c r="H477" s="35" t="str">
        <f t="shared" si="7"/>
        <v/>
      </c>
      <c r="I477" s="29"/>
    </row>
    <row r="478" spans="1:9">
      <c r="A478" s="33"/>
      <c r="B478" s="29"/>
      <c r="C478" s="29"/>
      <c r="D478" s="30"/>
      <c r="E478" s="30"/>
      <c r="F478" s="35"/>
      <c r="G478" s="35"/>
      <c r="H478" s="35" t="str">
        <f t="shared" si="7"/>
        <v/>
      </c>
      <c r="I478" s="29"/>
    </row>
    <row r="479" spans="1:9">
      <c r="A479" s="33"/>
      <c r="B479" s="29"/>
      <c r="C479" s="29"/>
      <c r="D479" s="30"/>
      <c r="E479" s="30"/>
      <c r="F479" s="35"/>
      <c r="G479" s="35"/>
      <c r="H479" s="35" t="str">
        <f t="shared" si="7"/>
        <v/>
      </c>
      <c r="I479" s="29"/>
    </row>
    <row r="480" spans="1:9">
      <c r="A480" s="33"/>
      <c r="B480" s="29"/>
      <c r="C480" s="29"/>
      <c r="D480" s="30"/>
      <c r="E480" s="30"/>
      <c r="F480" s="35"/>
      <c r="G480" s="35"/>
      <c r="H480" s="35" t="str">
        <f t="shared" si="7"/>
        <v/>
      </c>
      <c r="I480" s="29"/>
    </row>
    <row r="481" spans="1:9">
      <c r="A481" s="33"/>
      <c r="B481" s="29"/>
      <c r="C481" s="29"/>
      <c r="D481" s="30"/>
      <c r="E481" s="30"/>
      <c r="F481" s="35"/>
      <c r="G481" s="35"/>
      <c r="H481" s="35" t="str">
        <f t="shared" si="7"/>
        <v/>
      </c>
      <c r="I481" s="29"/>
    </row>
    <row r="482" spans="1:9">
      <c r="A482" s="33"/>
      <c r="B482" s="29"/>
      <c r="C482" s="29"/>
      <c r="D482" s="30"/>
      <c r="E482" s="30"/>
      <c r="F482" s="35"/>
      <c r="G482" s="35"/>
      <c r="H482" s="35" t="str">
        <f t="shared" si="7"/>
        <v/>
      </c>
      <c r="I482" s="29"/>
    </row>
    <row r="483" spans="1:9">
      <c r="A483" s="33"/>
      <c r="B483" s="29"/>
      <c r="C483" s="29"/>
      <c r="D483" s="30"/>
      <c r="E483" s="30"/>
      <c r="F483" s="35"/>
      <c r="G483" s="35"/>
      <c r="H483" s="35" t="str">
        <f t="shared" si="7"/>
        <v/>
      </c>
      <c r="I483" s="29"/>
    </row>
    <row r="484" spans="1:9">
      <c r="A484" s="33"/>
      <c r="B484" s="29"/>
      <c r="C484" s="29"/>
      <c r="D484" s="30"/>
      <c r="E484" s="30"/>
      <c r="F484" s="35"/>
      <c r="G484" s="35"/>
      <c r="H484" s="35" t="str">
        <f t="shared" si="7"/>
        <v/>
      </c>
      <c r="I484" s="29"/>
    </row>
    <row r="485" spans="1:9">
      <c r="A485" s="33"/>
      <c r="B485" s="29"/>
      <c r="C485" s="29"/>
      <c r="D485" s="30"/>
      <c r="E485" s="30"/>
      <c r="F485" s="35"/>
      <c r="G485" s="35"/>
      <c r="H485" s="35" t="str">
        <f t="shared" si="7"/>
        <v/>
      </c>
      <c r="I485" s="29"/>
    </row>
    <row r="486" spans="1:9">
      <c r="A486" s="33"/>
      <c r="B486" s="29"/>
      <c r="C486" s="29"/>
      <c r="D486" s="30"/>
      <c r="E486" s="30"/>
      <c r="F486" s="35"/>
      <c r="G486" s="35"/>
      <c r="H486" s="35" t="str">
        <f t="shared" si="7"/>
        <v/>
      </c>
      <c r="I486" s="29"/>
    </row>
    <row r="487" spans="1:9">
      <c r="A487" s="33"/>
      <c r="B487" s="29"/>
      <c r="C487" s="29"/>
      <c r="D487" s="30"/>
      <c r="E487" s="30"/>
      <c r="F487" s="35"/>
      <c r="G487" s="35"/>
      <c r="H487" s="35" t="str">
        <f t="shared" si="7"/>
        <v/>
      </c>
      <c r="I487" s="29"/>
    </row>
    <row r="488" spans="1:9">
      <c r="A488" s="33"/>
      <c r="B488" s="29"/>
      <c r="C488" s="29"/>
      <c r="D488" s="30"/>
      <c r="E488" s="30"/>
      <c r="F488" s="35"/>
      <c r="G488" s="35"/>
      <c r="H488" s="35" t="str">
        <f t="shared" si="7"/>
        <v/>
      </c>
      <c r="I488" s="29"/>
    </row>
    <row r="489" spans="1:9">
      <c r="A489" s="33"/>
      <c r="B489" s="29"/>
      <c r="C489" s="29"/>
      <c r="D489" s="30"/>
      <c r="E489" s="30"/>
      <c r="F489" s="35"/>
      <c r="G489" s="35"/>
      <c r="H489" s="35" t="str">
        <f t="shared" si="7"/>
        <v/>
      </c>
      <c r="I489" s="29"/>
    </row>
    <row r="490" spans="1:9">
      <c r="A490" s="33"/>
      <c r="B490" s="29"/>
      <c r="C490" s="29"/>
      <c r="D490" s="30"/>
      <c r="E490" s="30"/>
      <c r="F490" s="35"/>
      <c r="G490" s="35"/>
      <c r="H490" s="35" t="str">
        <f t="shared" si="7"/>
        <v/>
      </c>
      <c r="I490" s="29"/>
    </row>
    <row r="491" spans="1:9">
      <c r="A491" s="33"/>
      <c r="B491" s="29"/>
      <c r="C491" s="29"/>
      <c r="D491" s="30"/>
      <c r="E491" s="30"/>
      <c r="F491" s="35"/>
      <c r="G491" s="35"/>
      <c r="H491" s="35" t="str">
        <f t="shared" si="7"/>
        <v/>
      </c>
      <c r="I491" s="29"/>
    </row>
    <row r="492" spans="1:9">
      <c r="A492" s="33"/>
      <c r="B492" s="29"/>
      <c r="C492" s="29"/>
      <c r="D492" s="30"/>
      <c r="E492" s="30"/>
      <c r="F492" s="35"/>
      <c r="G492" s="35"/>
      <c r="H492" s="35" t="str">
        <f t="shared" si="7"/>
        <v/>
      </c>
      <c r="I492" s="29"/>
    </row>
    <row r="493" spans="1:9">
      <c r="A493" s="33"/>
      <c r="B493" s="29"/>
      <c r="C493" s="29"/>
      <c r="D493" s="30"/>
      <c r="E493" s="30"/>
      <c r="F493" s="35"/>
      <c r="G493" s="35"/>
      <c r="H493" s="35" t="str">
        <f t="shared" si="7"/>
        <v/>
      </c>
      <c r="I493" s="29"/>
    </row>
    <row r="494" spans="1:9">
      <c r="A494" s="33"/>
      <c r="B494" s="29"/>
      <c r="C494" s="29"/>
      <c r="D494" s="30"/>
      <c r="E494" s="30"/>
      <c r="F494" s="35"/>
      <c r="G494" s="35"/>
      <c r="H494" s="35" t="str">
        <f t="shared" si="7"/>
        <v/>
      </c>
      <c r="I494" s="29"/>
    </row>
    <row r="495" spans="1:9">
      <c r="A495" s="33"/>
      <c r="B495" s="29"/>
      <c r="C495" s="29"/>
      <c r="D495" s="30"/>
      <c r="E495" s="30"/>
      <c r="F495" s="35"/>
      <c r="G495" s="35"/>
      <c r="H495" s="35" t="str">
        <f t="shared" si="7"/>
        <v/>
      </c>
      <c r="I495" s="29"/>
    </row>
    <row r="496" spans="1:9">
      <c r="A496" s="33"/>
      <c r="B496" s="29"/>
      <c r="C496" s="29"/>
      <c r="D496" s="30"/>
      <c r="E496" s="30"/>
      <c r="F496" s="35"/>
      <c r="G496" s="35"/>
      <c r="H496" s="35" t="str">
        <f t="shared" si="7"/>
        <v/>
      </c>
      <c r="I496" s="29"/>
    </row>
    <row r="497" spans="1:9">
      <c r="A497" s="33"/>
      <c r="B497" s="29"/>
      <c r="C497" s="29"/>
      <c r="D497" s="30"/>
      <c r="E497" s="30"/>
      <c r="F497" s="35"/>
      <c r="G497" s="35"/>
      <c r="H497" s="35" t="str">
        <f t="shared" si="7"/>
        <v/>
      </c>
      <c r="I497" s="29"/>
    </row>
    <row r="498" spans="1:9">
      <c r="A498" s="33"/>
      <c r="B498" s="29"/>
      <c r="C498" s="29"/>
      <c r="D498" s="30"/>
      <c r="E498" s="30"/>
      <c r="F498" s="35"/>
      <c r="G498" s="35"/>
      <c r="H498" s="35" t="str">
        <f t="shared" si="7"/>
        <v/>
      </c>
      <c r="I498" s="29"/>
    </row>
    <row r="499" spans="1:9">
      <c r="A499" s="33"/>
      <c r="B499" s="29"/>
      <c r="C499" s="29"/>
      <c r="D499" s="30"/>
      <c r="E499" s="30"/>
      <c r="F499" s="35"/>
      <c r="G499" s="35"/>
      <c r="H499" s="35" t="str">
        <f t="shared" si="7"/>
        <v/>
      </c>
      <c r="I499" s="29"/>
    </row>
    <row r="500" spans="1:9">
      <c r="A500" s="33"/>
      <c r="B500" s="29"/>
      <c r="C500" s="29"/>
      <c r="D500" s="30"/>
      <c r="E500" s="30"/>
      <c r="F500" s="35"/>
      <c r="G500" s="35"/>
      <c r="H500" s="35" t="str">
        <f t="shared" si="7"/>
        <v/>
      </c>
      <c r="I500" s="29"/>
    </row>
    <row r="501" spans="1:9">
      <c r="A501" s="33"/>
      <c r="B501" s="29"/>
      <c r="C501" s="29"/>
      <c r="D501" s="30"/>
      <c r="E501" s="30"/>
      <c r="F501" s="35"/>
      <c r="G501" s="35"/>
      <c r="H501" s="35" t="str">
        <f t="shared" si="7"/>
        <v/>
      </c>
      <c r="I501" s="29"/>
    </row>
    <row r="502" spans="1:9">
      <c r="A502" s="33"/>
      <c r="B502" s="29"/>
      <c r="C502" s="29"/>
      <c r="D502" s="30"/>
      <c r="E502" s="30"/>
      <c r="F502" s="35"/>
      <c r="G502" s="35"/>
      <c r="H502" s="35" t="str">
        <f t="shared" si="7"/>
        <v/>
      </c>
      <c r="I502" s="29"/>
    </row>
    <row r="503" spans="1:9">
      <c r="A503" s="33"/>
      <c r="B503" s="29"/>
      <c r="C503" s="29"/>
      <c r="D503" s="30"/>
      <c r="E503" s="30"/>
      <c r="F503" s="35"/>
      <c r="G503" s="35"/>
      <c r="H503" s="35" t="str">
        <f t="shared" si="7"/>
        <v/>
      </c>
      <c r="I503" s="29"/>
    </row>
    <row r="504" spans="1:9">
      <c r="A504" s="33"/>
      <c r="B504" s="29"/>
      <c r="C504" s="29"/>
      <c r="D504" s="30"/>
      <c r="E504" s="30"/>
      <c r="F504" s="35"/>
      <c r="G504" s="35"/>
      <c r="H504" s="35" t="str">
        <f t="shared" si="7"/>
        <v/>
      </c>
      <c r="I504" s="29"/>
    </row>
    <row r="505" spans="1:9">
      <c r="A505" s="33"/>
      <c r="B505" s="29"/>
      <c r="C505" s="29"/>
      <c r="D505" s="30"/>
      <c r="E505" s="30"/>
      <c r="F505" s="35"/>
      <c r="G505" s="35"/>
      <c r="H505" s="35" t="str">
        <f t="shared" si="7"/>
        <v/>
      </c>
      <c r="I505" s="29"/>
    </row>
    <row r="506" spans="1:9">
      <c r="A506" s="33"/>
      <c r="B506" s="29"/>
      <c r="C506" s="29"/>
      <c r="D506" s="30"/>
      <c r="E506" s="30"/>
      <c r="F506" s="35"/>
      <c r="G506" s="35"/>
      <c r="H506" s="35" t="str">
        <f t="shared" si="7"/>
        <v/>
      </c>
      <c r="I506" s="29"/>
    </row>
    <row r="507" spans="1:9">
      <c r="A507" s="33"/>
      <c r="B507" s="29"/>
      <c r="C507" s="29"/>
      <c r="D507" s="30"/>
      <c r="E507" s="30"/>
      <c r="F507" s="35"/>
      <c r="G507" s="35"/>
      <c r="H507" s="35" t="str">
        <f t="shared" si="7"/>
        <v/>
      </c>
      <c r="I507" s="29"/>
    </row>
    <row r="508" spans="1:9">
      <c r="A508" s="33"/>
      <c r="B508" s="29"/>
      <c r="C508" s="29"/>
      <c r="D508" s="30"/>
      <c r="E508" s="30"/>
      <c r="F508" s="35"/>
      <c r="G508" s="35"/>
      <c r="H508" s="35" t="str">
        <f t="shared" si="7"/>
        <v/>
      </c>
      <c r="I508" s="29"/>
    </row>
    <row r="509" spans="1:9">
      <c r="A509" s="33"/>
      <c r="B509" s="29"/>
      <c r="C509" s="29"/>
      <c r="D509" s="30"/>
      <c r="E509" s="30"/>
      <c r="F509" s="35"/>
      <c r="G509" s="35"/>
      <c r="H509" s="35" t="str">
        <f t="shared" si="7"/>
        <v/>
      </c>
      <c r="I509" s="29"/>
    </row>
    <row r="510" spans="1:9">
      <c r="A510" s="33"/>
      <c r="B510" s="29"/>
      <c r="C510" s="29"/>
      <c r="D510" s="30"/>
      <c r="E510" s="30"/>
      <c r="F510" s="35"/>
      <c r="G510" s="35"/>
      <c r="H510" s="35" t="str">
        <f t="shared" si="7"/>
        <v/>
      </c>
      <c r="I510" s="29"/>
    </row>
    <row r="511" spans="1:9">
      <c r="A511" s="33"/>
      <c r="B511" s="29"/>
      <c r="C511" s="29"/>
      <c r="D511" s="30"/>
      <c r="E511" s="30"/>
      <c r="F511" s="35"/>
      <c r="G511" s="35"/>
      <c r="H511" s="35" t="str">
        <f t="shared" si="7"/>
        <v/>
      </c>
      <c r="I511" s="29"/>
    </row>
    <row r="512" spans="1:9">
      <c r="A512" s="33"/>
      <c r="B512" s="29"/>
      <c r="C512" s="29"/>
      <c r="D512" s="30"/>
      <c r="E512" s="30"/>
      <c r="F512" s="35"/>
      <c r="G512" s="35"/>
      <c r="H512" s="35" t="str">
        <f t="shared" si="7"/>
        <v/>
      </c>
      <c r="I512" s="29"/>
    </row>
    <row r="513" spans="1:9">
      <c r="A513" s="33"/>
      <c r="B513" s="29"/>
      <c r="C513" s="29"/>
      <c r="D513" s="30"/>
      <c r="E513" s="30"/>
      <c r="F513" s="35"/>
      <c r="G513" s="35"/>
      <c r="H513" s="35" t="str">
        <f t="shared" si="7"/>
        <v/>
      </c>
      <c r="I513" s="29"/>
    </row>
    <row r="514" spans="1:9">
      <c r="A514" s="33"/>
      <c r="B514" s="29"/>
      <c r="C514" s="29"/>
      <c r="D514" s="30"/>
      <c r="E514" s="30"/>
      <c r="F514" s="35"/>
      <c r="G514" s="35"/>
      <c r="H514" s="35" t="str">
        <f t="shared" si="7"/>
        <v/>
      </c>
      <c r="I514" s="29"/>
    </row>
    <row r="515" spans="1:9">
      <c r="A515" s="33"/>
      <c r="B515" s="29"/>
      <c r="C515" s="29"/>
      <c r="D515" s="30"/>
      <c r="E515" s="30"/>
      <c r="F515" s="35"/>
      <c r="G515" s="35"/>
      <c r="H515" s="35" t="str">
        <f t="shared" si="7"/>
        <v/>
      </c>
      <c r="I515" s="29"/>
    </row>
    <row r="516" spans="1:9">
      <c r="A516" s="33"/>
      <c r="B516" s="29"/>
      <c r="C516" s="29"/>
      <c r="D516" s="30"/>
      <c r="E516" s="30"/>
      <c r="F516" s="35"/>
      <c r="G516" s="35"/>
      <c r="H516" s="35" t="str">
        <f t="shared" ref="H516:H579" si="8">IF(F516="","",F516-G516)</f>
        <v/>
      </c>
      <c r="I516" s="29"/>
    </row>
    <row r="517" spans="1:9">
      <c r="A517" s="33"/>
      <c r="B517" s="29"/>
      <c r="C517" s="29"/>
      <c r="D517" s="30"/>
      <c r="E517" s="30"/>
      <c r="F517" s="35"/>
      <c r="G517" s="35"/>
      <c r="H517" s="35" t="str">
        <f t="shared" si="8"/>
        <v/>
      </c>
      <c r="I517" s="29"/>
    </row>
    <row r="518" spans="1:9">
      <c r="A518" s="33"/>
      <c r="B518" s="29"/>
      <c r="C518" s="29"/>
      <c r="D518" s="30"/>
      <c r="E518" s="30"/>
      <c r="F518" s="35"/>
      <c r="G518" s="35"/>
      <c r="H518" s="35" t="str">
        <f t="shared" si="8"/>
        <v/>
      </c>
      <c r="I518" s="29"/>
    </row>
    <row r="519" spans="1:9">
      <c r="A519" s="33"/>
      <c r="B519" s="29"/>
      <c r="C519" s="29"/>
      <c r="D519" s="30"/>
      <c r="E519" s="30"/>
      <c r="F519" s="35"/>
      <c r="G519" s="35"/>
      <c r="H519" s="35" t="str">
        <f t="shared" si="8"/>
        <v/>
      </c>
      <c r="I519" s="29"/>
    </row>
    <row r="520" spans="1:9">
      <c r="A520" s="33"/>
      <c r="B520" s="29"/>
      <c r="C520" s="29"/>
      <c r="D520" s="30"/>
      <c r="E520" s="30"/>
      <c r="F520" s="35"/>
      <c r="G520" s="35"/>
      <c r="H520" s="35" t="str">
        <f t="shared" si="8"/>
        <v/>
      </c>
      <c r="I520" s="29"/>
    </row>
    <row r="521" spans="1:9">
      <c r="A521" s="33"/>
      <c r="B521" s="29"/>
      <c r="C521" s="29"/>
      <c r="D521" s="30"/>
      <c r="E521" s="30"/>
      <c r="F521" s="35"/>
      <c r="G521" s="35"/>
      <c r="H521" s="35" t="str">
        <f t="shared" si="8"/>
        <v/>
      </c>
      <c r="I521" s="29"/>
    </row>
    <row r="522" spans="1:9">
      <c r="A522" s="33"/>
      <c r="B522" s="29"/>
      <c r="C522" s="29"/>
      <c r="D522" s="30"/>
      <c r="E522" s="30"/>
      <c r="F522" s="35"/>
      <c r="G522" s="35"/>
      <c r="H522" s="35" t="str">
        <f t="shared" si="8"/>
        <v/>
      </c>
      <c r="I522" s="29"/>
    </row>
    <row r="523" spans="1:9">
      <c r="A523" s="33"/>
      <c r="B523" s="29"/>
      <c r="C523" s="29"/>
      <c r="D523" s="30"/>
      <c r="E523" s="30"/>
      <c r="F523" s="35"/>
      <c r="G523" s="35"/>
      <c r="H523" s="35" t="str">
        <f t="shared" si="8"/>
        <v/>
      </c>
      <c r="I523" s="29"/>
    </row>
    <row r="524" spans="1:9">
      <c r="A524" s="33"/>
      <c r="B524" s="29"/>
      <c r="C524" s="29"/>
      <c r="D524" s="30"/>
      <c r="E524" s="30"/>
      <c r="F524" s="35"/>
      <c r="G524" s="35"/>
      <c r="H524" s="35" t="str">
        <f t="shared" si="8"/>
        <v/>
      </c>
      <c r="I524" s="29"/>
    </row>
    <row r="525" spans="1:9">
      <c r="A525" s="33"/>
      <c r="B525" s="29"/>
      <c r="C525" s="29"/>
      <c r="D525" s="30"/>
      <c r="E525" s="30"/>
      <c r="F525" s="35"/>
      <c r="G525" s="35"/>
      <c r="H525" s="35" t="str">
        <f t="shared" si="8"/>
        <v/>
      </c>
      <c r="I525" s="29"/>
    </row>
    <row r="526" spans="1:9">
      <c r="A526" s="33"/>
      <c r="B526" s="29"/>
      <c r="C526" s="29"/>
      <c r="D526" s="30"/>
      <c r="E526" s="30"/>
      <c r="F526" s="35"/>
      <c r="G526" s="35"/>
      <c r="H526" s="35" t="str">
        <f t="shared" si="8"/>
        <v/>
      </c>
      <c r="I526" s="29"/>
    </row>
    <row r="527" spans="1:9">
      <c r="A527" s="33"/>
      <c r="B527" s="29"/>
      <c r="C527" s="29"/>
      <c r="D527" s="30"/>
      <c r="E527" s="30"/>
      <c r="F527" s="35"/>
      <c r="G527" s="35"/>
      <c r="H527" s="35" t="str">
        <f t="shared" si="8"/>
        <v/>
      </c>
      <c r="I527" s="29"/>
    </row>
    <row r="528" spans="1:9">
      <c r="A528" s="33"/>
      <c r="B528" s="29"/>
      <c r="C528" s="29"/>
      <c r="D528" s="30"/>
      <c r="E528" s="30"/>
      <c r="F528" s="35"/>
      <c r="G528" s="35"/>
      <c r="H528" s="35" t="str">
        <f t="shared" si="8"/>
        <v/>
      </c>
      <c r="I528" s="29"/>
    </row>
    <row r="529" spans="1:9">
      <c r="A529" s="33"/>
      <c r="B529" s="29"/>
      <c r="C529" s="29"/>
      <c r="D529" s="30"/>
      <c r="E529" s="30"/>
      <c r="F529" s="35"/>
      <c r="G529" s="35"/>
      <c r="H529" s="35" t="str">
        <f t="shared" si="8"/>
        <v/>
      </c>
      <c r="I529" s="29"/>
    </row>
    <row r="530" spans="1:9">
      <c r="A530" s="33"/>
      <c r="B530" s="29"/>
      <c r="C530" s="29"/>
      <c r="D530" s="30"/>
      <c r="E530" s="30"/>
      <c r="F530" s="35"/>
      <c r="G530" s="35"/>
      <c r="H530" s="35" t="str">
        <f t="shared" si="8"/>
        <v/>
      </c>
      <c r="I530" s="29"/>
    </row>
    <row r="531" spans="1:9">
      <c r="A531" s="33"/>
      <c r="B531" s="29"/>
      <c r="C531" s="29"/>
      <c r="D531" s="30"/>
      <c r="E531" s="30"/>
      <c r="F531" s="35"/>
      <c r="G531" s="35"/>
      <c r="H531" s="35" t="str">
        <f t="shared" si="8"/>
        <v/>
      </c>
      <c r="I531" s="29"/>
    </row>
    <row r="532" spans="1:9">
      <c r="A532" s="33"/>
      <c r="B532" s="29"/>
      <c r="C532" s="29"/>
      <c r="D532" s="30"/>
      <c r="E532" s="30"/>
      <c r="F532" s="35"/>
      <c r="G532" s="35"/>
      <c r="H532" s="35" t="str">
        <f t="shared" si="8"/>
        <v/>
      </c>
      <c r="I532" s="29"/>
    </row>
    <row r="533" spans="1:9">
      <c r="A533" s="33"/>
      <c r="B533" s="29"/>
      <c r="C533" s="29"/>
      <c r="D533" s="30"/>
      <c r="E533" s="30"/>
      <c r="F533" s="35"/>
      <c r="G533" s="35"/>
      <c r="H533" s="35" t="str">
        <f t="shared" si="8"/>
        <v/>
      </c>
      <c r="I533" s="29"/>
    </row>
    <row r="534" spans="1:9">
      <c r="A534" s="33"/>
      <c r="B534" s="29"/>
      <c r="C534" s="29"/>
      <c r="D534" s="30"/>
      <c r="E534" s="30"/>
      <c r="F534" s="35"/>
      <c r="G534" s="35"/>
      <c r="H534" s="35" t="str">
        <f t="shared" si="8"/>
        <v/>
      </c>
      <c r="I534" s="29"/>
    </row>
    <row r="535" spans="1:9">
      <c r="A535" s="33"/>
      <c r="B535" s="29"/>
      <c r="C535" s="29"/>
      <c r="D535" s="30"/>
      <c r="E535" s="30"/>
      <c r="F535" s="35"/>
      <c r="G535" s="35"/>
      <c r="H535" s="35" t="str">
        <f t="shared" si="8"/>
        <v/>
      </c>
      <c r="I535" s="29"/>
    </row>
    <row r="536" spans="1:9">
      <c r="A536" s="33"/>
      <c r="B536" s="29"/>
      <c r="C536" s="29"/>
      <c r="D536" s="30"/>
      <c r="E536" s="30"/>
      <c r="F536" s="35"/>
      <c r="G536" s="35"/>
      <c r="H536" s="35" t="str">
        <f t="shared" si="8"/>
        <v/>
      </c>
      <c r="I536" s="29"/>
    </row>
    <row r="537" spans="1:9">
      <c r="A537" s="33"/>
      <c r="B537" s="29"/>
      <c r="C537" s="29"/>
      <c r="D537" s="30"/>
      <c r="E537" s="30"/>
      <c r="F537" s="35"/>
      <c r="G537" s="35"/>
      <c r="H537" s="35" t="str">
        <f t="shared" si="8"/>
        <v/>
      </c>
      <c r="I537" s="29"/>
    </row>
    <row r="538" spans="1:9">
      <c r="A538" s="33"/>
      <c r="B538" s="29"/>
      <c r="C538" s="29"/>
      <c r="D538" s="30"/>
      <c r="E538" s="30"/>
      <c r="F538" s="35"/>
      <c r="G538" s="35"/>
      <c r="H538" s="35" t="str">
        <f t="shared" si="8"/>
        <v/>
      </c>
      <c r="I538" s="29"/>
    </row>
    <row r="539" spans="1:9">
      <c r="A539" s="33"/>
      <c r="B539" s="29"/>
      <c r="C539" s="29"/>
      <c r="D539" s="30"/>
      <c r="E539" s="30"/>
      <c r="F539" s="35"/>
      <c r="G539" s="35"/>
      <c r="H539" s="35" t="str">
        <f t="shared" si="8"/>
        <v/>
      </c>
      <c r="I539" s="29"/>
    </row>
    <row r="540" spans="1:9">
      <c r="A540" s="33"/>
      <c r="B540" s="29"/>
      <c r="C540" s="29"/>
      <c r="D540" s="30"/>
      <c r="E540" s="30"/>
      <c r="F540" s="35"/>
      <c r="G540" s="35"/>
      <c r="H540" s="35" t="str">
        <f t="shared" si="8"/>
        <v/>
      </c>
      <c r="I540" s="29"/>
    </row>
    <row r="541" spans="1:9">
      <c r="A541" s="33"/>
      <c r="B541" s="29"/>
      <c r="C541" s="29"/>
      <c r="D541" s="30"/>
      <c r="E541" s="30"/>
      <c r="F541" s="35"/>
      <c r="G541" s="35"/>
      <c r="H541" s="35" t="str">
        <f t="shared" si="8"/>
        <v/>
      </c>
      <c r="I541" s="29"/>
    </row>
    <row r="542" spans="1:9">
      <c r="A542" s="33"/>
      <c r="B542" s="29"/>
      <c r="C542" s="29"/>
      <c r="D542" s="30"/>
      <c r="E542" s="30"/>
      <c r="F542" s="35"/>
      <c r="G542" s="35"/>
      <c r="H542" s="35" t="str">
        <f t="shared" si="8"/>
        <v/>
      </c>
      <c r="I542" s="29"/>
    </row>
    <row r="543" spans="1:9">
      <c r="A543" s="33"/>
      <c r="B543" s="29"/>
      <c r="C543" s="29"/>
      <c r="D543" s="30"/>
      <c r="E543" s="30"/>
      <c r="F543" s="35"/>
      <c r="G543" s="35"/>
      <c r="H543" s="35" t="str">
        <f t="shared" si="8"/>
        <v/>
      </c>
      <c r="I543" s="29"/>
    </row>
    <row r="544" spans="1:9">
      <c r="A544" s="33"/>
      <c r="B544" s="29"/>
      <c r="C544" s="29"/>
      <c r="D544" s="30"/>
      <c r="E544" s="30"/>
      <c r="F544" s="35"/>
      <c r="G544" s="35"/>
      <c r="H544" s="35" t="str">
        <f t="shared" si="8"/>
        <v/>
      </c>
      <c r="I544" s="29"/>
    </row>
    <row r="545" spans="1:9">
      <c r="A545" s="33"/>
      <c r="B545" s="29"/>
      <c r="C545" s="29"/>
      <c r="D545" s="30"/>
      <c r="E545" s="30"/>
      <c r="F545" s="35"/>
      <c r="G545" s="35"/>
      <c r="H545" s="35" t="str">
        <f t="shared" si="8"/>
        <v/>
      </c>
      <c r="I545" s="29"/>
    </row>
    <row r="546" spans="1:9">
      <c r="A546" s="33"/>
      <c r="B546" s="29"/>
      <c r="C546" s="29"/>
      <c r="D546" s="30"/>
      <c r="E546" s="30"/>
      <c r="F546" s="35"/>
      <c r="G546" s="35"/>
      <c r="H546" s="35" t="str">
        <f t="shared" si="8"/>
        <v/>
      </c>
      <c r="I546" s="29"/>
    </row>
    <row r="547" spans="1:9">
      <c r="A547" s="33"/>
      <c r="B547" s="29"/>
      <c r="C547" s="29"/>
      <c r="D547" s="30"/>
      <c r="E547" s="30"/>
      <c r="F547" s="35"/>
      <c r="G547" s="35"/>
      <c r="H547" s="35" t="str">
        <f t="shared" si="8"/>
        <v/>
      </c>
      <c r="I547" s="29"/>
    </row>
    <row r="548" spans="1:9">
      <c r="A548" s="33"/>
      <c r="B548" s="29"/>
      <c r="C548" s="29"/>
      <c r="D548" s="30"/>
      <c r="E548" s="30"/>
      <c r="F548" s="35"/>
      <c r="G548" s="35"/>
      <c r="H548" s="35" t="str">
        <f t="shared" si="8"/>
        <v/>
      </c>
      <c r="I548" s="29"/>
    </row>
    <row r="549" spans="1:9">
      <c r="A549" s="33"/>
      <c r="B549" s="29"/>
      <c r="C549" s="29"/>
      <c r="D549" s="30"/>
      <c r="E549" s="30"/>
      <c r="F549" s="35"/>
      <c r="G549" s="35"/>
      <c r="H549" s="35" t="str">
        <f t="shared" si="8"/>
        <v/>
      </c>
      <c r="I549" s="29"/>
    </row>
    <row r="550" spans="1:9">
      <c r="A550" s="33"/>
      <c r="B550" s="29"/>
      <c r="C550" s="29"/>
      <c r="D550" s="30"/>
      <c r="E550" s="30"/>
      <c r="F550" s="35"/>
      <c r="G550" s="35"/>
      <c r="H550" s="35" t="str">
        <f t="shared" si="8"/>
        <v/>
      </c>
      <c r="I550" s="29"/>
    </row>
    <row r="551" spans="1:9">
      <c r="A551" s="33"/>
      <c r="B551" s="29"/>
      <c r="C551" s="29"/>
      <c r="D551" s="30"/>
      <c r="E551" s="30"/>
      <c r="F551" s="35"/>
      <c r="G551" s="35"/>
      <c r="H551" s="35" t="str">
        <f t="shared" si="8"/>
        <v/>
      </c>
      <c r="I551" s="29"/>
    </row>
    <row r="552" spans="1:9">
      <c r="A552" s="33"/>
      <c r="B552" s="29"/>
      <c r="C552" s="29"/>
      <c r="D552" s="30"/>
      <c r="E552" s="30"/>
      <c r="F552" s="35"/>
      <c r="G552" s="35"/>
      <c r="H552" s="35" t="str">
        <f t="shared" si="8"/>
        <v/>
      </c>
      <c r="I552" s="29"/>
    </row>
    <row r="553" spans="1:9">
      <c r="A553" s="33"/>
      <c r="B553" s="29"/>
      <c r="C553" s="29"/>
      <c r="D553" s="30"/>
      <c r="E553" s="30"/>
      <c r="F553" s="35"/>
      <c r="G553" s="35"/>
      <c r="H553" s="35" t="str">
        <f t="shared" si="8"/>
        <v/>
      </c>
      <c r="I553" s="29"/>
    </row>
    <row r="554" spans="1:9">
      <c r="A554" s="33"/>
      <c r="B554" s="29"/>
      <c r="C554" s="29"/>
      <c r="D554" s="30"/>
      <c r="E554" s="30"/>
      <c r="F554" s="35"/>
      <c r="G554" s="35"/>
      <c r="H554" s="35" t="str">
        <f t="shared" si="8"/>
        <v/>
      </c>
      <c r="I554" s="29"/>
    </row>
    <row r="555" spans="1:9">
      <c r="A555" s="33"/>
      <c r="B555" s="29"/>
      <c r="C555" s="29"/>
      <c r="D555" s="30"/>
      <c r="E555" s="30"/>
      <c r="F555" s="35"/>
      <c r="G555" s="35"/>
      <c r="H555" s="35" t="str">
        <f t="shared" si="8"/>
        <v/>
      </c>
      <c r="I555" s="29"/>
    </row>
    <row r="556" spans="1:9">
      <c r="A556" s="33"/>
      <c r="B556" s="29"/>
      <c r="C556" s="29"/>
      <c r="D556" s="30"/>
      <c r="E556" s="30"/>
      <c r="F556" s="35"/>
      <c r="G556" s="35"/>
      <c r="H556" s="35" t="str">
        <f t="shared" si="8"/>
        <v/>
      </c>
      <c r="I556" s="29"/>
    </row>
    <row r="557" spans="1:9">
      <c r="A557" s="33"/>
      <c r="B557" s="29"/>
      <c r="C557" s="29"/>
      <c r="D557" s="30"/>
      <c r="E557" s="30"/>
      <c r="F557" s="35"/>
      <c r="G557" s="35"/>
      <c r="H557" s="35" t="str">
        <f t="shared" si="8"/>
        <v/>
      </c>
      <c r="I557" s="29"/>
    </row>
    <row r="558" spans="1:9">
      <c r="A558" s="33"/>
      <c r="B558" s="29"/>
      <c r="C558" s="29"/>
      <c r="D558" s="30"/>
      <c r="E558" s="30"/>
      <c r="F558" s="35"/>
      <c r="G558" s="35"/>
      <c r="H558" s="35" t="str">
        <f t="shared" si="8"/>
        <v/>
      </c>
      <c r="I558" s="29"/>
    </row>
    <row r="559" spans="1:9">
      <c r="A559" s="33"/>
      <c r="B559" s="29"/>
      <c r="C559" s="29"/>
      <c r="D559" s="30"/>
      <c r="E559" s="30"/>
      <c r="F559" s="35"/>
      <c r="G559" s="35"/>
      <c r="H559" s="35" t="str">
        <f t="shared" si="8"/>
        <v/>
      </c>
      <c r="I559" s="29"/>
    </row>
    <row r="560" spans="1:9">
      <c r="A560" s="33"/>
      <c r="B560" s="29"/>
      <c r="C560" s="29"/>
      <c r="D560" s="30"/>
      <c r="E560" s="30"/>
      <c r="F560" s="35"/>
      <c r="G560" s="35"/>
      <c r="H560" s="35" t="str">
        <f t="shared" si="8"/>
        <v/>
      </c>
      <c r="I560" s="29"/>
    </row>
    <row r="561" spans="1:9">
      <c r="A561" s="33"/>
      <c r="B561" s="29"/>
      <c r="C561" s="29"/>
      <c r="D561" s="30"/>
      <c r="E561" s="30"/>
      <c r="F561" s="35"/>
      <c r="G561" s="35"/>
      <c r="H561" s="35" t="str">
        <f t="shared" si="8"/>
        <v/>
      </c>
      <c r="I561" s="29"/>
    </row>
    <row r="562" spans="1:9">
      <c r="A562" s="33"/>
      <c r="B562" s="29"/>
      <c r="C562" s="29"/>
      <c r="D562" s="30"/>
      <c r="E562" s="30"/>
      <c r="F562" s="35"/>
      <c r="G562" s="35"/>
      <c r="H562" s="35" t="str">
        <f t="shared" si="8"/>
        <v/>
      </c>
      <c r="I562" s="29"/>
    </row>
    <row r="563" spans="1:9">
      <c r="A563" s="33"/>
      <c r="B563" s="29"/>
      <c r="C563" s="29"/>
      <c r="D563" s="30"/>
      <c r="E563" s="30"/>
      <c r="F563" s="35"/>
      <c r="G563" s="35"/>
      <c r="H563" s="35" t="str">
        <f t="shared" si="8"/>
        <v/>
      </c>
      <c r="I563" s="29"/>
    </row>
    <row r="564" spans="1:9">
      <c r="A564" s="33"/>
      <c r="B564" s="29"/>
      <c r="C564" s="29"/>
      <c r="D564" s="30"/>
      <c r="E564" s="30"/>
      <c r="F564" s="35"/>
      <c r="G564" s="35"/>
      <c r="H564" s="35" t="str">
        <f t="shared" si="8"/>
        <v/>
      </c>
      <c r="I564" s="29"/>
    </row>
    <row r="565" spans="1:9">
      <c r="A565" s="33"/>
      <c r="B565" s="29"/>
      <c r="C565" s="29"/>
      <c r="D565" s="30"/>
      <c r="E565" s="30"/>
      <c r="F565" s="35"/>
      <c r="G565" s="35"/>
      <c r="H565" s="35" t="str">
        <f t="shared" si="8"/>
        <v/>
      </c>
      <c r="I565" s="29"/>
    </row>
    <row r="566" spans="1:9">
      <c r="A566" s="33"/>
      <c r="B566" s="29"/>
      <c r="C566" s="29"/>
      <c r="D566" s="30"/>
      <c r="E566" s="30"/>
      <c r="F566" s="35"/>
      <c r="G566" s="35"/>
      <c r="H566" s="35" t="str">
        <f t="shared" si="8"/>
        <v/>
      </c>
      <c r="I566" s="29"/>
    </row>
    <row r="567" spans="1:9">
      <c r="A567" s="33"/>
      <c r="B567" s="29"/>
      <c r="C567" s="29"/>
      <c r="D567" s="30"/>
      <c r="E567" s="30"/>
      <c r="F567" s="35"/>
      <c r="G567" s="35"/>
      <c r="H567" s="35" t="str">
        <f t="shared" si="8"/>
        <v/>
      </c>
      <c r="I567" s="29"/>
    </row>
    <row r="568" spans="1:9">
      <c r="A568" s="33"/>
      <c r="B568" s="29"/>
      <c r="C568" s="29"/>
      <c r="D568" s="30"/>
      <c r="E568" s="30"/>
      <c r="F568" s="35"/>
      <c r="G568" s="35"/>
      <c r="H568" s="35" t="str">
        <f t="shared" si="8"/>
        <v/>
      </c>
      <c r="I568" s="29"/>
    </row>
    <row r="569" spans="1:9">
      <c r="A569" s="33"/>
      <c r="B569" s="29"/>
      <c r="C569" s="29"/>
      <c r="D569" s="30"/>
      <c r="E569" s="30"/>
      <c r="F569" s="35"/>
      <c r="G569" s="35"/>
      <c r="H569" s="35" t="str">
        <f t="shared" si="8"/>
        <v/>
      </c>
      <c r="I569" s="29"/>
    </row>
    <row r="570" spans="1:9">
      <c r="A570" s="33"/>
      <c r="B570" s="29"/>
      <c r="C570" s="29"/>
      <c r="D570" s="30"/>
      <c r="E570" s="30"/>
      <c r="F570" s="35"/>
      <c r="G570" s="35"/>
      <c r="H570" s="35" t="str">
        <f t="shared" si="8"/>
        <v/>
      </c>
      <c r="I570" s="29"/>
    </row>
    <row r="571" spans="1:9">
      <c r="A571" s="33"/>
      <c r="B571" s="29"/>
      <c r="C571" s="29"/>
      <c r="D571" s="30"/>
      <c r="E571" s="30"/>
      <c r="F571" s="35"/>
      <c r="G571" s="35"/>
      <c r="H571" s="35" t="str">
        <f t="shared" si="8"/>
        <v/>
      </c>
      <c r="I571" s="29"/>
    </row>
    <row r="572" spans="1:9">
      <c r="A572" s="33"/>
      <c r="B572" s="29"/>
      <c r="C572" s="29"/>
      <c r="D572" s="30"/>
      <c r="E572" s="30"/>
      <c r="F572" s="35"/>
      <c r="G572" s="35"/>
      <c r="H572" s="35" t="str">
        <f t="shared" si="8"/>
        <v/>
      </c>
      <c r="I572" s="29"/>
    </row>
    <row r="573" spans="1:9">
      <c r="A573" s="33"/>
      <c r="B573" s="29"/>
      <c r="C573" s="29"/>
      <c r="D573" s="30"/>
      <c r="E573" s="30"/>
      <c r="F573" s="35"/>
      <c r="G573" s="35"/>
      <c r="H573" s="35" t="str">
        <f t="shared" si="8"/>
        <v/>
      </c>
      <c r="I573" s="29"/>
    </row>
    <row r="574" spans="1:9">
      <c r="A574" s="33"/>
      <c r="B574" s="29"/>
      <c r="C574" s="29"/>
      <c r="D574" s="30"/>
      <c r="E574" s="30"/>
      <c r="F574" s="35"/>
      <c r="G574" s="35"/>
      <c r="H574" s="35" t="str">
        <f t="shared" si="8"/>
        <v/>
      </c>
      <c r="I574" s="29"/>
    </row>
    <row r="575" spans="1:9">
      <c r="A575" s="33"/>
      <c r="B575" s="29"/>
      <c r="C575" s="29"/>
      <c r="D575" s="30"/>
      <c r="E575" s="30"/>
      <c r="F575" s="35"/>
      <c r="G575" s="35"/>
      <c r="H575" s="35" t="str">
        <f t="shared" si="8"/>
        <v/>
      </c>
      <c r="I575" s="29"/>
    </row>
    <row r="576" spans="1:9">
      <c r="A576" s="33"/>
      <c r="B576" s="29"/>
      <c r="C576" s="29"/>
      <c r="D576" s="30"/>
      <c r="E576" s="30"/>
      <c r="F576" s="35"/>
      <c r="G576" s="35"/>
      <c r="H576" s="35" t="str">
        <f t="shared" si="8"/>
        <v/>
      </c>
      <c r="I576" s="29"/>
    </row>
    <row r="577" spans="1:9">
      <c r="A577" s="33"/>
      <c r="B577" s="29"/>
      <c r="C577" s="29"/>
      <c r="D577" s="30"/>
      <c r="E577" s="30"/>
      <c r="F577" s="35"/>
      <c r="G577" s="35"/>
      <c r="H577" s="35" t="str">
        <f t="shared" si="8"/>
        <v/>
      </c>
      <c r="I577" s="29"/>
    </row>
    <row r="578" spans="1:9">
      <c r="A578" s="33"/>
      <c r="B578" s="29"/>
      <c r="C578" s="29"/>
      <c r="D578" s="30"/>
      <c r="E578" s="30"/>
      <c r="F578" s="35"/>
      <c r="G578" s="35"/>
      <c r="H578" s="35" t="str">
        <f t="shared" si="8"/>
        <v/>
      </c>
      <c r="I578" s="29"/>
    </row>
    <row r="579" spans="1:9">
      <c r="A579" s="33"/>
      <c r="B579" s="29"/>
      <c r="C579" s="29"/>
      <c r="D579" s="30"/>
      <c r="E579" s="30"/>
      <c r="F579" s="35"/>
      <c r="G579" s="35"/>
      <c r="H579" s="35" t="str">
        <f t="shared" si="8"/>
        <v/>
      </c>
      <c r="I579" s="29"/>
    </row>
    <row r="580" spans="1:9">
      <c r="A580" s="33"/>
      <c r="B580" s="29"/>
      <c r="C580" s="29"/>
      <c r="D580" s="30"/>
      <c r="E580" s="30"/>
      <c r="F580" s="35"/>
      <c r="G580" s="35"/>
      <c r="H580" s="35" t="str">
        <f t="shared" ref="H580:H643" si="9">IF(F580="","",F580-G580)</f>
        <v/>
      </c>
      <c r="I580" s="29"/>
    </row>
    <row r="581" spans="1:9">
      <c r="A581" s="33"/>
      <c r="B581" s="29"/>
      <c r="C581" s="29"/>
      <c r="D581" s="30"/>
      <c r="E581" s="30"/>
      <c r="F581" s="35"/>
      <c r="G581" s="35"/>
      <c r="H581" s="35" t="str">
        <f t="shared" si="9"/>
        <v/>
      </c>
      <c r="I581" s="29"/>
    </row>
    <row r="582" spans="1:9">
      <c r="A582" s="33"/>
      <c r="B582" s="29"/>
      <c r="C582" s="29"/>
      <c r="D582" s="30"/>
      <c r="E582" s="30"/>
      <c r="F582" s="35"/>
      <c r="G582" s="35"/>
      <c r="H582" s="35" t="str">
        <f t="shared" si="9"/>
        <v/>
      </c>
      <c r="I582" s="29"/>
    </row>
    <row r="583" spans="1:9">
      <c r="A583" s="33"/>
      <c r="B583" s="29"/>
      <c r="C583" s="29"/>
      <c r="D583" s="30"/>
      <c r="E583" s="30"/>
      <c r="F583" s="35"/>
      <c r="G583" s="35"/>
      <c r="H583" s="35" t="str">
        <f t="shared" si="9"/>
        <v/>
      </c>
      <c r="I583" s="29"/>
    </row>
    <row r="584" spans="1:9">
      <c r="A584" s="33"/>
      <c r="B584" s="29"/>
      <c r="C584" s="29"/>
      <c r="D584" s="30"/>
      <c r="E584" s="30"/>
      <c r="F584" s="35"/>
      <c r="G584" s="35"/>
      <c r="H584" s="35" t="str">
        <f t="shared" si="9"/>
        <v/>
      </c>
      <c r="I584" s="29"/>
    </row>
    <row r="585" spans="1:9">
      <c r="A585" s="33"/>
      <c r="B585" s="29"/>
      <c r="C585" s="29"/>
      <c r="D585" s="30"/>
      <c r="E585" s="30"/>
      <c r="F585" s="35"/>
      <c r="G585" s="35"/>
      <c r="H585" s="35" t="str">
        <f t="shared" si="9"/>
        <v/>
      </c>
      <c r="I585" s="29"/>
    </row>
    <row r="586" spans="1:9">
      <c r="A586" s="33"/>
      <c r="B586" s="29"/>
      <c r="C586" s="29"/>
      <c r="D586" s="30"/>
      <c r="E586" s="30"/>
      <c r="F586" s="35"/>
      <c r="G586" s="35"/>
      <c r="H586" s="35" t="str">
        <f t="shared" si="9"/>
        <v/>
      </c>
      <c r="I586" s="29"/>
    </row>
    <row r="587" spans="1:9">
      <c r="A587" s="33"/>
      <c r="B587" s="29"/>
      <c r="C587" s="29"/>
      <c r="D587" s="30"/>
      <c r="E587" s="30"/>
      <c r="F587" s="35"/>
      <c r="G587" s="35"/>
      <c r="H587" s="35" t="str">
        <f t="shared" si="9"/>
        <v/>
      </c>
      <c r="I587" s="29"/>
    </row>
    <row r="588" spans="1:9">
      <c r="A588" s="33"/>
      <c r="B588" s="29"/>
      <c r="C588" s="29"/>
      <c r="D588" s="30"/>
      <c r="E588" s="30"/>
      <c r="F588" s="35"/>
      <c r="G588" s="35"/>
      <c r="H588" s="35" t="str">
        <f t="shared" si="9"/>
        <v/>
      </c>
      <c r="I588" s="29"/>
    </row>
    <row r="589" spans="1:9">
      <c r="A589" s="33"/>
      <c r="B589" s="29"/>
      <c r="C589" s="29"/>
      <c r="D589" s="30"/>
      <c r="E589" s="30"/>
      <c r="F589" s="35"/>
      <c r="G589" s="35"/>
      <c r="H589" s="35" t="str">
        <f t="shared" si="9"/>
        <v/>
      </c>
      <c r="I589" s="29"/>
    </row>
    <row r="590" spans="1:9">
      <c r="A590" s="33"/>
      <c r="B590" s="29"/>
      <c r="C590" s="29"/>
      <c r="D590" s="30"/>
      <c r="E590" s="30"/>
      <c r="F590" s="35"/>
      <c r="G590" s="35"/>
      <c r="H590" s="35" t="str">
        <f t="shared" si="9"/>
        <v/>
      </c>
      <c r="I590" s="29"/>
    </row>
    <row r="591" spans="1:9">
      <c r="A591" s="33"/>
      <c r="B591" s="29"/>
      <c r="C591" s="29"/>
      <c r="D591" s="30"/>
      <c r="E591" s="30"/>
      <c r="F591" s="35"/>
      <c r="G591" s="35"/>
      <c r="H591" s="35" t="str">
        <f t="shared" si="9"/>
        <v/>
      </c>
      <c r="I591" s="29"/>
    </row>
    <row r="592" spans="1:9">
      <c r="A592" s="33"/>
      <c r="B592" s="29"/>
      <c r="C592" s="29"/>
      <c r="D592" s="30"/>
      <c r="E592" s="30"/>
      <c r="F592" s="35"/>
      <c r="G592" s="35"/>
      <c r="H592" s="35" t="str">
        <f t="shared" si="9"/>
        <v/>
      </c>
      <c r="I592" s="29"/>
    </row>
    <row r="593" spans="1:9">
      <c r="A593" s="33"/>
      <c r="B593" s="29"/>
      <c r="C593" s="29"/>
      <c r="D593" s="30"/>
      <c r="E593" s="30"/>
      <c r="F593" s="35"/>
      <c r="G593" s="35"/>
      <c r="H593" s="35" t="str">
        <f t="shared" si="9"/>
        <v/>
      </c>
      <c r="I593" s="29"/>
    </row>
    <row r="594" spans="1:9">
      <c r="A594" s="33"/>
      <c r="B594" s="29"/>
      <c r="C594" s="29"/>
      <c r="D594" s="30"/>
      <c r="E594" s="30"/>
      <c r="F594" s="35"/>
      <c r="G594" s="35"/>
      <c r="H594" s="35" t="str">
        <f t="shared" si="9"/>
        <v/>
      </c>
      <c r="I594" s="29"/>
    </row>
    <row r="595" spans="1:9">
      <c r="A595" s="33"/>
      <c r="B595" s="29"/>
      <c r="C595" s="29"/>
      <c r="D595" s="30"/>
      <c r="E595" s="30"/>
      <c r="F595" s="35"/>
      <c r="G595" s="35"/>
      <c r="H595" s="35" t="str">
        <f t="shared" si="9"/>
        <v/>
      </c>
      <c r="I595" s="29"/>
    </row>
    <row r="596" spans="1:9">
      <c r="A596" s="33"/>
      <c r="B596" s="29"/>
      <c r="C596" s="29"/>
      <c r="D596" s="30"/>
      <c r="E596" s="30"/>
      <c r="F596" s="35"/>
      <c r="G596" s="35"/>
      <c r="H596" s="35" t="str">
        <f t="shared" si="9"/>
        <v/>
      </c>
      <c r="I596" s="29"/>
    </row>
    <row r="597" spans="1:9">
      <c r="A597" s="33"/>
      <c r="B597" s="29"/>
      <c r="C597" s="29"/>
      <c r="D597" s="30"/>
      <c r="E597" s="30"/>
      <c r="F597" s="35"/>
      <c r="G597" s="35"/>
      <c r="H597" s="35" t="str">
        <f t="shared" si="9"/>
        <v/>
      </c>
      <c r="I597" s="29"/>
    </row>
    <row r="598" spans="1:9">
      <c r="A598" s="33"/>
      <c r="B598" s="29"/>
      <c r="C598" s="29"/>
      <c r="D598" s="30"/>
      <c r="E598" s="30"/>
      <c r="F598" s="35"/>
      <c r="G598" s="35"/>
      <c r="H598" s="35" t="str">
        <f t="shared" si="9"/>
        <v/>
      </c>
      <c r="I598" s="29"/>
    </row>
    <row r="599" spans="1:9">
      <c r="A599" s="33"/>
      <c r="B599" s="29"/>
      <c r="C599" s="29"/>
      <c r="D599" s="30"/>
      <c r="E599" s="30"/>
      <c r="F599" s="35"/>
      <c r="G599" s="35"/>
      <c r="H599" s="35" t="str">
        <f t="shared" si="9"/>
        <v/>
      </c>
      <c r="I599" s="29"/>
    </row>
    <row r="600" spans="1:9">
      <c r="A600" s="33"/>
      <c r="B600" s="29"/>
      <c r="C600" s="29"/>
      <c r="D600" s="30"/>
      <c r="E600" s="30"/>
      <c r="F600" s="35"/>
      <c r="G600" s="35"/>
      <c r="H600" s="35" t="str">
        <f t="shared" si="9"/>
        <v/>
      </c>
      <c r="I600" s="29"/>
    </row>
    <row r="601" spans="1:9">
      <c r="A601" s="33"/>
      <c r="B601" s="29"/>
      <c r="C601" s="29"/>
      <c r="D601" s="30"/>
      <c r="E601" s="30"/>
      <c r="F601" s="35"/>
      <c r="G601" s="35"/>
      <c r="H601" s="35" t="str">
        <f t="shared" si="9"/>
        <v/>
      </c>
      <c r="I601" s="29"/>
    </row>
    <row r="602" spans="1:9">
      <c r="A602" s="33"/>
      <c r="B602" s="29"/>
      <c r="C602" s="29"/>
      <c r="D602" s="30"/>
      <c r="E602" s="30"/>
      <c r="F602" s="35"/>
      <c r="G602" s="35"/>
      <c r="H602" s="35" t="str">
        <f t="shared" si="9"/>
        <v/>
      </c>
      <c r="I602" s="29"/>
    </row>
    <row r="603" spans="1:9">
      <c r="A603" s="33"/>
      <c r="B603" s="29"/>
      <c r="C603" s="29"/>
      <c r="D603" s="30"/>
      <c r="E603" s="30"/>
      <c r="F603" s="35"/>
      <c r="G603" s="35"/>
      <c r="H603" s="35" t="str">
        <f t="shared" si="9"/>
        <v/>
      </c>
      <c r="I603" s="29"/>
    </row>
    <row r="604" spans="1:9">
      <c r="A604" s="33"/>
      <c r="B604" s="29"/>
      <c r="C604" s="29"/>
      <c r="D604" s="30"/>
      <c r="E604" s="30"/>
      <c r="F604" s="35"/>
      <c r="G604" s="35"/>
      <c r="H604" s="35" t="str">
        <f t="shared" si="9"/>
        <v/>
      </c>
      <c r="I604" s="29"/>
    </row>
    <row r="605" spans="1:9">
      <c r="A605" s="33"/>
      <c r="B605" s="29"/>
      <c r="C605" s="29"/>
      <c r="D605" s="30"/>
      <c r="E605" s="30"/>
      <c r="F605" s="35"/>
      <c r="G605" s="35"/>
      <c r="H605" s="35" t="str">
        <f t="shared" si="9"/>
        <v/>
      </c>
      <c r="I605" s="29"/>
    </row>
    <row r="606" spans="1:9">
      <c r="A606" s="33"/>
      <c r="B606" s="29"/>
      <c r="C606" s="29"/>
      <c r="D606" s="30"/>
      <c r="E606" s="30"/>
      <c r="F606" s="35"/>
      <c r="G606" s="35"/>
      <c r="H606" s="35" t="str">
        <f t="shared" si="9"/>
        <v/>
      </c>
      <c r="I606" s="29"/>
    </row>
    <row r="607" spans="1:9">
      <c r="A607" s="33"/>
      <c r="B607" s="29"/>
      <c r="C607" s="29"/>
      <c r="D607" s="30"/>
      <c r="E607" s="30"/>
      <c r="F607" s="35"/>
      <c r="G607" s="35"/>
      <c r="H607" s="35" t="str">
        <f t="shared" si="9"/>
        <v/>
      </c>
      <c r="I607" s="29"/>
    </row>
    <row r="608" spans="1:9">
      <c r="A608" s="33"/>
      <c r="B608" s="29"/>
      <c r="C608" s="29"/>
      <c r="D608" s="30"/>
      <c r="E608" s="30"/>
      <c r="F608" s="35"/>
      <c r="G608" s="35"/>
      <c r="H608" s="35" t="str">
        <f t="shared" si="9"/>
        <v/>
      </c>
      <c r="I608" s="29"/>
    </row>
    <row r="609" spans="1:9">
      <c r="A609" s="33"/>
      <c r="B609" s="29"/>
      <c r="C609" s="29"/>
      <c r="D609" s="30"/>
      <c r="E609" s="30"/>
      <c r="F609" s="35"/>
      <c r="G609" s="35"/>
      <c r="H609" s="35" t="str">
        <f t="shared" si="9"/>
        <v/>
      </c>
      <c r="I609" s="29"/>
    </row>
    <row r="610" spans="1:9">
      <c r="A610" s="33"/>
      <c r="B610" s="29"/>
      <c r="C610" s="29"/>
      <c r="D610" s="30"/>
      <c r="E610" s="30"/>
      <c r="F610" s="35"/>
      <c r="G610" s="35"/>
      <c r="H610" s="35" t="str">
        <f t="shared" si="9"/>
        <v/>
      </c>
      <c r="I610" s="29"/>
    </row>
    <row r="611" spans="1:9">
      <c r="A611" s="33"/>
      <c r="B611" s="29"/>
      <c r="C611" s="29"/>
      <c r="D611" s="30"/>
      <c r="E611" s="30"/>
      <c r="F611" s="35"/>
      <c r="G611" s="35"/>
      <c r="H611" s="35" t="str">
        <f t="shared" si="9"/>
        <v/>
      </c>
      <c r="I611" s="29"/>
    </row>
    <row r="612" spans="1:9">
      <c r="A612" s="33"/>
      <c r="B612" s="29"/>
      <c r="C612" s="29"/>
      <c r="D612" s="30"/>
      <c r="E612" s="30"/>
      <c r="F612" s="35"/>
      <c r="G612" s="35"/>
      <c r="H612" s="35" t="str">
        <f t="shared" si="9"/>
        <v/>
      </c>
      <c r="I612" s="29"/>
    </row>
    <row r="613" spans="1:9">
      <c r="A613" s="33"/>
      <c r="B613" s="29"/>
      <c r="C613" s="29"/>
      <c r="D613" s="30"/>
      <c r="E613" s="30"/>
      <c r="F613" s="35"/>
      <c r="G613" s="35"/>
      <c r="H613" s="35" t="str">
        <f t="shared" si="9"/>
        <v/>
      </c>
      <c r="I613" s="29"/>
    </row>
    <row r="614" spans="1:9">
      <c r="A614" s="33"/>
      <c r="B614" s="29"/>
      <c r="C614" s="29"/>
      <c r="D614" s="30"/>
      <c r="E614" s="30"/>
      <c r="F614" s="35"/>
      <c r="G614" s="35"/>
      <c r="H614" s="35" t="str">
        <f t="shared" si="9"/>
        <v/>
      </c>
      <c r="I614" s="29"/>
    </row>
    <row r="615" spans="1:9">
      <c r="A615" s="33"/>
      <c r="B615" s="29"/>
      <c r="C615" s="29"/>
      <c r="D615" s="30"/>
      <c r="E615" s="30"/>
      <c r="F615" s="35"/>
      <c r="G615" s="35"/>
      <c r="H615" s="35" t="str">
        <f t="shared" si="9"/>
        <v/>
      </c>
      <c r="I615" s="29"/>
    </row>
    <row r="616" spans="1:9">
      <c r="A616" s="33"/>
      <c r="B616" s="29"/>
      <c r="C616" s="29"/>
      <c r="D616" s="30"/>
      <c r="E616" s="30"/>
      <c r="F616" s="35"/>
      <c r="G616" s="35"/>
      <c r="H616" s="35" t="str">
        <f t="shared" si="9"/>
        <v/>
      </c>
      <c r="I616" s="29"/>
    </row>
    <row r="617" spans="1:9">
      <c r="A617" s="33"/>
      <c r="B617" s="29"/>
      <c r="C617" s="29"/>
      <c r="D617" s="30"/>
      <c r="E617" s="30"/>
      <c r="F617" s="35"/>
      <c r="G617" s="35"/>
      <c r="H617" s="35" t="str">
        <f t="shared" si="9"/>
        <v/>
      </c>
      <c r="I617" s="29"/>
    </row>
    <row r="618" spans="1:9">
      <c r="A618" s="33"/>
      <c r="B618" s="29"/>
      <c r="C618" s="29"/>
      <c r="D618" s="30"/>
      <c r="E618" s="30"/>
      <c r="F618" s="35"/>
      <c r="G618" s="35"/>
      <c r="H618" s="35" t="str">
        <f t="shared" si="9"/>
        <v/>
      </c>
      <c r="I618" s="29"/>
    </row>
    <row r="619" spans="1:9">
      <c r="A619" s="33"/>
      <c r="B619" s="29"/>
      <c r="C619" s="29"/>
      <c r="D619" s="30"/>
      <c r="E619" s="30"/>
      <c r="F619" s="35"/>
      <c r="G619" s="35"/>
      <c r="H619" s="35" t="str">
        <f t="shared" si="9"/>
        <v/>
      </c>
      <c r="I619" s="29"/>
    </row>
    <row r="620" spans="1:9">
      <c r="A620" s="33"/>
      <c r="B620" s="29"/>
      <c r="C620" s="29"/>
      <c r="D620" s="30"/>
      <c r="E620" s="30"/>
      <c r="F620" s="35"/>
      <c r="G620" s="35"/>
      <c r="H620" s="35" t="str">
        <f t="shared" si="9"/>
        <v/>
      </c>
      <c r="I620" s="29"/>
    </row>
    <row r="621" spans="1:9">
      <c r="A621" s="33"/>
      <c r="B621" s="29"/>
      <c r="C621" s="29"/>
      <c r="D621" s="30"/>
      <c r="E621" s="30"/>
      <c r="F621" s="35"/>
      <c r="G621" s="35"/>
      <c r="H621" s="35" t="str">
        <f t="shared" si="9"/>
        <v/>
      </c>
      <c r="I621" s="29"/>
    </row>
    <row r="622" spans="1:9">
      <c r="A622" s="33"/>
      <c r="B622" s="29"/>
      <c r="C622" s="29"/>
      <c r="D622" s="30"/>
      <c r="E622" s="30"/>
      <c r="F622" s="35"/>
      <c r="G622" s="35"/>
      <c r="H622" s="35" t="str">
        <f t="shared" si="9"/>
        <v/>
      </c>
      <c r="I622" s="29"/>
    </row>
    <row r="623" spans="1:9">
      <c r="A623" s="33"/>
      <c r="B623" s="29"/>
      <c r="C623" s="29"/>
      <c r="D623" s="30"/>
      <c r="E623" s="30"/>
      <c r="F623" s="35"/>
      <c r="G623" s="35"/>
      <c r="H623" s="35" t="str">
        <f t="shared" si="9"/>
        <v/>
      </c>
      <c r="I623" s="29"/>
    </row>
    <row r="624" spans="1:9">
      <c r="A624" s="33"/>
      <c r="B624" s="29"/>
      <c r="C624" s="29"/>
      <c r="D624" s="30"/>
      <c r="E624" s="30"/>
      <c r="F624" s="35"/>
      <c r="G624" s="35"/>
      <c r="H624" s="35" t="str">
        <f t="shared" si="9"/>
        <v/>
      </c>
      <c r="I624" s="29"/>
    </row>
    <row r="625" spans="1:9">
      <c r="A625" s="33"/>
      <c r="B625" s="29"/>
      <c r="C625" s="29"/>
      <c r="D625" s="30"/>
      <c r="E625" s="30"/>
      <c r="F625" s="35"/>
      <c r="G625" s="35"/>
      <c r="H625" s="35" t="str">
        <f t="shared" si="9"/>
        <v/>
      </c>
      <c r="I625" s="29"/>
    </row>
    <row r="626" spans="1:9">
      <c r="A626" s="33"/>
      <c r="B626" s="29"/>
      <c r="C626" s="29"/>
      <c r="D626" s="30"/>
      <c r="E626" s="30"/>
      <c r="F626" s="35"/>
      <c r="G626" s="35"/>
      <c r="H626" s="35" t="str">
        <f t="shared" si="9"/>
        <v/>
      </c>
      <c r="I626" s="29"/>
    </row>
    <row r="627" spans="1:9">
      <c r="A627" s="33"/>
      <c r="B627" s="29"/>
      <c r="C627" s="29"/>
      <c r="D627" s="30"/>
      <c r="E627" s="30"/>
      <c r="F627" s="35"/>
      <c r="G627" s="35"/>
      <c r="H627" s="35" t="str">
        <f t="shared" si="9"/>
        <v/>
      </c>
      <c r="I627" s="29"/>
    </row>
    <row r="628" spans="1:9">
      <c r="A628" s="33"/>
      <c r="B628" s="29"/>
      <c r="C628" s="29"/>
      <c r="D628" s="30"/>
      <c r="E628" s="30"/>
      <c r="F628" s="35"/>
      <c r="G628" s="35"/>
      <c r="H628" s="35" t="str">
        <f t="shared" si="9"/>
        <v/>
      </c>
      <c r="I628" s="29"/>
    </row>
    <row r="629" spans="1:9">
      <c r="A629" s="33"/>
      <c r="B629" s="29"/>
      <c r="C629" s="29"/>
      <c r="D629" s="30"/>
      <c r="E629" s="30"/>
      <c r="F629" s="35"/>
      <c r="G629" s="35"/>
      <c r="H629" s="35" t="str">
        <f t="shared" si="9"/>
        <v/>
      </c>
      <c r="I629" s="29"/>
    </row>
    <row r="630" spans="1:9">
      <c r="A630" s="33"/>
      <c r="B630" s="29"/>
      <c r="C630" s="29"/>
      <c r="D630" s="30"/>
      <c r="E630" s="30"/>
      <c r="F630" s="35"/>
      <c r="G630" s="35"/>
      <c r="H630" s="35" t="str">
        <f t="shared" si="9"/>
        <v/>
      </c>
      <c r="I630" s="29"/>
    </row>
    <row r="631" spans="1:9">
      <c r="A631" s="33"/>
      <c r="B631" s="29"/>
      <c r="C631" s="29"/>
      <c r="D631" s="30"/>
      <c r="E631" s="30"/>
      <c r="F631" s="35"/>
      <c r="G631" s="35"/>
      <c r="H631" s="35" t="str">
        <f t="shared" si="9"/>
        <v/>
      </c>
      <c r="I631" s="29"/>
    </row>
    <row r="632" spans="1:9">
      <c r="A632" s="33"/>
      <c r="B632" s="29"/>
      <c r="C632" s="29"/>
      <c r="D632" s="30"/>
      <c r="E632" s="30"/>
      <c r="F632" s="35"/>
      <c r="G632" s="35"/>
      <c r="H632" s="35" t="str">
        <f t="shared" si="9"/>
        <v/>
      </c>
      <c r="I632" s="29"/>
    </row>
    <row r="633" spans="1:9">
      <c r="A633" s="33"/>
      <c r="B633" s="29"/>
      <c r="C633" s="29"/>
      <c r="D633" s="30"/>
      <c r="E633" s="30"/>
      <c r="F633" s="35"/>
      <c r="G633" s="35"/>
      <c r="H633" s="35" t="str">
        <f t="shared" si="9"/>
        <v/>
      </c>
      <c r="I633" s="29"/>
    </row>
    <row r="634" spans="1:9">
      <c r="A634" s="33"/>
      <c r="B634" s="29"/>
      <c r="C634" s="29"/>
      <c r="D634" s="30"/>
      <c r="E634" s="30"/>
      <c r="F634" s="35"/>
      <c r="G634" s="35"/>
      <c r="H634" s="35" t="str">
        <f t="shared" si="9"/>
        <v/>
      </c>
      <c r="I634" s="29"/>
    </row>
    <row r="635" spans="1:9">
      <c r="A635" s="33"/>
      <c r="B635" s="29"/>
      <c r="C635" s="29"/>
      <c r="D635" s="30"/>
      <c r="E635" s="30"/>
      <c r="F635" s="35"/>
      <c r="G635" s="35"/>
      <c r="H635" s="35" t="str">
        <f t="shared" si="9"/>
        <v/>
      </c>
      <c r="I635" s="29"/>
    </row>
    <row r="636" spans="1:9">
      <c r="A636" s="33"/>
      <c r="B636" s="29"/>
      <c r="C636" s="29"/>
      <c r="D636" s="30"/>
      <c r="E636" s="30"/>
      <c r="F636" s="35"/>
      <c r="G636" s="35"/>
      <c r="H636" s="35" t="str">
        <f t="shared" si="9"/>
        <v/>
      </c>
      <c r="I636" s="29"/>
    </row>
    <row r="637" spans="1:9">
      <c r="A637" s="33"/>
      <c r="B637" s="29"/>
      <c r="C637" s="29"/>
      <c r="D637" s="30"/>
      <c r="E637" s="30"/>
      <c r="F637" s="35"/>
      <c r="G637" s="35"/>
      <c r="H637" s="35" t="str">
        <f t="shared" si="9"/>
        <v/>
      </c>
      <c r="I637" s="29"/>
    </row>
    <row r="638" spans="1:9">
      <c r="A638" s="33"/>
      <c r="B638" s="29"/>
      <c r="C638" s="29"/>
      <c r="D638" s="30"/>
      <c r="E638" s="30"/>
      <c r="F638" s="35"/>
      <c r="G638" s="35"/>
      <c r="H638" s="35" t="str">
        <f t="shared" si="9"/>
        <v/>
      </c>
      <c r="I638" s="29"/>
    </row>
    <row r="639" spans="1:9">
      <c r="A639" s="33"/>
      <c r="B639" s="29"/>
      <c r="C639" s="29"/>
      <c r="D639" s="30"/>
      <c r="E639" s="30"/>
      <c r="F639" s="35"/>
      <c r="G639" s="35"/>
      <c r="H639" s="35" t="str">
        <f t="shared" si="9"/>
        <v/>
      </c>
      <c r="I639" s="29"/>
    </row>
    <row r="640" spans="1:9">
      <c r="A640" s="33"/>
      <c r="B640" s="29"/>
      <c r="C640" s="29"/>
      <c r="D640" s="30"/>
      <c r="E640" s="30"/>
      <c r="F640" s="35"/>
      <c r="G640" s="35"/>
      <c r="H640" s="35" t="str">
        <f t="shared" si="9"/>
        <v/>
      </c>
      <c r="I640" s="29"/>
    </row>
    <row r="641" spans="1:9">
      <c r="A641" s="33"/>
      <c r="B641" s="29"/>
      <c r="C641" s="29"/>
      <c r="D641" s="30"/>
      <c r="E641" s="30"/>
      <c r="F641" s="35"/>
      <c r="G641" s="35"/>
      <c r="H641" s="35" t="str">
        <f t="shared" si="9"/>
        <v/>
      </c>
      <c r="I641" s="29"/>
    </row>
    <row r="642" spans="1:9">
      <c r="A642" s="33"/>
      <c r="B642" s="29"/>
      <c r="C642" s="29"/>
      <c r="D642" s="30"/>
      <c r="E642" s="30"/>
      <c r="F642" s="35"/>
      <c r="G642" s="35"/>
      <c r="H642" s="35" t="str">
        <f t="shared" si="9"/>
        <v/>
      </c>
      <c r="I642" s="29"/>
    </row>
    <row r="643" spans="1:9">
      <c r="A643" s="33"/>
      <c r="B643" s="29"/>
      <c r="C643" s="29"/>
      <c r="D643" s="30"/>
      <c r="E643" s="30"/>
      <c r="F643" s="35"/>
      <c r="G643" s="35"/>
      <c r="H643" s="35" t="str">
        <f t="shared" si="9"/>
        <v/>
      </c>
      <c r="I643" s="29"/>
    </row>
    <row r="644" spans="1:9">
      <c r="A644" s="33"/>
      <c r="B644" s="29"/>
      <c r="C644" s="29"/>
      <c r="D644" s="30"/>
      <c r="E644" s="30"/>
      <c r="F644" s="35"/>
      <c r="G644" s="35"/>
      <c r="H644" s="35" t="str">
        <f t="shared" ref="H644:H707" si="10">IF(F644="","",F644-G644)</f>
        <v/>
      </c>
      <c r="I644" s="29"/>
    </row>
    <row r="645" spans="1:9">
      <c r="A645" s="33"/>
      <c r="B645" s="29"/>
      <c r="C645" s="29"/>
      <c r="D645" s="30"/>
      <c r="E645" s="30"/>
      <c r="F645" s="35"/>
      <c r="G645" s="35"/>
      <c r="H645" s="35" t="str">
        <f t="shared" si="10"/>
        <v/>
      </c>
      <c r="I645" s="29"/>
    </row>
    <row r="646" spans="1:9">
      <c r="A646" s="33"/>
      <c r="B646" s="29"/>
      <c r="C646" s="29"/>
      <c r="D646" s="30"/>
      <c r="E646" s="30"/>
      <c r="F646" s="35"/>
      <c r="G646" s="35"/>
      <c r="H646" s="35" t="str">
        <f t="shared" si="10"/>
        <v/>
      </c>
      <c r="I646" s="29"/>
    </row>
    <row r="647" spans="1:9">
      <c r="A647" s="33"/>
      <c r="B647" s="29"/>
      <c r="C647" s="29"/>
      <c r="D647" s="30"/>
      <c r="E647" s="30"/>
      <c r="F647" s="35"/>
      <c r="G647" s="35"/>
      <c r="H647" s="35" t="str">
        <f t="shared" si="10"/>
        <v/>
      </c>
      <c r="I647" s="29"/>
    </row>
    <row r="648" spans="1:9">
      <c r="A648" s="33"/>
      <c r="B648" s="29"/>
      <c r="C648" s="29"/>
      <c r="D648" s="30"/>
      <c r="E648" s="30"/>
      <c r="F648" s="35"/>
      <c r="G648" s="35"/>
      <c r="H648" s="35" t="str">
        <f t="shared" si="10"/>
        <v/>
      </c>
      <c r="I648" s="29"/>
    </row>
    <row r="649" spans="1:9">
      <c r="A649" s="33"/>
      <c r="B649" s="29"/>
      <c r="C649" s="29"/>
      <c r="D649" s="30"/>
      <c r="E649" s="30"/>
      <c r="F649" s="35"/>
      <c r="G649" s="35"/>
      <c r="H649" s="35" t="str">
        <f t="shared" si="10"/>
        <v/>
      </c>
      <c r="I649" s="29"/>
    </row>
    <row r="650" spans="1:9">
      <c r="A650" s="33"/>
      <c r="B650" s="29"/>
      <c r="C650" s="29"/>
      <c r="D650" s="30"/>
      <c r="E650" s="30"/>
      <c r="F650" s="35"/>
      <c r="G650" s="35"/>
      <c r="H650" s="35" t="str">
        <f t="shared" si="10"/>
        <v/>
      </c>
      <c r="I650" s="29"/>
    </row>
    <row r="651" spans="1:9">
      <c r="A651" s="33"/>
      <c r="B651" s="29"/>
      <c r="C651" s="29"/>
      <c r="D651" s="30"/>
      <c r="E651" s="30"/>
      <c r="F651" s="35"/>
      <c r="G651" s="35"/>
      <c r="H651" s="35" t="str">
        <f t="shared" si="10"/>
        <v/>
      </c>
      <c r="I651" s="29"/>
    </row>
    <row r="652" spans="1:9">
      <c r="A652" s="33"/>
      <c r="B652" s="29"/>
      <c r="C652" s="29"/>
      <c r="D652" s="30"/>
      <c r="E652" s="30"/>
      <c r="F652" s="35"/>
      <c r="G652" s="35"/>
      <c r="H652" s="35" t="str">
        <f t="shared" si="10"/>
        <v/>
      </c>
      <c r="I652" s="29"/>
    </row>
    <row r="653" spans="1:9">
      <c r="A653" s="33"/>
      <c r="B653" s="29"/>
      <c r="C653" s="29"/>
      <c r="D653" s="30"/>
      <c r="E653" s="30"/>
      <c r="F653" s="35"/>
      <c r="G653" s="35"/>
      <c r="H653" s="35" t="str">
        <f t="shared" si="10"/>
        <v/>
      </c>
      <c r="I653" s="29"/>
    </row>
    <row r="654" spans="1:9">
      <c r="A654" s="33"/>
      <c r="B654" s="29"/>
      <c r="C654" s="29"/>
      <c r="D654" s="30"/>
      <c r="E654" s="30"/>
      <c r="F654" s="35"/>
      <c r="G654" s="35"/>
      <c r="H654" s="35" t="str">
        <f t="shared" si="10"/>
        <v/>
      </c>
      <c r="I654" s="29"/>
    </row>
    <row r="655" spans="1:9">
      <c r="A655" s="33"/>
      <c r="B655" s="29"/>
      <c r="C655" s="29"/>
      <c r="D655" s="30"/>
      <c r="E655" s="30"/>
      <c r="F655" s="35"/>
      <c r="G655" s="35"/>
      <c r="H655" s="35" t="str">
        <f t="shared" si="10"/>
        <v/>
      </c>
      <c r="I655" s="29"/>
    </row>
    <row r="656" spans="1:9">
      <c r="A656" s="33"/>
      <c r="B656" s="29"/>
      <c r="C656" s="29"/>
      <c r="D656" s="30"/>
      <c r="E656" s="30"/>
      <c r="F656" s="35"/>
      <c r="G656" s="35"/>
      <c r="H656" s="35" t="str">
        <f t="shared" si="10"/>
        <v/>
      </c>
      <c r="I656" s="29"/>
    </row>
    <row r="657" spans="1:9">
      <c r="A657" s="33"/>
      <c r="B657" s="29"/>
      <c r="C657" s="29"/>
      <c r="D657" s="30"/>
      <c r="E657" s="30"/>
      <c r="F657" s="35"/>
      <c r="G657" s="35"/>
      <c r="H657" s="35" t="str">
        <f t="shared" si="10"/>
        <v/>
      </c>
      <c r="I657" s="29"/>
    </row>
    <row r="658" spans="1:9">
      <c r="A658" s="33"/>
      <c r="B658" s="29"/>
      <c r="C658" s="29"/>
      <c r="D658" s="30"/>
      <c r="E658" s="30"/>
      <c r="F658" s="35"/>
      <c r="G658" s="35"/>
      <c r="H658" s="35" t="str">
        <f t="shared" si="10"/>
        <v/>
      </c>
      <c r="I658" s="29"/>
    </row>
    <row r="659" spans="1:9">
      <c r="A659" s="33"/>
      <c r="B659" s="29"/>
      <c r="C659" s="29"/>
      <c r="D659" s="30"/>
      <c r="E659" s="30"/>
      <c r="F659" s="35"/>
      <c r="G659" s="35"/>
      <c r="H659" s="35" t="str">
        <f t="shared" si="10"/>
        <v/>
      </c>
      <c r="I659" s="29"/>
    </row>
    <row r="660" spans="1:9">
      <c r="A660" s="33"/>
      <c r="B660" s="29"/>
      <c r="C660" s="29"/>
      <c r="D660" s="30"/>
      <c r="E660" s="30"/>
      <c r="F660" s="35"/>
      <c r="G660" s="35"/>
      <c r="H660" s="35" t="str">
        <f t="shared" si="10"/>
        <v/>
      </c>
      <c r="I660" s="29"/>
    </row>
    <row r="661" spans="1:9">
      <c r="A661" s="33"/>
      <c r="B661" s="29"/>
      <c r="C661" s="29"/>
      <c r="D661" s="30"/>
      <c r="E661" s="30"/>
      <c r="F661" s="35"/>
      <c r="G661" s="35"/>
      <c r="H661" s="35" t="str">
        <f t="shared" si="10"/>
        <v/>
      </c>
      <c r="I661" s="29"/>
    </row>
    <row r="662" spans="1:9">
      <c r="A662" s="33"/>
      <c r="B662" s="29"/>
      <c r="C662" s="29"/>
      <c r="D662" s="30"/>
      <c r="E662" s="30"/>
      <c r="F662" s="35"/>
      <c r="G662" s="35"/>
      <c r="H662" s="35" t="str">
        <f t="shared" si="10"/>
        <v/>
      </c>
      <c r="I662" s="29"/>
    </row>
    <row r="663" spans="1:9">
      <c r="A663" s="33"/>
      <c r="B663" s="29"/>
      <c r="C663" s="29"/>
      <c r="D663" s="30"/>
      <c r="E663" s="30"/>
      <c r="F663" s="35"/>
      <c r="G663" s="35"/>
      <c r="H663" s="35" t="str">
        <f t="shared" si="10"/>
        <v/>
      </c>
      <c r="I663" s="29"/>
    </row>
    <row r="664" spans="1:9">
      <c r="A664" s="33"/>
      <c r="B664" s="29"/>
      <c r="C664" s="29"/>
      <c r="D664" s="30"/>
      <c r="E664" s="30"/>
      <c r="F664" s="35"/>
      <c r="G664" s="35"/>
      <c r="H664" s="35" t="str">
        <f t="shared" si="10"/>
        <v/>
      </c>
      <c r="I664" s="29"/>
    </row>
    <row r="665" spans="1:9">
      <c r="A665" s="33"/>
      <c r="B665" s="29"/>
      <c r="C665" s="29"/>
      <c r="D665" s="30"/>
      <c r="E665" s="30"/>
      <c r="F665" s="35"/>
      <c r="G665" s="35"/>
      <c r="H665" s="35" t="str">
        <f t="shared" si="10"/>
        <v/>
      </c>
      <c r="I665" s="29"/>
    </row>
    <row r="666" spans="1:9">
      <c r="A666" s="33"/>
      <c r="B666" s="29"/>
      <c r="C666" s="29"/>
      <c r="D666" s="30"/>
      <c r="E666" s="30"/>
      <c r="F666" s="35"/>
      <c r="G666" s="35"/>
      <c r="H666" s="35" t="str">
        <f t="shared" si="10"/>
        <v/>
      </c>
      <c r="I666" s="29"/>
    </row>
    <row r="667" spans="1:9">
      <c r="A667" s="33"/>
      <c r="B667" s="29"/>
      <c r="C667" s="29"/>
      <c r="D667" s="30"/>
      <c r="E667" s="30"/>
      <c r="F667" s="35"/>
      <c r="G667" s="35"/>
      <c r="H667" s="35" t="str">
        <f t="shared" si="10"/>
        <v/>
      </c>
      <c r="I667" s="29"/>
    </row>
    <row r="668" spans="1:9">
      <c r="A668" s="33"/>
      <c r="B668" s="29"/>
      <c r="C668" s="29"/>
      <c r="D668" s="30"/>
      <c r="E668" s="30"/>
      <c r="F668" s="35"/>
      <c r="G668" s="35"/>
      <c r="H668" s="35" t="str">
        <f t="shared" si="10"/>
        <v/>
      </c>
      <c r="I668" s="29"/>
    </row>
    <row r="669" spans="1:9">
      <c r="A669" s="33"/>
      <c r="B669" s="29"/>
      <c r="C669" s="29"/>
      <c r="D669" s="30"/>
      <c r="E669" s="30"/>
      <c r="F669" s="35"/>
      <c r="G669" s="35"/>
      <c r="H669" s="35" t="str">
        <f t="shared" si="10"/>
        <v/>
      </c>
      <c r="I669" s="29"/>
    </row>
    <row r="670" spans="1:9">
      <c r="A670" s="33"/>
      <c r="B670" s="29"/>
      <c r="C670" s="29"/>
      <c r="D670" s="30"/>
      <c r="E670" s="30"/>
      <c r="F670" s="35"/>
      <c r="G670" s="35"/>
      <c r="H670" s="35" t="str">
        <f t="shared" si="10"/>
        <v/>
      </c>
      <c r="I670" s="29"/>
    </row>
    <row r="671" spans="1:9">
      <c r="A671" s="33"/>
      <c r="B671" s="29"/>
      <c r="C671" s="29"/>
      <c r="D671" s="30"/>
      <c r="E671" s="30"/>
      <c r="F671" s="35"/>
      <c r="G671" s="35"/>
      <c r="H671" s="35" t="str">
        <f t="shared" si="10"/>
        <v/>
      </c>
      <c r="I671" s="29"/>
    </row>
    <row r="672" spans="1:9">
      <c r="A672" s="33"/>
      <c r="B672" s="29"/>
      <c r="C672" s="29"/>
      <c r="D672" s="30"/>
      <c r="E672" s="30"/>
      <c r="F672" s="35"/>
      <c r="G672" s="35"/>
      <c r="H672" s="35" t="str">
        <f t="shared" si="10"/>
        <v/>
      </c>
      <c r="I672" s="29"/>
    </row>
    <row r="673" spans="1:9">
      <c r="A673" s="33"/>
      <c r="B673" s="29"/>
      <c r="C673" s="29"/>
      <c r="D673" s="30"/>
      <c r="E673" s="30"/>
      <c r="F673" s="35"/>
      <c r="G673" s="35"/>
      <c r="H673" s="35" t="str">
        <f t="shared" si="10"/>
        <v/>
      </c>
      <c r="I673" s="29"/>
    </row>
    <row r="674" spans="1:9">
      <c r="A674" s="33"/>
      <c r="B674" s="29"/>
      <c r="C674" s="29"/>
      <c r="D674" s="30"/>
      <c r="E674" s="30"/>
      <c r="F674" s="35"/>
      <c r="G674" s="35"/>
      <c r="H674" s="35" t="str">
        <f t="shared" si="10"/>
        <v/>
      </c>
      <c r="I674" s="29"/>
    </row>
    <row r="675" spans="1:9">
      <c r="A675" s="33"/>
      <c r="B675" s="29"/>
      <c r="C675" s="29"/>
      <c r="D675" s="30"/>
      <c r="E675" s="30"/>
      <c r="F675" s="35"/>
      <c r="G675" s="35"/>
      <c r="H675" s="35" t="str">
        <f t="shared" si="10"/>
        <v/>
      </c>
      <c r="I675" s="29"/>
    </row>
    <row r="676" spans="1:9">
      <c r="A676" s="33"/>
      <c r="B676" s="29"/>
      <c r="C676" s="29"/>
      <c r="D676" s="30"/>
      <c r="E676" s="30"/>
      <c r="F676" s="35"/>
      <c r="G676" s="35"/>
      <c r="H676" s="35" t="str">
        <f t="shared" si="10"/>
        <v/>
      </c>
      <c r="I676" s="29"/>
    </row>
    <row r="677" spans="1:9">
      <c r="A677" s="33"/>
      <c r="B677" s="29"/>
      <c r="C677" s="29"/>
      <c r="D677" s="30"/>
      <c r="E677" s="30"/>
      <c r="F677" s="35"/>
      <c r="G677" s="35"/>
      <c r="H677" s="35" t="str">
        <f t="shared" si="10"/>
        <v/>
      </c>
      <c r="I677" s="29"/>
    </row>
    <row r="678" spans="1:9">
      <c r="A678" s="33"/>
      <c r="B678" s="29"/>
      <c r="C678" s="29"/>
      <c r="D678" s="30"/>
      <c r="E678" s="30"/>
      <c r="F678" s="35"/>
      <c r="G678" s="35"/>
      <c r="H678" s="35" t="str">
        <f t="shared" si="10"/>
        <v/>
      </c>
      <c r="I678" s="29"/>
    </row>
    <row r="679" spans="1:9">
      <c r="A679" s="33"/>
      <c r="B679" s="29"/>
      <c r="C679" s="29"/>
      <c r="D679" s="30"/>
      <c r="E679" s="30"/>
      <c r="F679" s="35"/>
      <c r="G679" s="35"/>
      <c r="H679" s="35" t="str">
        <f t="shared" si="10"/>
        <v/>
      </c>
      <c r="I679" s="29"/>
    </row>
    <row r="680" spans="1:9">
      <c r="A680" s="33"/>
      <c r="B680" s="29"/>
      <c r="C680" s="29"/>
      <c r="D680" s="30"/>
      <c r="E680" s="30"/>
      <c r="F680" s="35"/>
      <c r="G680" s="35"/>
      <c r="H680" s="35" t="str">
        <f t="shared" si="10"/>
        <v/>
      </c>
      <c r="I680" s="29"/>
    </row>
    <row r="681" spans="1:9">
      <c r="A681" s="33"/>
      <c r="B681" s="29"/>
      <c r="C681" s="29"/>
      <c r="D681" s="30"/>
      <c r="E681" s="30"/>
      <c r="F681" s="35"/>
      <c r="G681" s="35"/>
      <c r="H681" s="35" t="str">
        <f t="shared" si="10"/>
        <v/>
      </c>
      <c r="I681" s="29"/>
    </row>
    <row r="682" spans="1:9">
      <c r="A682" s="33"/>
      <c r="B682" s="29"/>
      <c r="C682" s="29"/>
      <c r="D682" s="30"/>
      <c r="E682" s="30"/>
      <c r="F682" s="35"/>
      <c r="G682" s="35"/>
      <c r="H682" s="35" t="str">
        <f t="shared" si="10"/>
        <v/>
      </c>
      <c r="I682" s="29"/>
    </row>
    <row r="683" spans="1:9">
      <c r="A683" s="33"/>
      <c r="B683" s="29"/>
      <c r="C683" s="29"/>
      <c r="D683" s="30"/>
      <c r="E683" s="30"/>
      <c r="F683" s="35"/>
      <c r="G683" s="35"/>
      <c r="H683" s="35" t="str">
        <f t="shared" si="10"/>
        <v/>
      </c>
      <c r="I683" s="29"/>
    </row>
    <row r="684" spans="1:9">
      <c r="A684" s="33"/>
      <c r="B684" s="29"/>
      <c r="C684" s="29"/>
      <c r="D684" s="30"/>
      <c r="E684" s="30"/>
      <c r="F684" s="35"/>
      <c r="G684" s="35"/>
      <c r="H684" s="35" t="str">
        <f t="shared" si="10"/>
        <v/>
      </c>
      <c r="I684" s="29"/>
    </row>
    <row r="685" spans="1:9">
      <c r="A685" s="33"/>
      <c r="B685" s="29"/>
      <c r="C685" s="29"/>
      <c r="D685" s="30"/>
      <c r="E685" s="30"/>
      <c r="F685" s="35"/>
      <c r="G685" s="35"/>
      <c r="H685" s="35" t="str">
        <f t="shared" si="10"/>
        <v/>
      </c>
      <c r="I685" s="29"/>
    </row>
    <row r="686" spans="1:9">
      <c r="A686" s="33"/>
      <c r="B686" s="29"/>
      <c r="C686" s="29"/>
      <c r="D686" s="30"/>
      <c r="E686" s="30"/>
      <c r="F686" s="35"/>
      <c r="G686" s="35"/>
      <c r="H686" s="35" t="str">
        <f t="shared" si="10"/>
        <v/>
      </c>
      <c r="I686" s="29"/>
    </row>
    <row r="687" spans="1:9">
      <c r="A687" s="33"/>
      <c r="B687" s="29"/>
      <c r="C687" s="29"/>
      <c r="D687" s="30"/>
      <c r="E687" s="30"/>
      <c r="F687" s="35"/>
      <c r="G687" s="35"/>
      <c r="H687" s="35" t="str">
        <f t="shared" si="10"/>
        <v/>
      </c>
      <c r="I687" s="29"/>
    </row>
    <row r="688" spans="1:9">
      <c r="A688" s="33"/>
      <c r="B688" s="29"/>
      <c r="C688" s="29"/>
      <c r="D688" s="30"/>
      <c r="E688" s="30"/>
      <c r="F688" s="35"/>
      <c r="G688" s="35"/>
      <c r="H688" s="35" t="str">
        <f t="shared" si="10"/>
        <v/>
      </c>
      <c r="I688" s="29"/>
    </row>
    <row r="689" spans="1:9">
      <c r="A689" s="33"/>
      <c r="B689" s="29"/>
      <c r="C689" s="29"/>
      <c r="D689" s="30"/>
      <c r="E689" s="30"/>
      <c r="F689" s="35"/>
      <c r="G689" s="35"/>
      <c r="H689" s="35" t="str">
        <f t="shared" si="10"/>
        <v/>
      </c>
      <c r="I689" s="29"/>
    </row>
    <row r="690" spans="1:9">
      <c r="A690" s="33"/>
      <c r="B690" s="29"/>
      <c r="C690" s="29"/>
      <c r="D690" s="30"/>
      <c r="E690" s="30"/>
      <c r="F690" s="35"/>
      <c r="G690" s="35"/>
      <c r="H690" s="35" t="str">
        <f t="shared" si="10"/>
        <v/>
      </c>
      <c r="I690" s="29"/>
    </row>
    <row r="691" spans="1:9">
      <c r="A691" s="33"/>
      <c r="B691" s="29"/>
      <c r="C691" s="29"/>
      <c r="D691" s="30"/>
      <c r="E691" s="30"/>
      <c r="F691" s="35"/>
      <c r="G691" s="35"/>
      <c r="H691" s="35" t="str">
        <f t="shared" si="10"/>
        <v/>
      </c>
      <c r="I691" s="29"/>
    </row>
    <row r="692" spans="1:9">
      <c r="A692" s="33"/>
      <c r="B692" s="29"/>
      <c r="C692" s="29"/>
      <c r="D692" s="30"/>
      <c r="E692" s="30"/>
      <c r="F692" s="35"/>
      <c r="G692" s="35"/>
      <c r="H692" s="35" t="str">
        <f t="shared" si="10"/>
        <v/>
      </c>
      <c r="I692" s="29"/>
    </row>
    <row r="693" spans="1:9">
      <c r="A693" s="33"/>
      <c r="B693" s="29"/>
      <c r="C693" s="29"/>
      <c r="D693" s="30"/>
      <c r="E693" s="30"/>
      <c r="F693" s="35"/>
      <c r="G693" s="35"/>
      <c r="H693" s="35" t="str">
        <f t="shared" si="10"/>
        <v/>
      </c>
      <c r="I693" s="29"/>
    </row>
    <row r="694" spans="1:9">
      <c r="A694" s="33"/>
      <c r="B694" s="29"/>
      <c r="C694" s="29"/>
      <c r="D694" s="30"/>
      <c r="E694" s="30"/>
      <c r="F694" s="35"/>
      <c r="G694" s="35"/>
      <c r="H694" s="35" t="str">
        <f t="shared" si="10"/>
        <v/>
      </c>
      <c r="I694" s="29"/>
    </row>
    <row r="695" spans="1:9">
      <c r="A695" s="33"/>
      <c r="B695" s="29"/>
      <c r="C695" s="29"/>
      <c r="D695" s="30"/>
      <c r="E695" s="30"/>
      <c r="F695" s="35"/>
      <c r="G695" s="35"/>
      <c r="H695" s="35" t="str">
        <f t="shared" si="10"/>
        <v/>
      </c>
      <c r="I695" s="29"/>
    </row>
    <row r="696" spans="1:9">
      <c r="A696" s="33"/>
      <c r="B696" s="29"/>
      <c r="C696" s="29"/>
      <c r="D696" s="30"/>
      <c r="E696" s="30"/>
      <c r="F696" s="35"/>
      <c r="G696" s="35"/>
      <c r="H696" s="35" t="str">
        <f t="shared" si="10"/>
        <v/>
      </c>
      <c r="I696" s="29"/>
    </row>
    <row r="697" spans="1:9">
      <c r="A697" s="33"/>
      <c r="B697" s="29"/>
      <c r="C697" s="29"/>
      <c r="D697" s="30"/>
      <c r="E697" s="30"/>
      <c r="F697" s="35"/>
      <c r="G697" s="35"/>
      <c r="H697" s="35" t="str">
        <f t="shared" si="10"/>
        <v/>
      </c>
      <c r="I697" s="29"/>
    </row>
    <row r="698" spans="1:9">
      <c r="A698" s="33"/>
      <c r="B698" s="29"/>
      <c r="C698" s="29"/>
      <c r="D698" s="30"/>
      <c r="E698" s="30"/>
      <c r="F698" s="35"/>
      <c r="G698" s="35"/>
      <c r="H698" s="35" t="str">
        <f t="shared" si="10"/>
        <v/>
      </c>
      <c r="I698" s="29"/>
    </row>
    <row r="699" spans="1:9">
      <c r="A699" s="33"/>
      <c r="B699" s="29"/>
      <c r="C699" s="29"/>
      <c r="D699" s="30"/>
      <c r="E699" s="30"/>
      <c r="F699" s="35"/>
      <c r="G699" s="35"/>
      <c r="H699" s="35" t="str">
        <f t="shared" si="10"/>
        <v/>
      </c>
      <c r="I699" s="29"/>
    </row>
    <row r="700" spans="1:9">
      <c r="A700" s="33"/>
      <c r="B700" s="29"/>
      <c r="C700" s="29"/>
      <c r="D700" s="30"/>
      <c r="E700" s="30"/>
      <c r="F700" s="35"/>
      <c r="G700" s="35"/>
      <c r="H700" s="35" t="str">
        <f t="shared" si="10"/>
        <v/>
      </c>
      <c r="I700" s="29"/>
    </row>
    <row r="701" spans="1:9">
      <c r="A701" s="33"/>
      <c r="B701" s="29"/>
      <c r="C701" s="29"/>
      <c r="D701" s="30"/>
      <c r="E701" s="30"/>
      <c r="F701" s="35"/>
      <c r="G701" s="35"/>
      <c r="H701" s="35" t="str">
        <f t="shared" si="10"/>
        <v/>
      </c>
      <c r="I701" s="29"/>
    </row>
    <row r="702" spans="1:9">
      <c r="A702" s="33"/>
      <c r="B702" s="29"/>
      <c r="C702" s="29"/>
      <c r="D702" s="30"/>
      <c r="E702" s="30"/>
      <c r="F702" s="35"/>
      <c r="G702" s="35"/>
      <c r="H702" s="35" t="str">
        <f t="shared" si="10"/>
        <v/>
      </c>
      <c r="I702" s="29"/>
    </row>
    <row r="703" spans="1:9">
      <c r="A703" s="33"/>
      <c r="B703" s="29"/>
      <c r="C703" s="29"/>
      <c r="D703" s="30"/>
      <c r="E703" s="30"/>
      <c r="F703" s="35"/>
      <c r="G703" s="35"/>
      <c r="H703" s="35" t="str">
        <f t="shared" si="10"/>
        <v/>
      </c>
      <c r="I703" s="29"/>
    </row>
    <row r="704" spans="1:9">
      <c r="A704" s="33"/>
      <c r="B704" s="29"/>
      <c r="C704" s="29"/>
      <c r="D704" s="30"/>
      <c r="E704" s="30"/>
      <c r="F704" s="35"/>
      <c r="G704" s="35"/>
      <c r="H704" s="35" t="str">
        <f t="shared" si="10"/>
        <v/>
      </c>
      <c r="I704" s="29"/>
    </row>
    <row r="705" spans="1:9">
      <c r="A705" s="33"/>
      <c r="B705" s="29"/>
      <c r="C705" s="29"/>
      <c r="D705" s="30"/>
      <c r="E705" s="30"/>
      <c r="F705" s="35"/>
      <c r="G705" s="35"/>
      <c r="H705" s="35" t="str">
        <f t="shared" si="10"/>
        <v/>
      </c>
      <c r="I705" s="29"/>
    </row>
    <row r="706" spans="1:9">
      <c r="A706" s="33"/>
      <c r="B706" s="29"/>
      <c r="C706" s="29"/>
      <c r="D706" s="30"/>
      <c r="E706" s="30"/>
      <c r="F706" s="35"/>
      <c r="G706" s="35"/>
      <c r="H706" s="35" t="str">
        <f t="shared" si="10"/>
        <v/>
      </c>
      <c r="I706" s="29"/>
    </row>
    <row r="707" spans="1:9">
      <c r="A707" s="33"/>
      <c r="B707" s="29"/>
      <c r="C707" s="29"/>
      <c r="D707" s="30"/>
      <c r="E707" s="30"/>
      <c r="F707" s="35"/>
      <c r="G707" s="35"/>
      <c r="H707" s="35" t="str">
        <f t="shared" si="10"/>
        <v/>
      </c>
      <c r="I707" s="29"/>
    </row>
    <row r="708" spans="1:9">
      <c r="A708" s="33"/>
      <c r="B708" s="29"/>
      <c r="C708" s="29"/>
      <c r="D708" s="30"/>
      <c r="E708" s="30"/>
      <c r="F708" s="35"/>
      <c r="G708" s="35"/>
      <c r="H708" s="35" t="str">
        <f t="shared" ref="H708:H771" si="11">IF(F708="","",F708-G708)</f>
        <v/>
      </c>
      <c r="I708" s="29"/>
    </row>
    <row r="709" spans="1:9">
      <c r="A709" s="33"/>
      <c r="B709" s="29"/>
      <c r="C709" s="29"/>
      <c r="D709" s="30"/>
      <c r="E709" s="30"/>
      <c r="F709" s="35"/>
      <c r="G709" s="35"/>
      <c r="H709" s="35" t="str">
        <f t="shared" si="11"/>
        <v/>
      </c>
      <c r="I709" s="29"/>
    </row>
    <row r="710" spans="1:9">
      <c r="A710" s="33"/>
      <c r="B710" s="29"/>
      <c r="C710" s="29"/>
      <c r="D710" s="30"/>
      <c r="E710" s="30"/>
      <c r="F710" s="35"/>
      <c r="G710" s="35"/>
      <c r="H710" s="35" t="str">
        <f t="shared" si="11"/>
        <v/>
      </c>
      <c r="I710" s="29"/>
    </row>
    <row r="711" spans="1:9">
      <c r="A711" s="33"/>
      <c r="B711" s="29"/>
      <c r="C711" s="29"/>
      <c r="D711" s="30"/>
      <c r="E711" s="30"/>
      <c r="F711" s="35"/>
      <c r="G711" s="35"/>
      <c r="H711" s="35" t="str">
        <f t="shared" si="11"/>
        <v/>
      </c>
      <c r="I711" s="29"/>
    </row>
    <row r="712" spans="1:9">
      <c r="A712" s="33"/>
      <c r="B712" s="29"/>
      <c r="C712" s="29"/>
      <c r="D712" s="30"/>
      <c r="E712" s="30"/>
      <c r="F712" s="35"/>
      <c r="G712" s="35"/>
      <c r="H712" s="35" t="str">
        <f t="shared" si="11"/>
        <v/>
      </c>
      <c r="I712" s="29"/>
    </row>
    <row r="713" spans="1:9">
      <c r="A713" s="33"/>
      <c r="B713" s="29"/>
      <c r="C713" s="29"/>
      <c r="D713" s="30"/>
      <c r="E713" s="30"/>
      <c r="F713" s="35"/>
      <c r="G713" s="35"/>
      <c r="H713" s="35" t="str">
        <f t="shared" si="11"/>
        <v/>
      </c>
      <c r="I713" s="29"/>
    </row>
    <row r="714" spans="1:9">
      <c r="A714" s="33"/>
      <c r="B714" s="29"/>
      <c r="C714" s="29"/>
      <c r="D714" s="30"/>
      <c r="E714" s="30"/>
      <c r="F714" s="35"/>
      <c r="G714" s="35"/>
      <c r="H714" s="35" t="str">
        <f t="shared" si="11"/>
        <v/>
      </c>
      <c r="I714" s="29"/>
    </row>
    <row r="715" spans="1:9">
      <c r="A715" s="33"/>
      <c r="B715" s="29"/>
      <c r="C715" s="29"/>
      <c r="D715" s="30"/>
      <c r="E715" s="30"/>
      <c r="F715" s="35"/>
      <c r="G715" s="35"/>
      <c r="H715" s="35" t="str">
        <f t="shared" si="11"/>
        <v/>
      </c>
      <c r="I715" s="29"/>
    </row>
    <row r="716" spans="1:9">
      <c r="A716" s="33"/>
      <c r="B716" s="29"/>
      <c r="C716" s="29"/>
      <c r="D716" s="30"/>
      <c r="E716" s="30"/>
      <c r="F716" s="35"/>
      <c r="G716" s="35"/>
      <c r="H716" s="35" t="str">
        <f t="shared" si="11"/>
        <v/>
      </c>
      <c r="I716" s="29"/>
    </row>
    <row r="717" spans="1:9">
      <c r="A717" s="33"/>
      <c r="B717" s="29"/>
      <c r="C717" s="29"/>
      <c r="D717" s="30"/>
      <c r="E717" s="30"/>
      <c r="F717" s="35"/>
      <c r="G717" s="35"/>
      <c r="H717" s="35" t="str">
        <f t="shared" si="11"/>
        <v/>
      </c>
      <c r="I717" s="29"/>
    </row>
    <row r="718" spans="1:9">
      <c r="A718" s="33"/>
      <c r="B718" s="29"/>
      <c r="C718" s="29"/>
      <c r="D718" s="30"/>
      <c r="E718" s="30"/>
      <c r="F718" s="35"/>
      <c r="G718" s="35"/>
      <c r="H718" s="35" t="str">
        <f t="shared" si="11"/>
        <v/>
      </c>
      <c r="I718" s="29"/>
    </row>
    <row r="719" spans="1:9">
      <c r="A719" s="33"/>
      <c r="B719" s="29"/>
      <c r="C719" s="29"/>
      <c r="D719" s="30"/>
      <c r="E719" s="30"/>
      <c r="F719" s="35"/>
      <c r="G719" s="35"/>
      <c r="H719" s="35" t="str">
        <f t="shared" si="11"/>
        <v/>
      </c>
      <c r="I719" s="29"/>
    </row>
    <row r="720" spans="1:9">
      <c r="A720" s="33"/>
      <c r="B720" s="29"/>
      <c r="C720" s="29"/>
      <c r="D720" s="30"/>
      <c r="E720" s="30"/>
      <c r="F720" s="35"/>
      <c r="G720" s="35"/>
      <c r="H720" s="35" t="str">
        <f t="shared" si="11"/>
        <v/>
      </c>
      <c r="I720" s="29"/>
    </row>
    <row r="721" spans="1:9">
      <c r="A721" s="33"/>
      <c r="B721" s="29"/>
      <c r="C721" s="29"/>
      <c r="D721" s="30"/>
      <c r="E721" s="30"/>
      <c r="F721" s="35"/>
      <c r="G721" s="35"/>
      <c r="H721" s="35" t="str">
        <f t="shared" si="11"/>
        <v/>
      </c>
      <c r="I721" s="29"/>
    </row>
    <row r="722" spans="1:9">
      <c r="A722" s="33"/>
      <c r="B722" s="29"/>
      <c r="C722" s="29"/>
      <c r="D722" s="30"/>
      <c r="E722" s="30"/>
      <c r="F722" s="35"/>
      <c r="G722" s="35"/>
      <c r="H722" s="35" t="str">
        <f t="shared" si="11"/>
        <v/>
      </c>
      <c r="I722" s="29"/>
    </row>
    <row r="723" spans="1:9">
      <c r="A723" s="33"/>
      <c r="B723" s="29"/>
      <c r="C723" s="29"/>
      <c r="D723" s="30"/>
      <c r="E723" s="30"/>
      <c r="F723" s="35"/>
      <c r="G723" s="35"/>
      <c r="H723" s="35" t="str">
        <f t="shared" si="11"/>
        <v/>
      </c>
      <c r="I723" s="29"/>
    </row>
    <row r="724" spans="1:9">
      <c r="A724" s="33"/>
      <c r="B724" s="29"/>
      <c r="C724" s="29"/>
      <c r="D724" s="30"/>
      <c r="E724" s="30"/>
      <c r="F724" s="35"/>
      <c r="G724" s="35"/>
      <c r="H724" s="35" t="str">
        <f t="shared" si="11"/>
        <v/>
      </c>
      <c r="I724" s="29"/>
    </row>
    <row r="725" spans="1:9">
      <c r="A725" s="33"/>
      <c r="B725" s="29"/>
      <c r="C725" s="29"/>
      <c r="D725" s="30"/>
      <c r="E725" s="30"/>
      <c r="F725" s="35"/>
      <c r="G725" s="35"/>
      <c r="H725" s="35" t="str">
        <f t="shared" si="11"/>
        <v/>
      </c>
      <c r="I725" s="29"/>
    </row>
    <row r="726" spans="1:9">
      <c r="A726" s="33"/>
      <c r="B726" s="29"/>
      <c r="C726" s="29"/>
      <c r="D726" s="30"/>
      <c r="E726" s="30"/>
      <c r="F726" s="35"/>
      <c r="G726" s="35"/>
      <c r="H726" s="35" t="str">
        <f t="shared" si="11"/>
        <v/>
      </c>
      <c r="I726" s="29"/>
    </row>
    <row r="727" spans="1:9">
      <c r="A727" s="33"/>
      <c r="B727" s="29"/>
      <c r="C727" s="29"/>
      <c r="D727" s="30"/>
      <c r="E727" s="30"/>
      <c r="F727" s="35"/>
      <c r="G727" s="35"/>
      <c r="H727" s="35" t="str">
        <f t="shared" si="11"/>
        <v/>
      </c>
      <c r="I727" s="29"/>
    </row>
    <row r="728" spans="1:9">
      <c r="A728" s="33"/>
      <c r="B728" s="29"/>
      <c r="C728" s="29"/>
      <c r="D728" s="30"/>
      <c r="E728" s="30"/>
      <c r="F728" s="35"/>
      <c r="G728" s="35"/>
      <c r="H728" s="35" t="str">
        <f t="shared" si="11"/>
        <v/>
      </c>
      <c r="I728" s="29"/>
    </row>
    <row r="729" spans="1:9">
      <c r="A729" s="33"/>
      <c r="B729" s="29"/>
      <c r="C729" s="29"/>
      <c r="D729" s="30"/>
      <c r="E729" s="30"/>
      <c r="F729" s="35"/>
      <c r="G729" s="35"/>
      <c r="H729" s="35" t="str">
        <f t="shared" si="11"/>
        <v/>
      </c>
      <c r="I729" s="29"/>
    </row>
    <row r="730" spans="1:9">
      <c r="A730" s="33"/>
      <c r="B730" s="29"/>
      <c r="C730" s="29"/>
      <c r="D730" s="30"/>
      <c r="E730" s="30"/>
      <c r="F730" s="35"/>
      <c r="G730" s="35"/>
      <c r="H730" s="35" t="str">
        <f t="shared" si="11"/>
        <v/>
      </c>
      <c r="I730" s="29"/>
    </row>
    <row r="731" spans="1:9">
      <c r="A731" s="33"/>
      <c r="B731" s="29"/>
      <c r="C731" s="29"/>
      <c r="D731" s="30"/>
      <c r="E731" s="30"/>
      <c r="F731" s="35"/>
      <c r="G731" s="35"/>
      <c r="H731" s="35" t="str">
        <f t="shared" si="11"/>
        <v/>
      </c>
      <c r="I731" s="29"/>
    </row>
    <row r="732" spans="1:9">
      <c r="A732" s="33"/>
      <c r="B732" s="29"/>
      <c r="C732" s="29"/>
      <c r="D732" s="30"/>
      <c r="E732" s="30"/>
      <c r="F732" s="35"/>
      <c r="G732" s="35"/>
      <c r="H732" s="35" t="str">
        <f t="shared" si="11"/>
        <v/>
      </c>
      <c r="I732" s="29"/>
    </row>
    <row r="733" spans="1:9">
      <c r="A733" s="33"/>
      <c r="B733" s="29"/>
      <c r="C733" s="29"/>
      <c r="D733" s="30"/>
      <c r="E733" s="30"/>
      <c r="F733" s="35"/>
      <c r="G733" s="35"/>
      <c r="H733" s="35" t="str">
        <f t="shared" si="11"/>
        <v/>
      </c>
      <c r="I733" s="29"/>
    </row>
    <row r="734" spans="1:9">
      <c r="A734" s="33"/>
      <c r="B734" s="29"/>
      <c r="C734" s="29"/>
      <c r="D734" s="30"/>
      <c r="E734" s="30"/>
      <c r="F734" s="35"/>
      <c r="G734" s="35"/>
      <c r="H734" s="35" t="str">
        <f t="shared" si="11"/>
        <v/>
      </c>
      <c r="I734" s="29"/>
    </row>
    <row r="735" spans="1:9">
      <c r="A735" s="33"/>
      <c r="B735" s="29"/>
      <c r="C735" s="29"/>
      <c r="D735" s="30"/>
      <c r="E735" s="30"/>
      <c r="F735" s="35"/>
      <c r="G735" s="35"/>
      <c r="H735" s="35" t="str">
        <f t="shared" si="11"/>
        <v/>
      </c>
      <c r="I735" s="29"/>
    </row>
    <row r="736" spans="1:9">
      <c r="A736" s="33"/>
      <c r="B736" s="29"/>
      <c r="C736" s="29"/>
      <c r="D736" s="30"/>
      <c r="E736" s="30"/>
      <c r="F736" s="35"/>
      <c r="G736" s="35"/>
      <c r="H736" s="35" t="str">
        <f t="shared" si="11"/>
        <v/>
      </c>
      <c r="I736" s="29"/>
    </row>
    <row r="737" spans="1:9">
      <c r="A737" s="33"/>
      <c r="B737" s="29"/>
      <c r="C737" s="29"/>
      <c r="D737" s="30"/>
      <c r="E737" s="30"/>
      <c r="F737" s="35"/>
      <c r="G737" s="35"/>
      <c r="H737" s="35" t="str">
        <f t="shared" si="11"/>
        <v/>
      </c>
      <c r="I737" s="29"/>
    </row>
    <row r="738" spans="1:9">
      <c r="A738" s="33"/>
      <c r="B738" s="29"/>
      <c r="C738" s="29"/>
      <c r="D738" s="30"/>
      <c r="E738" s="30"/>
      <c r="F738" s="35"/>
      <c r="G738" s="35"/>
      <c r="H738" s="35" t="str">
        <f t="shared" si="11"/>
        <v/>
      </c>
      <c r="I738" s="29"/>
    </row>
    <row r="739" spans="1:9">
      <c r="A739" s="33"/>
      <c r="B739" s="29"/>
      <c r="C739" s="29"/>
      <c r="D739" s="30"/>
      <c r="E739" s="30"/>
      <c r="F739" s="35"/>
      <c r="G739" s="35"/>
      <c r="H739" s="35" t="str">
        <f t="shared" si="11"/>
        <v/>
      </c>
      <c r="I739" s="29"/>
    </row>
    <row r="740" spans="1:9">
      <c r="A740" s="33"/>
      <c r="B740" s="29"/>
      <c r="C740" s="29"/>
      <c r="D740" s="30"/>
      <c r="E740" s="30"/>
      <c r="F740" s="35"/>
      <c r="G740" s="35"/>
      <c r="H740" s="35" t="str">
        <f t="shared" si="11"/>
        <v/>
      </c>
      <c r="I740" s="29"/>
    </row>
    <row r="741" spans="1:9">
      <c r="A741" s="33"/>
      <c r="B741" s="29"/>
      <c r="C741" s="29"/>
      <c r="D741" s="30"/>
      <c r="E741" s="30"/>
      <c r="F741" s="35"/>
      <c r="G741" s="35"/>
      <c r="H741" s="35" t="str">
        <f t="shared" si="11"/>
        <v/>
      </c>
      <c r="I741" s="29"/>
    </row>
    <row r="742" spans="1:9">
      <c r="A742" s="33"/>
      <c r="B742" s="29"/>
      <c r="C742" s="29"/>
      <c r="D742" s="30"/>
      <c r="E742" s="30"/>
      <c r="F742" s="35"/>
      <c r="G742" s="35"/>
      <c r="H742" s="35" t="str">
        <f t="shared" si="11"/>
        <v/>
      </c>
      <c r="I742" s="29"/>
    </row>
    <row r="743" spans="1:9">
      <c r="A743" s="33"/>
      <c r="B743" s="29"/>
      <c r="C743" s="29"/>
      <c r="D743" s="30"/>
      <c r="E743" s="30"/>
      <c r="F743" s="35"/>
      <c r="G743" s="35"/>
      <c r="H743" s="35" t="str">
        <f t="shared" si="11"/>
        <v/>
      </c>
      <c r="I743" s="29"/>
    </row>
    <row r="744" spans="1:9">
      <c r="A744" s="33"/>
      <c r="B744" s="29"/>
      <c r="C744" s="29"/>
      <c r="D744" s="30"/>
      <c r="E744" s="30"/>
      <c r="F744" s="35"/>
      <c r="G744" s="35"/>
      <c r="H744" s="35" t="str">
        <f t="shared" si="11"/>
        <v/>
      </c>
      <c r="I744" s="29"/>
    </row>
    <row r="745" spans="1:9">
      <c r="A745" s="33"/>
      <c r="B745" s="29"/>
      <c r="C745" s="29"/>
      <c r="D745" s="30"/>
      <c r="E745" s="30"/>
      <c r="F745" s="35"/>
      <c r="G745" s="35"/>
      <c r="H745" s="35" t="str">
        <f t="shared" si="11"/>
        <v/>
      </c>
      <c r="I745" s="29"/>
    </row>
    <row r="746" spans="1:9">
      <c r="A746" s="33"/>
      <c r="B746" s="29"/>
      <c r="C746" s="29"/>
      <c r="D746" s="30"/>
      <c r="E746" s="30"/>
      <c r="F746" s="35"/>
      <c r="G746" s="35"/>
      <c r="H746" s="35" t="str">
        <f t="shared" si="11"/>
        <v/>
      </c>
      <c r="I746" s="29"/>
    </row>
    <row r="747" spans="1:9">
      <c r="A747" s="33"/>
      <c r="B747" s="29"/>
      <c r="C747" s="29"/>
      <c r="D747" s="30"/>
      <c r="E747" s="30"/>
      <c r="F747" s="35"/>
      <c r="G747" s="35"/>
      <c r="H747" s="35" t="str">
        <f t="shared" si="11"/>
        <v/>
      </c>
      <c r="I747" s="29"/>
    </row>
    <row r="748" spans="1:9">
      <c r="A748" s="33"/>
      <c r="B748" s="29"/>
      <c r="C748" s="29"/>
      <c r="D748" s="30"/>
      <c r="E748" s="30"/>
      <c r="F748" s="35"/>
      <c r="G748" s="35"/>
      <c r="H748" s="35" t="str">
        <f t="shared" si="11"/>
        <v/>
      </c>
      <c r="I748" s="29"/>
    </row>
    <row r="749" spans="1:9">
      <c r="A749" s="33"/>
      <c r="B749" s="29"/>
      <c r="C749" s="29"/>
      <c r="D749" s="30"/>
      <c r="E749" s="30"/>
      <c r="F749" s="35"/>
      <c r="G749" s="35"/>
      <c r="H749" s="35" t="str">
        <f t="shared" si="11"/>
        <v/>
      </c>
      <c r="I749" s="29"/>
    </row>
    <row r="750" spans="1:9">
      <c r="A750" s="33"/>
      <c r="B750" s="29"/>
      <c r="C750" s="29"/>
      <c r="D750" s="30"/>
      <c r="E750" s="30"/>
      <c r="F750" s="35"/>
      <c r="G750" s="35"/>
      <c r="H750" s="35" t="str">
        <f t="shared" si="11"/>
        <v/>
      </c>
      <c r="I750" s="29"/>
    </row>
    <row r="751" spans="1:9">
      <c r="A751" s="33"/>
      <c r="B751" s="29"/>
      <c r="C751" s="29"/>
      <c r="D751" s="30"/>
      <c r="E751" s="30"/>
      <c r="F751" s="35"/>
      <c r="G751" s="35"/>
      <c r="H751" s="35" t="str">
        <f t="shared" si="11"/>
        <v/>
      </c>
      <c r="I751" s="29"/>
    </row>
    <row r="752" spans="1:9">
      <c r="A752" s="33"/>
      <c r="B752" s="29"/>
      <c r="C752" s="29"/>
      <c r="D752" s="30"/>
      <c r="E752" s="30"/>
      <c r="F752" s="35"/>
      <c r="G752" s="35"/>
      <c r="H752" s="35" t="str">
        <f t="shared" si="11"/>
        <v/>
      </c>
      <c r="I752" s="29"/>
    </row>
    <row r="753" spans="1:9">
      <c r="A753" s="33"/>
      <c r="B753" s="29"/>
      <c r="C753" s="29"/>
      <c r="D753" s="30"/>
      <c r="E753" s="30"/>
      <c r="F753" s="35"/>
      <c r="G753" s="35"/>
      <c r="H753" s="35" t="str">
        <f t="shared" si="11"/>
        <v/>
      </c>
      <c r="I753" s="29"/>
    </row>
    <row r="754" spans="1:9">
      <c r="A754" s="33"/>
      <c r="B754" s="29"/>
      <c r="C754" s="29"/>
      <c r="D754" s="30"/>
      <c r="E754" s="30"/>
      <c r="F754" s="35"/>
      <c r="G754" s="35"/>
      <c r="H754" s="35" t="str">
        <f t="shared" si="11"/>
        <v/>
      </c>
      <c r="I754" s="29"/>
    </row>
    <row r="755" spans="1:9">
      <c r="A755" s="33"/>
      <c r="B755" s="29"/>
      <c r="C755" s="29"/>
      <c r="D755" s="30"/>
      <c r="E755" s="30"/>
      <c r="F755" s="35"/>
      <c r="G755" s="35"/>
      <c r="H755" s="35" t="str">
        <f t="shared" si="11"/>
        <v/>
      </c>
      <c r="I755" s="29"/>
    </row>
    <row r="756" spans="1:9">
      <c r="A756" s="33"/>
      <c r="B756" s="29"/>
      <c r="C756" s="29"/>
      <c r="D756" s="30"/>
      <c r="E756" s="30"/>
      <c r="F756" s="35"/>
      <c r="G756" s="35"/>
      <c r="H756" s="35" t="str">
        <f t="shared" si="11"/>
        <v/>
      </c>
      <c r="I756" s="29"/>
    </row>
    <row r="757" spans="1:9">
      <c r="A757" s="33"/>
      <c r="B757" s="29"/>
      <c r="C757" s="29"/>
      <c r="D757" s="30"/>
      <c r="E757" s="30"/>
      <c r="F757" s="35"/>
      <c r="G757" s="35"/>
      <c r="H757" s="35" t="str">
        <f t="shared" si="11"/>
        <v/>
      </c>
      <c r="I757" s="29"/>
    </row>
    <row r="758" spans="1:9">
      <c r="A758" s="33"/>
      <c r="B758" s="29"/>
      <c r="C758" s="29"/>
      <c r="D758" s="30"/>
      <c r="E758" s="30"/>
      <c r="F758" s="35"/>
      <c r="G758" s="35"/>
      <c r="H758" s="35" t="str">
        <f t="shared" si="11"/>
        <v/>
      </c>
      <c r="I758" s="29"/>
    </row>
    <row r="759" spans="1:9">
      <c r="A759" s="33"/>
      <c r="B759" s="29"/>
      <c r="C759" s="29"/>
      <c r="D759" s="30"/>
      <c r="E759" s="30"/>
      <c r="F759" s="35"/>
      <c r="G759" s="35"/>
      <c r="H759" s="35" t="str">
        <f t="shared" si="11"/>
        <v/>
      </c>
      <c r="I759" s="29"/>
    </row>
    <row r="760" spans="1:9">
      <c r="A760" s="33"/>
      <c r="B760" s="29"/>
      <c r="C760" s="29"/>
      <c r="D760" s="30"/>
      <c r="E760" s="30"/>
      <c r="F760" s="35"/>
      <c r="G760" s="35"/>
      <c r="H760" s="35" t="str">
        <f t="shared" si="11"/>
        <v/>
      </c>
      <c r="I760" s="29"/>
    </row>
    <row r="761" spans="1:9">
      <c r="A761" s="33"/>
      <c r="B761" s="29"/>
      <c r="C761" s="29"/>
      <c r="D761" s="30"/>
      <c r="E761" s="30"/>
      <c r="F761" s="35"/>
      <c r="G761" s="35"/>
      <c r="H761" s="35" t="str">
        <f t="shared" si="11"/>
        <v/>
      </c>
      <c r="I761" s="29"/>
    </row>
    <row r="762" spans="1:9">
      <c r="A762" s="33"/>
      <c r="B762" s="29"/>
      <c r="C762" s="29"/>
      <c r="D762" s="30"/>
      <c r="E762" s="30"/>
      <c r="F762" s="35"/>
      <c r="G762" s="35"/>
      <c r="H762" s="35" t="str">
        <f t="shared" si="11"/>
        <v/>
      </c>
      <c r="I762" s="29"/>
    </row>
    <row r="763" spans="1:9">
      <c r="A763" s="33"/>
      <c r="B763" s="29"/>
      <c r="C763" s="29"/>
      <c r="D763" s="30"/>
      <c r="E763" s="30"/>
      <c r="F763" s="35"/>
      <c r="G763" s="35"/>
      <c r="H763" s="35" t="str">
        <f t="shared" si="11"/>
        <v/>
      </c>
      <c r="I763" s="29"/>
    </row>
    <row r="764" spans="1:9">
      <c r="A764" s="33"/>
      <c r="B764" s="29"/>
      <c r="C764" s="29"/>
      <c r="D764" s="30"/>
      <c r="E764" s="30"/>
      <c r="F764" s="35"/>
      <c r="G764" s="35"/>
      <c r="H764" s="35" t="str">
        <f t="shared" si="11"/>
        <v/>
      </c>
      <c r="I764" s="29"/>
    </row>
    <row r="765" spans="1:9">
      <c r="A765" s="33"/>
      <c r="B765" s="29"/>
      <c r="C765" s="29"/>
      <c r="D765" s="30"/>
      <c r="E765" s="30"/>
      <c r="F765" s="35"/>
      <c r="G765" s="35"/>
      <c r="H765" s="35" t="str">
        <f t="shared" si="11"/>
        <v/>
      </c>
      <c r="I765" s="29"/>
    </row>
    <row r="766" spans="1:9">
      <c r="A766" s="33"/>
      <c r="B766" s="29"/>
      <c r="C766" s="29"/>
      <c r="D766" s="30"/>
      <c r="E766" s="30"/>
      <c r="F766" s="35"/>
      <c r="G766" s="35"/>
      <c r="H766" s="35" t="str">
        <f t="shared" si="11"/>
        <v/>
      </c>
      <c r="I766" s="29"/>
    </row>
    <row r="767" spans="1:9">
      <c r="A767" s="33"/>
      <c r="B767" s="29"/>
      <c r="C767" s="29"/>
      <c r="D767" s="30"/>
      <c r="E767" s="30"/>
      <c r="F767" s="35"/>
      <c r="G767" s="35"/>
      <c r="H767" s="35" t="str">
        <f t="shared" si="11"/>
        <v/>
      </c>
      <c r="I767" s="29"/>
    </row>
    <row r="768" spans="1:9">
      <c r="A768" s="33"/>
      <c r="B768" s="29"/>
      <c r="C768" s="29"/>
      <c r="D768" s="30"/>
      <c r="E768" s="30"/>
      <c r="F768" s="35"/>
      <c r="G768" s="35"/>
      <c r="H768" s="35" t="str">
        <f t="shared" si="11"/>
        <v/>
      </c>
      <c r="I768" s="29"/>
    </row>
    <row r="769" spans="1:9">
      <c r="A769" s="33"/>
      <c r="B769" s="29"/>
      <c r="C769" s="29"/>
      <c r="D769" s="30"/>
      <c r="E769" s="30"/>
      <c r="F769" s="35"/>
      <c r="G769" s="35"/>
      <c r="H769" s="35" t="str">
        <f t="shared" si="11"/>
        <v/>
      </c>
      <c r="I769" s="29"/>
    </row>
    <row r="770" spans="1:9">
      <c r="A770" s="33"/>
      <c r="B770" s="29"/>
      <c r="C770" s="29"/>
      <c r="D770" s="30"/>
      <c r="E770" s="30"/>
      <c r="F770" s="35"/>
      <c r="G770" s="35"/>
      <c r="H770" s="35" t="str">
        <f t="shared" si="11"/>
        <v/>
      </c>
      <c r="I770" s="29"/>
    </row>
    <row r="771" spans="1:9">
      <c r="A771" s="33"/>
      <c r="B771" s="29"/>
      <c r="C771" s="29"/>
      <c r="D771" s="30"/>
      <c r="E771" s="30"/>
      <c r="F771" s="35"/>
      <c r="G771" s="35"/>
      <c r="H771" s="35" t="str">
        <f t="shared" si="11"/>
        <v/>
      </c>
      <c r="I771" s="29"/>
    </row>
    <row r="772" spans="1:9">
      <c r="A772" s="33"/>
      <c r="B772" s="29"/>
      <c r="C772" s="29"/>
      <c r="D772" s="30"/>
      <c r="E772" s="30"/>
      <c r="F772" s="35"/>
      <c r="G772" s="35"/>
      <c r="H772" s="35" t="str">
        <f t="shared" ref="H772:H835" si="12">IF(F772="","",F772-G772)</f>
        <v/>
      </c>
      <c r="I772" s="29"/>
    </row>
    <row r="773" spans="1:9">
      <c r="A773" s="33"/>
      <c r="B773" s="29"/>
      <c r="C773" s="29"/>
      <c r="D773" s="30"/>
      <c r="E773" s="30"/>
      <c r="F773" s="35"/>
      <c r="G773" s="35"/>
      <c r="H773" s="35" t="str">
        <f t="shared" si="12"/>
        <v/>
      </c>
      <c r="I773" s="29"/>
    </row>
    <row r="774" spans="1:9">
      <c r="A774" s="33"/>
      <c r="B774" s="29"/>
      <c r="C774" s="29"/>
      <c r="D774" s="30"/>
      <c r="E774" s="30"/>
      <c r="F774" s="35"/>
      <c r="G774" s="35"/>
      <c r="H774" s="35" t="str">
        <f t="shared" si="12"/>
        <v/>
      </c>
      <c r="I774" s="29"/>
    </row>
    <row r="775" spans="1:9">
      <c r="A775" s="33"/>
      <c r="B775" s="29"/>
      <c r="C775" s="29"/>
      <c r="D775" s="30"/>
      <c r="E775" s="30"/>
      <c r="F775" s="35"/>
      <c r="G775" s="35"/>
      <c r="H775" s="35" t="str">
        <f t="shared" si="12"/>
        <v/>
      </c>
      <c r="I775" s="29"/>
    </row>
    <row r="776" spans="1:9">
      <c r="A776" s="33"/>
      <c r="B776" s="29"/>
      <c r="C776" s="29"/>
      <c r="D776" s="30"/>
      <c r="E776" s="30"/>
      <c r="F776" s="35"/>
      <c r="G776" s="35"/>
      <c r="H776" s="35" t="str">
        <f t="shared" si="12"/>
        <v/>
      </c>
      <c r="I776" s="29"/>
    </row>
    <row r="777" spans="1:9">
      <c r="A777" s="33"/>
      <c r="B777" s="29"/>
      <c r="C777" s="29"/>
      <c r="D777" s="30"/>
      <c r="E777" s="30"/>
      <c r="F777" s="35"/>
      <c r="G777" s="35"/>
      <c r="H777" s="35" t="str">
        <f t="shared" si="12"/>
        <v/>
      </c>
      <c r="I777" s="29"/>
    </row>
    <row r="778" spans="1:9">
      <c r="A778" s="33"/>
      <c r="B778" s="29"/>
      <c r="C778" s="29"/>
      <c r="D778" s="30"/>
      <c r="E778" s="30"/>
      <c r="F778" s="35"/>
      <c r="G778" s="35"/>
      <c r="H778" s="35" t="str">
        <f t="shared" si="12"/>
        <v/>
      </c>
      <c r="I778" s="29"/>
    </row>
    <row r="779" spans="1:9">
      <c r="A779" s="33"/>
      <c r="B779" s="29"/>
      <c r="C779" s="29"/>
      <c r="D779" s="30"/>
      <c r="E779" s="30"/>
      <c r="F779" s="35"/>
      <c r="G779" s="35"/>
      <c r="H779" s="35" t="str">
        <f t="shared" si="12"/>
        <v/>
      </c>
      <c r="I779" s="29"/>
    </row>
    <row r="780" spans="1:9">
      <c r="A780" s="33"/>
      <c r="B780" s="29"/>
      <c r="C780" s="29"/>
      <c r="D780" s="30"/>
      <c r="E780" s="30"/>
      <c r="F780" s="35"/>
      <c r="G780" s="35"/>
      <c r="H780" s="35" t="str">
        <f t="shared" si="12"/>
        <v/>
      </c>
      <c r="I780" s="29"/>
    </row>
    <row r="781" spans="1:9">
      <c r="A781" s="33"/>
      <c r="B781" s="29"/>
      <c r="C781" s="29"/>
      <c r="D781" s="30"/>
      <c r="E781" s="30"/>
      <c r="F781" s="35"/>
      <c r="G781" s="35"/>
      <c r="H781" s="35" t="str">
        <f t="shared" si="12"/>
        <v/>
      </c>
      <c r="I781" s="29"/>
    </row>
    <row r="782" spans="1:9">
      <c r="A782" s="33"/>
      <c r="B782" s="29"/>
      <c r="C782" s="29"/>
      <c r="D782" s="30"/>
      <c r="E782" s="30"/>
      <c r="F782" s="35"/>
      <c r="G782" s="35"/>
      <c r="H782" s="35" t="str">
        <f t="shared" si="12"/>
        <v/>
      </c>
      <c r="I782" s="29"/>
    </row>
    <row r="783" spans="1:9">
      <c r="A783" s="33"/>
      <c r="B783" s="29"/>
      <c r="C783" s="29"/>
      <c r="D783" s="30"/>
      <c r="E783" s="30"/>
      <c r="F783" s="35"/>
      <c r="G783" s="35"/>
      <c r="H783" s="35" t="str">
        <f t="shared" si="12"/>
        <v/>
      </c>
      <c r="I783" s="29"/>
    </row>
    <row r="784" spans="1:9">
      <c r="A784" s="33"/>
      <c r="B784" s="29"/>
      <c r="C784" s="29"/>
      <c r="D784" s="30"/>
      <c r="E784" s="30"/>
      <c r="F784" s="35"/>
      <c r="G784" s="35"/>
      <c r="H784" s="35" t="str">
        <f t="shared" si="12"/>
        <v/>
      </c>
      <c r="I784" s="29"/>
    </row>
    <row r="785" spans="1:9">
      <c r="A785" s="33"/>
      <c r="B785" s="29"/>
      <c r="C785" s="29"/>
      <c r="D785" s="30"/>
      <c r="E785" s="30"/>
      <c r="F785" s="35"/>
      <c r="G785" s="35"/>
      <c r="H785" s="35" t="str">
        <f t="shared" si="12"/>
        <v/>
      </c>
      <c r="I785" s="29"/>
    </row>
    <row r="786" spans="1:9">
      <c r="A786" s="33"/>
      <c r="B786" s="29"/>
      <c r="C786" s="29"/>
      <c r="D786" s="30"/>
      <c r="E786" s="30"/>
      <c r="F786" s="35"/>
      <c r="G786" s="35"/>
      <c r="H786" s="35" t="str">
        <f t="shared" si="12"/>
        <v/>
      </c>
      <c r="I786" s="29"/>
    </row>
    <row r="787" spans="1:9">
      <c r="A787" s="33"/>
      <c r="B787" s="29"/>
      <c r="C787" s="29"/>
      <c r="D787" s="30"/>
      <c r="E787" s="30"/>
      <c r="F787" s="35"/>
      <c r="G787" s="35"/>
      <c r="H787" s="35" t="str">
        <f t="shared" si="12"/>
        <v/>
      </c>
      <c r="I787" s="29"/>
    </row>
    <row r="788" spans="1:9">
      <c r="A788" s="33"/>
      <c r="B788" s="29"/>
      <c r="C788" s="29"/>
      <c r="D788" s="30"/>
      <c r="E788" s="30"/>
      <c r="F788" s="35"/>
      <c r="G788" s="35"/>
      <c r="H788" s="35" t="str">
        <f t="shared" si="12"/>
        <v/>
      </c>
      <c r="I788" s="29"/>
    </row>
    <row r="789" spans="1:9">
      <c r="A789" s="33"/>
      <c r="B789" s="29"/>
      <c r="C789" s="29"/>
      <c r="D789" s="30"/>
      <c r="E789" s="30"/>
      <c r="F789" s="35"/>
      <c r="G789" s="35"/>
      <c r="H789" s="35" t="str">
        <f t="shared" si="12"/>
        <v/>
      </c>
      <c r="I789" s="29"/>
    </row>
    <row r="790" spans="1:9">
      <c r="A790" s="33"/>
      <c r="B790" s="29"/>
      <c r="C790" s="29"/>
      <c r="D790" s="30"/>
      <c r="E790" s="30"/>
      <c r="F790" s="35"/>
      <c r="G790" s="35"/>
      <c r="H790" s="35" t="str">
        <f t="shared" si="12"/>
        <v/>
      </c>
      <c r="I790" s="29"/>
    </row>
    <row r="791" spans="1:9">
      <c r="A791" s="33"/>
      <c r="B791" s="29"/>
      <c r="C791" s="29"/>
      <c r="D791" s="30"/>
      <c r="E791" s="30"/>
      <c r="F791" s="35"/>
      <c r="G791" s="35"/>
      <c r="H791" s="35" t="str">
        <f t="shared" si="12"/>
        <v/>
      </c>
      <c r="I791" s="29"/>
    </row>
    <row r="792" spans="1:9">
      <c r="A792" s="33"/>
      <c r="B792" s="29"/>
      <c r="C792" s="29"/>
      <c r="D792" s="30"/>
      <c r="E792" s="30"/>
      <c r="F792" s="35"/>
      <c r="G792" s="35"/>
      <c r="H792" s="35" t="str">
        <f t="shared" si="12"/>
        <v/>
      </c>
      <c r="I792" s="29"/>
    </row>
    <row r="793" spans="1:9">
      <c r="A793" s="33"/>
      <c r="B793" s="29"/>
      <c r="C793" s="29"/>
      <c r="D793" s="30"/>
      <c r="E793" s="30"/>
      <c r="F793" s="35"/>
      <c r="G793" s="35"/>
      <c r="H793" s="35" t="str">
        <f t="shared" si="12"/>
        <v/>
      </c>
      <c r="I793" s="29"/>
    </row>
    <row r="794" spans="1:9">
      <c r="A794" s="33"/>
      <c r="B794" s="29"/>
      <c r="C794" s="29"/>
      <c r="D794" s="30"/>
      <c r="E794" s="30"/>
      <c r="F794" s="35"/>
      <c r="G794" s="35"/>
      <c r="H794" s="35" t="str">
        <f t="shared" si="12"/>
        <v/>
      </c>
      <c r="I794" s="29"/>
    </row>
    <row r="795" spans="1:9">
      <c r="A795" s="33"/>
      <c r="B795" s="29"/>
      <c r="C795" s="29"/>
      <c r="D795" s="30"/>
      <c r="E795" s="30"/>
      <c r="F795" s="35"/>
      <c r="G795" s="35"/>
      <c r="H795" s="35" t="str">
        <f t="shared" si="12"/>
        <v/>
      </c>
      <c r="I795" s="29"/>
    </row>
    <row r="796" spans="1:9">
      <c r="A796" s="33"/>
      <c r="B796" s="29"/>
      <c r="C796" s="29"/>
      <c r="D796" s="30"/>
      <c r="E796" s="30"/>
      <c r="F796" s="35"/>
      <c r="G796" s="35"/>
      <c r="H796" s="35" t="str">
        <f t="shared" si="12"/>
        <v/>
      </c>
      <c r="I796" s="29"/>
    </row>
    <row r="797" spans="1:9">
      <c r="A797" s="33"/>
      <c r="B797" s="29"/>
      <c r="C797" s="29"/>
      <c r="D797" s="30"/>
      <c r="E797" s="30"/>
      <c r="F797" s="35"/>
      <c r="G797" s="35"/>
      <c r="H797" s="35" t="str">
        <f t="shared" si="12"/>
        <v/>
      </c>
      <c r="I797" s="29"/>
    </row>
    <row r="798" spans="1:9">
      <c r="A798" s="33"/>
      <c r="B798" s="29"/>
      <c r="C798" s="29"/>
      <c r="D798" s="30"/>
      <c r="E798" s="30"/>
      <c r="F798" s="35"/>
      <c r="G798" s="35"/>
      <c r="H798" s="35" t="str">
        <f t="shared" si="12"/>
        <v/>
      </c>
      <c r="I798" s="29"/>
    </row>
    <row r="799" spans="1:9">
      <c r="A799" s="33"/>
      <c r="B799" s="29"/>
      <c r="C799" s="29"/>
      <c r="D799" s="30"/>
      <c r="E799" s="30"/>
      <c r="F799" s="35"/>
      <c r="G799" s="35"/>
      <c r="H799" s="35" t="str">
        <f t="shared" si="12"/>
        <v/>
      </c>
      <c r="I799" s="29"/>
    </row>
    <row r="800" spans="1:9">
      <c r="A800" s="33"/>
      <c r="B800" s="29"/>
      <c r="C800" s="29"/>
      <c r="D800" s="30"/>
      <c r="E800" s="30"/>
      <c r="F800" s="35"/>
      <c r="G800" s="35"/>
      <c r="H800" s="35" t="str">
        <f t="shared" si="12"/>
        <v/>
      </c>
      <c r="I800" s="29"/>
    </row>
    <row r="801" spans="1:9">
      <c r="A801" s="33"/>
      <c r="B801" s="29"/>
      <c r="C801" s="29"/>
      <c r="D801" s="30"/>
      <c r="E801" s="30"/>
      <c r="F801" s="35"/>
      <c r="G801" s="35"/>
      <c r="H801" s="35" t="str">
        <f t="shared" si="12"/>
        <v/>
      </c>
      <c r="I801" s="29"/>
    </row>
    <row r="802" spans="1:9">
      <c r="A802" s="33"/>
      <c r="B802" s="29"/>
      <c r="C802" s="29"/>
      <c r="D802" s="30"/>
      <c r="E802" s="30"/>
      <c r="F802" s="35"/>
      <c r="G802" s="35"/>
      <c r="H802" s="35" t="str">
        <f t="shared" si="12"/>
        <v/>
      </c>
      <c r="I802" s="29"/>
    </row>
    <row r="803" spans="1:9">
      <c r="A803" s="33"/>
      <c r="B803" s="29"/>
      <c r="C803" s="29"/>
      <c r="D803" s="30"/>
      <c r="E803" s="30"/>
      <c r="F803" s="35"/>
      <c r="G803" s="35"/>
      <c r="H803" s="35" t="str">
        <f t="shared" si="12"/>
        <v/>
      </c>
      <c r="I803" s="29"/>
    </row>
    <row r="804" spans="1:9">
      <c r="A804" s="33"/>
      <c r="B804" s="29"/>
      <c r="C804" s="29"/>
      <c r="D804" s="30"/>
      <c r="E804" s="30"/>
      <c r="F804" s="35"/>
      <c r="G804" s="35"/>
      <c r="H804" s="35" t="str">
        <f t="shared" si="12"/>
        <v/>
      </c>
      <c r="I804" s="29"/>
    </row>
    <row r="805" spans="1:9">
      <c r="A805" s="33"/>
      <c r="B805" s="29"/>
      <c r="C805" s="29"/>
      <c r="D805" s="30"/>
      <c r="E805" s="30"/>
      <c r="F805" s="35"/>
      <c r="G805" s="35"/>
      <c r="H805" s="35" t="str">
        <f t="shared" si="12"/>
        <v/>
      </c>
      <c r="I805" s="29"/>
    </row>
    <row r="806" spans="1:9">
      <c r="A806" s="33"/>
      <c r="B806" s="29"/>
      <c r="C806" s="29"/>
      <c r="D806" s="30"/>
      <c r="E806" s="30"/>
      <c r="F806" s="35"/>
      <c r="G806" s="35"/>
      <c r="H806" s="35" t="str">
        <f t="shared" si="12"/>
        <v/>
      </c>
      <c r="I806" s="29"/>
    </row>
    <row r="807" spans="1:9">
      <c r="A807" s="33"/>
      <c r="B807" s="29"/>
      <c r="C807" s="29"/>
      <c r="D807" s="30"/>
      <c r="E807" s="30"/>
      <c r="F807" s="35"/>
      <c r="G807" s="35"/>
      <c r="H807" s="35" t="str">
        <f t="shared" si="12"/>
        <v/>
      </c>
      <c r="I807" s="29"/>
    </row>
    <row r="808" spans="1:9">
      <c r="A808" s="33"/>
      <c r="B808" s="29"/>
      <c r="C808" s="29"/>
      <c r="D808" s="30"/>
      <c r="E808" s="30"/>
      <c r="F808" s="35"/>
      <c r="G808" s="35"/>
      <c r="H808" s="35" t="str">
        <f t="shared" si="12"/>
        <v/>
      </c>
      <c r="I808" s="29"/>
    </row>
    <row r="809" spans="1:9">
      <c r="A809" s="33"/>
      <c r="B809" s="29"/>
      <c r="C809" s="29"/>
      <c r="D809" s="30"/>
      <c r="E809" s="30"/>
      <c r="F809" s="35"/>
      <c r="G809" s="35"/>
      <c r="H809" s="35" t="str">
        <f t="shared" si="12"/>
        <v/>
      </c>
      <c r="I809" s="29"/>
    </row>
    <row r="810" spans="1:9">
      <c r="A810" s="33"/>
      <c r="B810" s="29"/>
      <c r="C810" s="29"/>
      <c r="D810" s="30"/>
      <c r="E810" s="30"/>
      <c r="F810" s="35"/>
      <c r="G810" s="35"/>
      <c r="H810" s="35" t="str">
        <f t="shared" si="12"/>
        <v/>
      </c>
      <c r="I810" s="29"/>
    </row>
    <row r="811" spans="1:9">
      <c r="A811" s="33"/>
      <c r="B811" s="29"/>
      <c r="C811" s="29"/>
      <c r="D811" s="30"/>
      <c r="E811" s="30"/>
      <c r="F811" s="35"/>
      <c r="G811" s="35"/>
      <c r="H811" s="35" t="str">
        <f t="shared" si="12"/>
        <v/>
      </c>
      <c r="I811" s="29"/>
    </row>
    <row r="812" spans="1:9">
      <c r="A812" s="33"/>
      <c r="B812" s="29"/>
      <c r="C812" s="29"/>
      <c r="D812" s="30"/>
      <c r="E812" s="30"/>
      <c r="F812" s="35"/>
      <c r="G812" s="35"/>
      <c r="H812" s="35" t="str">
        <f t="shared" si="12"/>
        <v/>
      </c>
      <c r="I812" s="29"/>
    </row>
    <row r="813" spans="1:9">
      <c r="A813" s="33"/>
      <c r="B813" s="29"/>
      <c r="C813" s="29"/>
      <c r="D813" s="30"/>
      <c r="E813" s="30"/>
      <c r="F813" s="35"/>
      <c r="G813" s="35"/>
      <c r="H813" s="35" t="str">
        <f t="shared" si="12"/>
        <v/>
      </c>
      <c r="I813" s="29"/>
    </row>
    <row r="814" spans="1:9">
      <c r="A814" s="33"/>
      <c r="B814" s="29"/>
      <c r="C814" s="29"/>
      <c r="D814" s="30"/>
      <c r="E814" s="30"/>
      <c r="F814" s="35"/>
      <c r="G814" s="35"/>
      <c r="H814" s="35" t="str">
        <f t="shared" si="12"/>
        <v/>
      </c>
      <c r="I814" s="29"/>
    </row>
    <row r="815" spans="1:9">
      <c r="A815" s="33"/>
      <c r="B815" s="29"/>
      <c r="C815" s="29"/>
      <c r="D815" s="30"/>
      <c r="E815" s="30"/>
      <c r="F815" s="35"/>
      <c r="G815" s="35"/>
      <c r="H815" s="35" t="str">
        <f t="shared" si="12"/>
        <v/>
      </c>
      <c r="I815" s="29"/>
    </row>
    <row r="816" spans="1:9">
      <c r="A816" s="33"/>
      <c r="B816" s="29"/>
      <c r="C816" s="29"/>
      <c r="D816" s="30"/>
      <c r="E816" s="30"/>
      <c r="F816" s="35"/>
      <c r="G816" s="35"/>
      <c r="H816" s="35" t="str">
        <f t="shared" si="12"/>
        <v/>
      </c>
      <c r="I816" s="29"/>
    </row>
    <row r="817" spans="1:9">
      <c r="A817" s="33"/>
      <c r="B817" s="29"/>
      <c r="C817" s="29"/>
      <c r="D817" s="30"/>
      <c r="E817" s="30"/>
      <c r="F817" s="35"/>
      <c r="G817" s="35"/>
      <c r="H817" s="35" t="str">
        <f t="shared" si="12"/>
        <v/>
      </c>
      <c r="I817" s="29"/>
    </row>
    <row r="818" spans="1:9">
      <c r="A818" s="33"/>
      <c r="B818" s="29"/>
      <c r="C818" s="29"/>
      <c r="D818" s="30"/>
      <c r="E818" s="30"/>
      <c r="F818" s="35"/>
      <c r="G818" s="35"/>
      <c r="H818" s="35" t="str">
        <f t="shared" si="12"/>
        <v/>
      </c>
      <c r="I818" s="29"/>
    </row>
    <row r="819" spans="1:9">
      <c r="A819" s="33"/>
      <c r="B819" s="29"/>
      <c r="C819" s="29"/>
      <c r="D819" s="30"/>
      <c r="E819" s="30"/>
      <c r="F819" s="35"/>
      <c r="G819" s="35"/>
      <c r="H819" s="35" t="str">
        <f t="shared" si="12"/>
        <v/>
      </c>
      <c r="I819" s="29"/>
    </row>
    <row r="820" spans="1:9">
      <c r="A820" s="33"/>
      <c r="B820" s="29"/>
      <c r="C820" s="29"/>
      <c r="D820" s="30"/>
      <c r="E820" s="30"/>
      <c r="F820" s="35"/>
      <c r="G820" s="35"/>
      <c r="H820" s="35" t="str">
        <f t="shared" si="12"/>
        <v/>
      </c>
      <c r="I820" s="29"/>
    </row>
    <row r="821" spans="1:9">
      <c r="A821" s="33"/>
      <c r="B821" s="29"/>
      <c r="C821" s="29"/>
      <c r="D821" s="30"/>
      <c r="E821" s="30"/>
      <c r="F821" s="35"/>
      <c r="G821" s="35"/>
      <c r="H821" s="35" t="str">
        <f t="shared" si="12"/>
        <v/>
      </c>
      <c r="I821" s="29"/>
    </row>
    <row r="822" spans="1:9">
      <c r="A822" s="33"/>
      <c r="B822" s="29"/>
      <c r="C822" s="29"/>
      <c r="D822" s="30"/>
      <c r="E822" s="30"/>
      <c r="F822" s="35"/>
      <c r="G822" s="35"/>
      <c r="H822" s="35" t="str">
        <f t="shared" si="12"/>
        <v/>
      </c>
      <c r="I822" s="29"/>
    </row>
    <row r="823" spans="1:9">
      <c r="A823" s="33"/>
      <c r="B823" s="29"/>
      <c r="C823" s="29"/>
      <c r="D823" s="30"/>
      <c r="E823" s="30"/>
      <c r="F823" s="35"/>
      <c r="G823" s="35"/>
      <c r="H823" s="35" t="str">
        <f t="shared" si="12"/>
        <v/>
      </c>
      <c r="I823" s="29"/>
    </row>
    <row r="824" spans="1:9">
      <c r="A824" s="33"/>
      <c r="B824" s="29"/>
      <c r="C824" s="29"/>
      <c r="D824" s="30"/>
      <c r="E824" s="30"/>
      <c r="F824" s="35"/>
      <c r="G824" s="35"/>
      <c r="H824" s="35" t="str">
        <f t="shared" si="12"/>
        <v/>
      </c>
      <c r="I824" s="29"/>
    </row>
    <row r="825" spans="1:9">
      <c r="A825" s="33"/>
      <c r="B825" s="29"/>
      <c r="C825" s="29"/>
      <c r="D825" s="30"/>
      <c r="E825" s="30"/>
      <c r="F825" s="35"/>
      <c r="G825" s="35"/>
      <c r="H825" s="35" t="str">
        <f t="shared" si="12"/>
        <v/>
      </c>
      <c r="I825" s="29"/>
    </row>
    <row r="826" spans="1:9">
      <c r="A826" s="33"/>
      <c r="B826" s="29"/>
      <c r="C826" s="29"/>
      <c r="D826" s="30"/>
      <c r="E826" s="30"/>
      <c r="F826" s="35"/>
      <c r="G826" s="35"/>
      <c r="H826" s="35" t="str">
        <f t="shared" si="12"/>
        <v/>
      </c>
      <c r="I826" s="29"/>
    </row>
    <row r="827" spans="1:9">
      <c r="A827" s="33"/>
      <c r="B827" s="29"/>
      <c r="C827" s="29"/>
      <c r="D827" s="30"/>
      <c r="E827" s="30"/>
      <c r="F827" s="35"/>
      <c r="G827" s="35"/>
      <c r="H827" s="35" t="str">
        <f t="shared" si="12"/>
        <v/>
      </c>
      <c r="I827" s="29"/>
    </row>
    <row r="828" spans="1:9">
      <c r="A828" s="33"/>
      <c r="B828" s="29"/>
      <c r="C828" s="29"/>
      <c r="D828" s="30"/>
      <c r="E828" s="30"/>
      <c r="F828" s="35"/>
      <c r="G828" s="35"/>
      <c r="H828" s="35" t="str">
        <f t="shared" si="12"/>
        <v/>
      </c>
      <c r="I828" s="29"/>
    </row>
    <row r="829" spans="1:9">
      <c r="A829" s="33"/>
      <c r="B829" s="29"/>
      <c r="C829" s="29"/>
      <c r="D829" s="30"/>
      <c r="E829" s="30"/>
      <c r="F829" s="35"/>
      <c r="G829" s="35"/>
      <c r="H829" s="35" t="str">
        <f t="shared" si="12"/>
        <v/>
      </c>
      <c r="I829" s="29"/>
    </row>
    <row r="830" spans="1:9">
      <c r="A830" s="33"/>
      <c r="B830" s="29"/>
      <c r="C830" s="29"/>
      <c r="D830" s="30"/>
      <c r="E830" s="30"/>
      <c r="F830" s="35"/>
      <c r="G830" s="35"/>
      <c r="H830" s="35" t="str">
        <f t="shared" si="12"/>
        <v/>
      </c>
      <c r="I830" s="29"/>
    </row>
    <row r="831" spans="1:9">
      <c r="A831" s="33"/>
      <c r="B831" s="29"/>
      <c r="C831" s="29"/>
      <c r="D831" s="30"/>
      <c r="E831" s="30"/>
      <c r="F831" s="35"/>
      <c r="G831" s="35"/>
      <c r="H831" s="35" t="str">
        <f t="shared" si="12"/>
        <v/>
      </c>
      <c r="I831" s="29"/>
    </row>
    <row r="832" spans="1:9">
      <c r="A832" s="33"/>
      <c r="B832" s="29"/>
      <c r="C832" s="29"/>
      <c r="D832" s="30"/>
      <c r="E832" s="30"/>
      <c r="F832" s="35"/>
      <c r="G832" s="35"/>
      <c r="H832" s="35" t="str">
        <f t="shared" si="12"/>
        <v/>
      </c>
      <c r="I832" s="29"/>
    </row>
    <row r="833" spans="1:9">
      <c r="A833" s="33"/>
      <c r="B833" s="29"/>
      <c r="C833" s="29"/>
      <c r="D833" s="30"/>
      <c r="E833" s="30"/>
      <c r="F833" s="35"/>
      <c r="G833" s="35"/>
      <c r="H833" s="35" t="str">
        <f t="shared" si="12"/>
        <v/>
      </c>
      <c r="I833" s="29"/>
    </row>
    <row r="834" spans="1:9">
      <c r="A834" s="33"/>
      <c r="B834" s="29"/>
      <c r="C834" s="29"/>
      <c r="D834" s="30"/>
      <c r="E834" s="30"/>
      <c r="F834" s="35"/>
      <c r="G834" s="35"/>
      <c r="H834" s="35" t="str">
        <f t="shared" si="12"/>
        <v/>
      </c>
      <c r="I834" s="29"/>
    </row>
    <row r="835" spans="1:9">
      <c r="A835" s="33"/>
      <c r="B835" s="29"/>
      <c r="C835" s="29"/>
      <c r="D835" s="30"/>
      <c r="E835" s="30"/>
      <c r="F835" s="35"/>
      <c r="G835" s="35"/>
      <c r="H835" s="35" t="str">
        <f t="shared" si="12"/>
        <v/>
      </c>
      <c r="I835" s="29"/>
    </row>
    <row r="836" spans="1:9">
      <c r="A836" s="33"/>
      <c r="B836" s="29"/>
      <c r="C836" s="29"/>
      <c r="D836" s="30"/>
      <c r="E836" s="30"/>
      <c r="F836" s="35"/>
      <c r="G836" s="35"/>
      <c r="H836" s="35" t="str">
        <f t="shared" ref="H836:H899" si="13">IF(F836="","",F836-G836)</f>
        <v/>
      </c>
      <c r="I836" s="29"/>
    </row>
    <row r="837" spans="1:9">
      <c r="A837" s="33"/>
      <c r="B837" s="29"/>
      <c r="C837" s="29"/>
      <c r="D837" s="30"/>
      <c r="E837" s="30"/>
      <c r="F837" s="35"/>
      <c r="G837" s="35"/>
      <c r="H837" s="35" t="str">
        <f t="shared" si="13"/>
        <v/>
      </c>
      <c r="I837" s="29"/>
    </row>
    <row r="838" spans="1:9">
      <c r="A838" s="33"/>
      <c r="B838" s="29"/>
      <c r="C838" s="29"/>
      <c r="D838" s="30"/>
      <c r="E838" s="30"/>
      <c r="F838" s="35"/>
      <c r="G838" s="35"/>
      <c r="H838" s="35" t="str">
        <f t="shared" si="13"/>
        <v/>
      </c>
      <c r="I838" s="29"/>
    </row>
    <row r="839" spans="1:9">
      <c r="A839" s="33"/>
      <c r="B839" s="29"/>
      <c r="C839" s="29"/>
      <c r="D839" s="30"/>
      <c r="E839" s="30"/>
      <c r="F839" s="35"/>
      <c r="G839" s="35"/>
      <c r="H839" s="35" t="str">
        <f t="shared" si="13"/>
        <v/>
      </c>
      <c r="I839" s="29"/>
    </row>
    <row r="840" spans="1:9">
      <c r="A840" s="33"/>
      <c r="B840" s="29"/>
      <c r="C840" s="29"/>
      <c r="D840" s="30"/>
      <c r="E840" s="30"/>
      <c r="F840" s="35"/>
      <c r="G840" s="35"/>
      <c r="H840" s="35" t="str">
        <f t="shared" si="13"/>
        <v/>
      </c>
      <c r="I840" s="29"/>
    </row>
    <row r="841" spans="1:9">
      <c r="A841" s="33"/>
      <c r="B841" s="29"/>
      <c r="C841" s="29"/>
      <c r="D841" s="30"/>
      <c r="E841" s="30"/>
      <c r="F841" s="35"/>
      <c r="G841" s="35"/>
      <c r="H841" s="35" t="str">
        <f t="shared" si="13"/>
        <v/>
      </c>
      <c r="I841" s="29"/>
    </row>
    <row r="842" spans="1:9">
      <c r="A842" s="33"/>
      <c r="B842" s="29"/>
      <c r="C842" s="29"/>
      <c r="D842" s="30"/>
      <c r="E842" s="30"/>
      <c r="F842" s="35"/>
      <c r="G842" s="35"/>
      <c r="H842" s="35" t="str">
        <f t="shared" si="13"/>
        <v/>
      </c>
      <c r="I842" s="29"/>
    </row>
    <row r="843" spans="1:9">
      <c r="A843" s="33"/>
      <c r="B843" s="29"/>
      <c r="C843" s="29"/>
      <c r="D843" s="30"/>
      <c r="E843" s="30"/>
      <c r="F843" s="35"/>
      <c r="G843" s="35"/>
      <c r="H843" s="35" t="str">
        <f t="shared" si="13"/>
        <v/>
      </c>
      <c r="I843" s="29"/>
    </row>
    <row r="844" spans="1:9">
      <c r="A844" s="33"/>
      <c r="B844" s="29"/>
      <c r="C844" s="29"/>
      <c r="D844" s="30"/>
      <c r="E844" s="30"/>
      <c r="F844" s="35"/>
      <c r="G844" s="35"/>
      <c r="H844" s="35" t="str">
        <f t="shared" si="13"/>
        <v/>
      </c>
      <c r="I844" s="29"/>
    </row>
    <row r="845" spans="1:9">
      <c r="A845" s="33"/>
      <c r="B845" s="29"/>
      <c r="C845" s="29"/>
      <c r="D845" s="30"/>
      <c r="E845" s="30"/>
      <c r="F845" s="35"/>
      <c r="G845" s="35"/>
      <c r="H845" s="35" t="str">
        <f t="shared" si="13"/>
        <v/>
      </c>
      <c r="I845" s="29"/>
    </row>
    <row r="846" spans="1:9">
      <c r="A846" s="33"/>
      <c r="B846" s="29"/>
      <c r="C846" s="29"/>
      <c r="D846" s="30"/>
      <c r="E846" s="30"/>
      <c r="F846" s="35"/>
      <c r="G846" s="35"/>
      <c r="H846" s="35" t="str">
        <f t="shared" si="13"/>
        <v/>
      </c>
      <c r="I846" s="29"/>
    </row>
    <row r="847" spans="1:9">
      <c r="A847" s="33"/>
      <c r="B847" s="29"/>
      <c r="C847" s="29"/>
      <c r="D847" s="30"/>
      <c r="E847" s="30"/>
      <c r="F847" s="35"/>
      <c r="G847" s="35"/>
      <c r="H847" s="35" t="str">
        <f t="shared" si="13"/>
        <v/>
      </c>
      <c r="I847" s="29"/>
    </row>
    <row r="848" spans="1:9">
      <c r="A848" s="33"/>
      <c r="B848" s="29"/>
      <c r="C848" s="29"/>
      <c r="D848" s="30"/>
      <c r="E848" s="30"/>
      <c r="F848" s="35"/>
      <c r="G848" s="35"/>
      <c r="H848" s="35" t="str">
        <f t="shared" si="13"/>
        <v/>
      </c>
      <c r="I848" s="29"/>
    </row>
    <row r="849" spans="1:9">
      <c r="A849" s="33"/>
      <c r="B849" s="29"/>
      <c r="C849" s="29"/>
      <c r="D849" s="30"/>
      <c r="E849" s="30"/>
      <c r="F849" s="35"/>
      <c r="G849" s="35"/>
      <c r="H849" s="35" t="str">
        <f t="shared" si="13"/>
        <v/>
      </c>
      <c r="I849" s="29"/>
    </row>
    <row r="850" spans="1:9">
      <c r="A850" s="33"/>
      <c r="B850" s="29"/>
      <c r="C850" s="29"/>
      <c r="D850" s="30"/>
      <c r="E850" s="30"/>
      <c r="F850" s="35"/>
      <c r="G850" s="35"/>
      <c r="H850" s="35" t="str">
        <f t="shared" si="13"/>
        <v/>
      </c>
      <c r="I850" s="29"/>
    </row>
    <row r="851" spans="1:9">
      <c r="A851" s="33"/>
      <c r="B851" s="29"/>
      <c r="C851" s="29"/>
      <c r="D851" s="30"/>
      <c r="E851" s="30"/>
      <c r="F851" s="35"/>
      <c r="G851" s="35"/>
      <c r="H851" s="35" t="str">
        <f t="shared" si="13"/>
        <v/>
      </c>
      <c r="I851" s="29"/>
    </row>
    <row r="852" spans="1:9">
      <c r="A852" s="33"/>
      <c r="B852" s="29"/>
      <c r="C852" s="29"/>
      <c r="D852" s="30"/>
      <c r="E852" s="30"/>
      <c r="F852" s="35"/>
      <c r="G852" s="35"/>
      <c r="H852" s="35" t="str">
        <f t="shared" si="13"/>
        <v/>
      </c>
      <c r="I852" s="29"/>
    </row>
    <row r="853" spans="1:9">
      <c r="A853" s="33"/>
      <c r="B853" s="29"/>
      <c r="C853" s="29"/>
      <c r="D853" s="30"/>
      <c r="E853" s="30"/>
      <c r="F853" s="35"/>
      <c r="G853" s="35"/>
      <c r="H853" s="35" t="str">
        <f t="shared" si="13"/>
        <v/>
      </c>
      <c r="I853" s="29"/>
    </row>
    <row r="854" spans="1:9">
      <c r="A854" s="33"/>
      <c r="B854" s="29"/>
      <c r="C854" s="29"/>
      <c r="D854" s="30"/>
      <c r="E854" s="30"/>
      <c r="F854" s="35"/>
      <c r="G854" s="35"/>
      <c r="H854" s="35" t="str">
        <f t="shared" si="13"/>
        <v/>
      </c>
      <c r="I854" s="29"/>
    </row>
    <row r="855" spans="1:9">
      <c r="A855" s="33"/>
      <c r="B855" s="29"/>
      <c r="C855" s="29"/>
      <c r="D855" s="30"/>
      <c r="E855" s="30"/>
      <c r="F855" s="35"/>
      <c r="G855" s="35"/>
      <c r="H855" s="35" t="str">
        <f t="shared" si="13"/>
        <v/>
      </c>
      <c r="I855" s="29"/>
    </row>
    <row r="856" spans="1:9">
      <c r="A856" s="33"/>
      <c r="B856" s="29"/>
      <c r="C856" s="29"/>
      <c r="D856" s="30"/>
      <c r="E856" s="30"/>
      <c r="F856" s="35"/>
      <c r="G856" s="35"/>
      <c r="H856" s="35" t="str">
        <f t="shared" si="13"/>
        <v/>
      </c>
      <c r="I856" s="29"/>
    </row>
    <row r="857" spans="1:9">
      <c r="A857" s="33"/>
      <c r="B857" s="29"/>
      <c r="C857" s="29"/>
      <c r="D857" s="30"/>
      <c r="E857" s="30"/>
      <c r="F857" s="35"/>
      <c r="G857" s="35"/>
      <c r="H857" s="35" t="str">
        <f t="shared" si="13"/>
        <v/>
      </c>
      <c r="I857" s="29"/>
    </row>
    <row r="858" spans="1:9">
      <c r="A858" s="33"/>
      <c r="B858" s="29"/>
      <c r="C858" s="29"/>
      <c r="D858" s="30"/>
      <c r="E858" s="30"/>
      <c r="F858" s="35"/>
      <c r="G858" s="35"/>
      <c r="H858" s="35" t="str">
        <f t="shared" si="13"/>
        <v/>
      </c>
      <c r="I858" s="29"/>
    </row>
    <row r="859" spans="1:9">
      <c r="A859" s="33"/>
      <c r="B859" s="29"/>
      <c r="C859" s="29"/>
      <c r="D859" s="30"/>
      <c r="E859" s="30"/>
      <c r="F859" s="35"/>
      <c r="G859" s="35"/>
      <c r="H859" s="35" t="str">
        <f t="shared" si="13"/>
        <v/>
      </c>
      <c r="I859" s="29"/>
    </row>
    <row r="860" spans="1:9">
      <c r="A860" s="33"/>
      <c r="B860" s="29"/>
      <c r="C860" s="29"/>
      <c r="D860" s="30"/>
      <c r="E860" s="30"/>
      <c r="F860" s="35"/>
      <c r="G860" s="35"/>
      <c r="H860" s="35" t="str">
        <f t="shared" si="13"/>
        <v/>
      </c>
      <c r="I860" s="29"/>
    </row>
    <row r="861" spans="1:9">
      <c r="A861" s="33"/>
      <c r="B861" s="29"/>
      <c r="C861" s="29"/>
      <c r="D861" s="30"/>
      <c r="E861" s="30"/>
      <c r="F861" s="35"/>
      <c r="G861" s="35"/>
      <c r="H861" s="35" t="str">
        <f t="shared" si="13"/>
        <v/>
      </c>
      <c r="I861" s="29"/>
    </row>
    <row r="862" spans="1:9">
      <c r="A862" s="33"/>
      <c r="B862" s="29"/>
      <c r="C862" s="29"/>
      <c r="D862" s="30"/>
      <c r="E862" s="30"/>
      <c r="F862" s="35"/>
      <c r="G862" s="35"/>
      <c r="H862" s="35" t="str">
        <f t="shared" si="13"/>
        <v/>
      </c>
      <c r="I862" s="29"/>
    </row>
    <row r="863" spans="1:9">
      <c r="A863" s="33"/>
      <c r="B863" s="29"/>
      <c r="C863" s="29"/>
      <c r="D863" s="30"/>
      <c r="E863" s="30"/>
      <c r="F863" s="35"/>
      <c r="G863" s="35"/>
      <c r="H863" s="35" t="str">
        <f t="shared" si="13"/>
        <v/>
      </c>
      <c r="I863" s="29"/>
    </row>
    <row r="864" spans="1:9">
      <c r="A864" s="33"/>
      <c r="B864" s="29"/>
      <c r="C864" s="29"/>
      <c r="D864" s="30"/>
      <c r="E864" s="30"/>
      <c r="F864" s="35"/>
      <c r="G864" s="35"/>
      <c r="H864" s="35" t="str">
        <f t="shared" si="13"/>
        <v/>
      </c>
      <c r="I864" s="29"/>
    </row>
    <row r="865" spans="1:9">
      <c r="A865" s="33"/>
      <c r="B865" s="29"/>
      <c r="C865" s="29"/>
      <c r="D865" s="30"/>
      <c r="E865" s="30"/>
      <c r="F865" s="35"/>
      <c r="G865" s="35"/>
      <c r="H865" s="35" t="str">
        <f t="shared" si="13"/>
        <v/>
      </c>
      <c r="I865" s="29"/>
    </row>
    <row r="866" spans="1:9">
      <c r="A866" s="33"/>
      <c r="B866" s="29"/>
      <c r="C866" s="29"/>
      <c r="D866" s="30"/>
      <c r="E866" s="30"/>
      <c r="F866" s="35"/>
      <c r="G866" s="35"/>
      <c r="H866" s="35" t="str">
        <f t="shared" si="13"/>
        <v/>
      </c>
      <c r="I866" s="29"/>
    </row>
    <row r="867" spans="1:9">
      <c r="A867" s="33"/>
      <c r="B867" s="29"/>
      <c r="C867" s="29"/>
      <c r="D867" s="30"/>
      <c r="E867" s="30"/>
      <c r="F867" s="35"/>
      <c r="G867" s="35"/>
      <c r="H867" s="35" t="str">
        <f t="shared" si="13"/>
        <v/>
      </c>
      <c r="I867" s="29"/>
    </row>
    <row r="868" spans="1:9">
      <c r="A868" s="33"/>
      <c r="B868" s="29"/>
      <c r="C868" s="29"/>
      <c r="D868" s="30"/>
      <c r="E868" s="30"/>
      <c r="F868" s="35"/>
      <c r="G868" s="35"/>
      <c r="H868" s="35" t="str">
        <f t="shared" si="13"/>
        <v/>
      </c>
      <c r="I868" s="29"/>
    </row>
    <row r="869" spans="1:9">
      <c r="A869" s="33"/>
      <c r="B869" s="29"/>
      <c r="C869" s="29"/>
      <c r="D869" s="30"/>
      <c r="E869" s="30"/>
      <c r="F869" s="35"/>
      <c r="G869" s="35"/>
      <c r="H869" s="35" t="str">
        <f t="shared" si="13"/>
        <v/>
      </c>
      <c r="I869" s="29"/>
    </row>
    <row r="870" spans="1:9">
      <c r="A870" s="33"/>
      <c r="B870" s="29"/>
      <c r="C870" s="29"/>
      <c r="D870" s="30"/>
      <c r="E870" s="30"/>
      <c r="F870" s="35"/>
      <c r="G870" s="35"/>
      <c r="H870" s="35" t="str">
        <f t="shared" si="13"/>
        <v/>
      </c>
      <c r="I870" s="29"/>
    </row>
    <row r="871" spans="1:9">
      <c r="A871" s="33"/>
      <c r="B871" s="29"/>
      <c r="C871" s="29"/>
      <c r="D871" s="30"/>
      <c r="E871" s="30"/>
      <c r="F871" s="35"/>
      <c r="G871" s="35"/>
      <c r="H871" s="35" t="str">
        <f t="shared" si="13"/>
        <v/>
      </c>
      <c r="I871" s="29"/>
    </row>
    <row r="872" spans="1:9">
      <c r="A872" s="33"/>
      <c r="B872" s="29"/>
      <c r="C872" s="29"/>
      <c r="D872" s="30"/>
      <c r="E872" s="30"/>
      <c r="F872" s="35"/>
      <c r="G872" s="35"/>
      <c r="H872" s="35" t="str">
        <f t="shared" si="13"/>
        <v/>
      </c>
      <c r="I872" s="29"/>
    </row>
    <row r="873" spans="1:9">
      <c r="A873" s="33"/>
      <c r="B873" s="29"/>
      <c r="C873" s="29"/>
      <c r="D873" s="30"/>
      <c r="E873" s="30"/>
      <c r="F873" s="35"/>
      <c r="G873" s="35"/>
      <c r="H873" s="35" t="str">
        <f t="shared" si="13"/>
        <v/>
      </c>
      <c r="I873" s="29"/>
    </row>
    <row r="874" spans="1:9">
      <c r="A874" s="33"/>
      <c r="B874" s="29"/>
      <c r="C874" s="29"/>
      <c r="D874" s="30"/>
      <c r="E874" s="30"/>
      <c r="F874" s="35"/>
      <c r="G874" s="35"/>
      <c r="H874" s="35" t="str">
        <f t="shared" si="13"/>
        <v/>
      </c>
      <c r="I874" s="29"/>
    </row>
    <row r="875" spans="1:9">
      <c r="A875" s="33"/>
      <c r="B875" s="29"/>
      <c r="C875" s="29"/>
      <c r="D875" s="30"/>
      <c r="E875" s="30"/>
      <c r="F875" s="35"/>
      <c r="G875" s="35"/>
      <c r="H875" s="35" t="str">
        <f t="shared" si="13"/>
        <v/>
      </c>
      <c r="I875" s="29"/>
    </row>
    <row r="876" spans="1:9">
      <c r="A876" s="33"/>
      <c r="B876" s="29"/>
      <c r="C876" s="29"/>
      <c r="D876" s="30"/>
      <c r="E876" s="30"/>
      <c r="F876" s="35"/>
      <c r="G876" s="35"/>
      <c r="H876" s="35" t="str">
        <f t="shared" si="13"/>
        <v/>
      </c>
      <c r="I876" s="29"/>
    </row>
    <row r="877" spans="1:9">
      <c r="A877" s="33"/>
      <c r="B877" s="29"/>
      <c r="C877" s="29"/>
      <c r="D877" s="30"/>
      <c r="E877" s="30"/>
      <c r="F877" s="35"/>
      <c r="G877" s="35"/>
      <c r="H877" s="35" t="str">
        <f t="shared" si="13"/>
        <v/>
      </c>
      <c r="I877" s="29"/>
    </row>
    <row r="878" spans="1:9">
      <c r="A878" s="33"/>
      <c r="B878" s="29"/>
      <c r="C878" s="29"/>
      <c r="D878" s="30"/>
      <c r="E878" s="30"/>
      <c r="F878" s="35"/>
      <c r="G878" s="35"/>
      <c r="H878" s="35" t="str">
        <f t="shared" si="13"/>
        <v/>
      </c>
      <c r="I878" s="29"/>
    </row>
    <row r="879" spans="1:9">
      <c r="A879" s="33"/>
      <c r="B879" s="29"/>
      <c r="C879" s="29"/>
      <c r="D879" s="30"/>
      <c r="E879" s="30"/>
      <c r="F879" s="35"/>
      <c r="G879" s="35"/>
      <c r="H879" s="35" t="str">
        <f t="shared" si="13"/>
        <v/>
      </c>
      <c r="I879" s="29"/>
    </row>
    <row r="880" spans="1:9">
      <c r="A880" s="33"/>
      <c r="B880" s="29"/>
      <c r="C880" s="29"/>
      <c r="D880" s="30"/>
      <c r="E880" s="30"/>
      <c r="F880" s="35"/>
      <c r="G880" s="35"/>
      <c r="H880" s="35" t="str">
        <f t="shared" si="13"/>
        <v/>
      </c>
      <c r="I880" s="29"/>
    </row>
    <row r="881" spans="1:9">
      <c r="A881" s="33"/>
      <c r="B881" s="29"/>
      <c r="C881" s="29"/>
      <c r="D881" s="30"/>
      <c r="E881" s="30"/>
      <c r="F881" s="35"/>
      <c r="G881" s="35"/>
      <c r="H881" s="35" t="str">
        <f t="shared" si="13"/>
        <v/>
      </c>
      <c r="I881" s="29"/>
    </row>
    <row r="882" spans="1:9">
      <c r="A882" s="33"/>
      <c r="B882" s="29"/>
      <c r="C882" s="29"/>
      <c r="D882" s="30"/>
      <c r="E882" s="30"/>
      <c r="F882" s="35"/>
      <c r="G882" s="35"/>
      <c r="H882" s="35" t="str">
        <f t="shared" si="13"/>
        <v/>
      </c>
      <c r="I882" s="29"/>
    </row>
    <row r="883" spans="1:9">
      <c r="A883" s="33"/>
      <c r="B883" s="29"/>
      <c r="C883" s="29"/>
      <c r="D883" s="30"/>
      <c r="E883" s="30"/>
      <c r="F883" s="35"/>
      <c r="G883" s="35"/>
      <c r="H883" s="35" t="str">
        <f t="shared" si="13"/>
        <v/>
      </c>
      <c r="I883" s="29"/>
    </row>
    <row r="884" spans="1:9">
      <c r="A884" s="33"/>
      <c r="B884" s="29"/>
      <c r="C884" s="29"/>
      <c r="D884" s="30"/>
      <c r="E884" s="30"/>
      <c r="F884" s="35"/>
      <c r="G884" s="35"/>
      <c r="H884" s="35" t="str">
        <f t="shared" si="13"/>
        <v/>
      </c>
      <c r="I884" s="29"/>
    </row>
    <row r="885" spans="1:9">
      <c r="A885" s="33"/>
      <c r="B885" s="29"/>
      <c r="C885" s="29"/>
      <c r="D885" s="30"/>
      <c r="E885" s="30"/>
      <c r="F885" s="35"/>
      <c r="G885" s="35"/>
      <c r="H885" s="35" t="str">
        <f t="shared" si="13"/>
        <v/>
      </c>
      <c r="I885" s="29"/>
    </row>
    <row r="886" spans="1:9">
      <c r="A886" s="33"/>
      <c r="B886" s="29"/>
      <c r="C886" s="29"/>
      <c r="D886" s="30"/>
      <c r="E886" s="30"/>
      <c r="F886" s="35"/>
      <c r="G886" s="35"/>
      <c r="H886" s="35" t="str">
        <f t="shared" si="13"/>
        <v/>
      </c>
      <c r="I886" s="29"/>
    </row>
    <row r="887" spans="1:9">
      <c r="A887" s="33"/>
      <c r="B887" s="29"/>
      <c r="C887" s="29"/>
      <c r="D887" s="30"/>
      <c r="E887" s="30"/>
      <c r="F887" s="35"/>
      <c r="G887" s="35"/>
      <c r="H887" s="35" t="str">
        <f t="shared" si="13"/>
        <v/>
      </c>
      <c r="I887" s="29"/>
    </row>
    <row r="888" spans="1:9">
      <c r="A888" s="33"/>
      <c r="B888" s="29"/>
      <c r="C888" s="29"/>
      <c r="D888" s="30"/>
      <c r="E888" s="30"/>
      <c r="F888" s="35"/>
      <c r="G888" s="35"/>
      <c r="H888" s="35" t="str">
        <f t="shared" si="13"/>
        <v/>
      </c>
      <c r="I888" s="29"/>
    </row>
    <row r="889" spans="1:9">
      <c r="A889" s="33"/>
      <c r="B889" s="29"/>
      <c r="C889" s="29"/>
      <c r="D889" s="30"/>
      <c r="E889" s="30"/>
      <c r="F889" s="35"/>
      <c r="G889" s="35"/>
      <c r="H889" s="35" t="str">
        <f t="shared" si="13"/>
        <v/>
      </c>
      <c r="I889" s="29"/>
    </row>
    <row r="890" spans="1:9">
      <c r="A890" s="33"/>
      <c r="B890" s="29"/>
      <c r="C890" s="29"/>
      <c r="D890" s="30"/>
      <c r="E890" s="30"/>
      <c r="F890" s="35"/>
      <c r="G890" s="35"/>
      <c r="H890" s="35" t="str">
        <f t="shared" si="13"/>
        <v/>
      </c>
      <c r="I890" s="29"/>
    </row>
    <row r="891" spans="1:9">
      <c r="A891" s="33"/>
      <c r="B891" s="29"/>
      <c r="C891" s="29"/>
      <c r="D891" s="30"/>
      <c r="E891" s="30"/>
      <c r="F891" s="35"/>
      <c r="G891" s="35"/>
      <c r="H891" s="35" t="str">
        <f t="shared" si="13"/>
        <v/>
      </c>
      <c r="I891" s="29"/>
    </row>
    <row r="892" spans="1:9">
      <c r="A892" s="33"/>
      <c r="B892" s="29"/>
      <c r="C892" s="29"/>
      <c r="D892" s="30"/>
      <c r="E892" s="30"/>
      <c r="F892" s="35"/>
      <c r="G892" s="35"/>
      <c r="H892" s="35" t="str">
        <f t="shared" si="13"/>
        <v/>
      </c>
      <c r="I892" s="29"/>
    </row>
    <row r="893" spans="1:9">
      <c r="A893" s="33"/>
      <c r="B893" s="29"/>
      <c r="C893" s="29"/>
      <c r="D893" s="30"/>
      <c r="E893" s="30"/>
      <c r="F893" s="35"/>
      <c r="G893" s="35"/>
      <c r="H893" s="35" t="str">
        <f t="shared" si="13"/>
        <v/>
      </c>
      <c r="I893" s="29"/>
    </row>
    <row r="894" spans="1:9">
      <c r="A894" s="33"/>
      <c r="B894" s="29"/>
      <c r="C894" s="29"/>
      <c r="D894" s="30"/>
      <c r="E894" s="30"/>
      <c r="F894" s="35"/>
      <c r="G894" s="35"/>
      <c r="H894" s="35" t="str">
        <f t="shared" si="13"/>
        <v/>
      </c>
      <c r="I894" s="29"/>
    </row>
    <row r="895" spans="1:9">
      <c r="A895" s="33"/>
      <c r="B895" s="29"/>
      <c r="C895" s="29"/>
      <c r="D895" s="30"/>
      <c r="E895" s="30"/>
      <c r="F895" s="35"/>
      <c r="G895" s="35"/>
      <c r="H895" s="35" t="str">
        <f t="shared" si="13"/>
        <v/>
      </c>
      <c r="I895" s="29"/>
    </row>
    <row r="896" spans="1:9">
      <c r="A896" s="33"/>
      <c r="B896" s="29"/>
      <c r="C896" s="29"/>
      <c r="D896" s="30"/>
      <c r="E896" s="30"/>
      <c r="F896" s="35"/>
      <c r="G896" s="35"/>
      <c r="H896" s="35" t="str">
        <f t="shared" si="13"/>
        <v/>
      </c>
      <c r="I896" s="29"/>
    </row>
    <row r="897" spans="1:9">
      <c r="A897" s="33"/>
      <c r="B897" s="29"/>
      <c r="C897" s="29"/>
      <c r="D897" s="30"/>
      <c r="E897" s="30"/>
      <c r="F897" s="35"/>
      <c r="G897" s="35"/>
      <c r="H897" s="35" t="str">
        <f t="shared" si="13"/>
        <v/>
      </c>
      <c r="I897" s="29"/>
    </row>
    <row r="898" spans="1:9">
      <c r="A898" s="33"/>
      <c r="B898" s="29"/>
      <c r="C898" s="29"/>
      <c r="D898" s="30"/>
      <c r="E898" s="30"/>
      <c r="F898" s="35"/>
      <c r="G898" s="35"/>
      <c r="H898" s="35" t="str">
        <f t="shared" si="13"/>
        <v/>
      </c>
      <c r="I898" s="29"/>
    </row>
    <row r="899" spans="1:9">
      <c r="A899" s="33"/>
      <c r="B899" s="29"/>
      <c r="C899" s="29"/>
      <c r="D899" s="30"/>
      <c r="E899" s="30"/>
      <c r="F899" s="35"/>
      <c r="G899" s="35"/>
      <c r="H899" s="35" t="str">
        <f t="shared" si="13"/>
        <v/>
      </c>
      <c r="I899" s="29"/>
    </row>
    <row r="900" spans="1:9">
      <c r="A900" s="33"/>
      <c r="B900" s="29"/>
      <c r="C900" s="29"/>
      <c r="D900" s="30"/>
      <c r="E900" s="30"/>
      <c r="F900" s="35"/>
      <c r="G900" s="35"/>
      <c r="H900" s="35" t="str">
        <f t="shared" ref="H900:H963" si="14">IF(F900="","",F900-G900)</f>
        <v/>
      </c>
      <c r="I900" s="29"/>
    </row>
    <row r="901" spans="1:9">
      <c r="A901" s="33"/>
      <c r="B901" s="29"/>
      <c r="C901" s="29"/>
      <c r="D901" s="30"/>
      <c r="E901" s="30"/>
      <c r="F901" s="35"/>
      <c r="G901" s="35"/>
      <c r="H901" s="35" t="str">
        <f t="shared" si="14"/>
        <v/>
      </c>
      <c r="I901" s="29"/>
    </row>
    <row r="902" spans="1:9">
      <c r="A902" s="33"/>
      <c r="B902" s="29"/>
      <c r="C902" s="29"/>
      <c r="D902" s="30"/>
      <c r="E902" s="30"/>
      <c r="F902" s="35"/>
      <c r="G902" s="35"/>
      <c r="H902" s="35" t="str">
        <f t="shared" si="14"/>
        <v/>
      </c>
      <c r="I902" s="29"/>
    </row>
    <row r="903" spans="1:9">
      <c r="A903" s="33"/>
      <c r="B903" s="29"/>
      <c r="C903" s="29"/>
      <c r="D903" s="30"/>
      <c r="E903" s="30"/>
      <c r="F903" s="35"/>
      <c r="G903" s="35"/>
      <c r="H903" s="35" t="str">
        <f t="shared" si="14"/>
        <v/>
      </c>
      <c r="I903" s="29"/>
    </row>
    <row r="904" spans="1:9">
      <c r="A904" s="33"/>
      <c r="B904" s="29"/>
      <c r="C904" s="29"/>
      <c r="D904" s="30"/>
      <c r="E904" s="30"/>
      <c r="F904" s="35"/>
      <c r="G904" s="35"/>
      <c r="H904" s="35" t="str">
        <f t="shared" si="14"/>
        <v/>
      </c>
      <c r="I904" s="29"/>
    </row>
    <row r="905" spans="1:9">
      <c r="A905" s="33"/>
      <c r="B905" s="29"/>
      <c r="C905" s="29"/>
      <c r="D905" s="30"/>
      <c r="E905" s="30"/>
      <c r="F905" s="35"/>
      <c r="G905" s="35"/>
      <c r="H905" s="35" t="str">
        <f t="shared" si="14"/>
        <v/>
      </c>
      <c r="I905" s="29"/>
    </row>
    <row r="906" spans="1:9">
      <c r="A906" s="33"/>
      <c r="B906" s="29"/>
      <c r="C906" s="29"/>
      <c r="D906" s="30"/>
      <c r="E906" s="30"/>
      <c r="F906" s="35"/>
      <c r="G906" s="35"/>
      <c r="H906" s="35" t="str">
        <f t="shared" si="14"/>
        <v/>
      </c>
      <c r="I906" s="29"/>
    </row>
    <row r="907" spans="1:9">
      <c r="A907" s="33"/>
      <c r="B907" s="29"/>
      <c r="C907" s="29"/>
      <c r="D907" s="30"/>
      <c r="E907" s="30"/>
      <c r="F907" s="35"/>
      <c r="G907" s="35"/>
      <c r="H907" s="35" t="str">
        <f t="shared" si="14"/>
        <v/>
      </c>
      <c r="I907" s="29"/>
    </row>
    <row r="908" spans="1:9">
      <c r="A908" s="33"/>
      <c r="B908" s="29"/>
      <c r="C908" s="29"/>
      <c r="D908" s="30"/>
      <c r="E908" s="30"/>
      <c r="F908" s="35"/>
      <c r="G908" s="35"/>
      <c r="H908" s="35" t="str">
        <f t="shared" si="14"/>
        <v/>
      </c>
      <c r="I908" s="29"/>
    </row>
    <row r="909" spans="1:9">
      <c r="A909" s="33"/>
      <c r="B909" s="29"/>
      <c r="C909" s="29"/>
      <c r="D909" s="30"/>
      <c r="E909" s="30"/>
      <c r="F909" s="35"/>
      <c r="G909" s="35"/>
      <c r="H909" s="35" t="str">
        <f t="shared" si="14"/>
        <v/>
      </c>
      <c r="I909" s="29"/>
    </row>
    <row r="910" spans="1:9">
      <c r="A910" s="33"/>
      <c r="B910" s="29"/>
      <c r="C910" s="29"/>
      <c r="D910" s="30"/>
      <c r="E910" s="30"/>
      <c r="F910" s="35"/>
      <c r="G910" s="35"/>
      <c r="H910" s="35" t="str">
        <f t="shared" si="14"/>
        <v/>
      </c>
      <c r="I910" s="29"/>
    </row>
    <row r="911" spans="1:9">
      <c r="A911" s="33"/>
      <c r="B911" s="29"/>
      <c r="C911" s="29"/>
      <c r="D911" s="30"/>
      <c r="E911" s="30"/>
      <c r="F911" s="35"/>
      <c r="G911" s="35"/>
      <c r="H911" s="35" t="str">
        <f t="shared" si="14"/>
        <v/>
      </c>
      <c r="I911" s="29"/>
    </row>
    <row r="912" spans="1:9">
      <c r="A912" s="33"/>
      <c r="B912" s="29"/>
      <c r="C912" s="29"/>
      <c r="D912" s="30"/>
      <c r="E912" s="30"/>
      <c r="F912" s="35"/>
      <c r="G912" s="35"/>
      <c r="H912" s="35" t="str">
        <f t="shared" si="14"/>
        <v/>
      </c>
      <c r="I912" s="29"/>
    </row>
    <row r="913" spans="1:9">
      <c r="A913" s="33"/>
      <c r="B913" s="29"/>
      <c r="C913" s="29"/>
      <c r="D913" s="30"/>
      <c r="E913" s="30"/>
      <c r="F913" s="35"/>
      <c r="G913" s="35"/>
      <c r="H913" s="35" t="str">
        <f t="shared" si="14"/>
        <v/>
      </c>
      <c r="I913" s="29"/>
    </row>
    <row r="914" spans="1:9">
      <c r="A914" s="33"/>
      <c r="B914" s="29"/>
      <c r="C914" s="29"/>
      <c r="D914" s="30"/>
      <c r="E914" s="30"/>
      <c r="F914" s="35"/>
      <c r="G914" s="35"/>
      <c r="H914" s="35" t="str">
        <f t="shared" si="14"/>
        <v/>
      </c>
      <c r="I914" s="29"/>
    </row>
    <row r="915" spans="1:9">
      <c r="A915" s="33"/>
      <c r="B915" s="29"/>
      <c r="C915" s="29"/>
      <c r="D915" s="30"/>
      <c r="E915" s="30"/>
      <c r="F915" s="35"/>
      <c r="G915" s="35"/>
      <c r="H915" s="35" t="str">
        <f t="shared" si="14"/>
        <v/>
      </c>
      <c r="I915" s="29"/>
    </row>
    <row r="916" spans="1:9">
      <c r="A916" s="33"/>
      <c r="B916" s="29"/>
      <c r="C916" s="29"/>
      <c r="D916" s="30"/>
      <c r="E916" s="30"/>
      <c r="F916" s="35"/>
      <c r="G916" s="35"/>
      <c r="H916" s="35" t="str">
        <f t="shared" si="14"/>
        <v/>
      </c>
      <c r="I916" s="29"/>
    </row>
    <row r="917" spans="1:9">
      <c r="A917" s="33"/>
      <c r="B917" s="29"/>
      <c r="C917" s="29"/>
      <c r="D917" s="30"/>
      <c r="E917" s="30"/>
      <c r="F917" s="35"/>
      <c r="G917" s="35"/>
      <c r="H917" s="35" t="str">
        <f t="shared" si="14"/>
        <v/>
      </c>
      <c r="I917" s="29"/>
    </row>
    <row r="918" spans="1:9">
      <c r="A918" s="33"/>
      <c r="B918" s="29"/>
      <c r="C918" s="29"/>
      <c r="D918" s="30"/>
      <c r="E918" s="30"/>
      <c r="F918" s="35"/>
      <c r="G918" s="35"/>
      <c r="H918" s="35" t="str">
        <f t="shared" si="14"/>
        <v/>
      </c>
      <c r="I918" s="29"/>
    </row>
    <row r="919" spans="1:9">
      <c r="A919" s="33"/>
      <c r="B919" s="29"/>
      <c r="C919" s="29"/>
      <c r="D919" s="30"/>
      <c r="E919" s="30"/>
      <c r="F919" s="35"/>
      <c r="G919" s="35"/>
      <c r="H919" s="35" t="str">
        <f t="shared" si="14"/>
        <v/>
      </c>
      <c r="I919" s="29"/>
    </row>
    <row r="920" spans="1:9">
      <c r="A920" s="33"/>
      <c r="B920" s="29"/>
      <c r="C920" s="29"/>
      <c r="D920" s="30"/>
      <c r="E920" s="30"/>
      <c r="F920" s="35"/>
      <c r="G920" s="35"/>
      <c r="H920" s="35" t="str">
        <f t="shared" si="14"/>
        <v/>
      </c>
      <c r="I920" s="29"/>
    </row>
    <row r="921" spans="1:9">
      <c r="A921" s="33"/>
      <c r="B921" s="29"/>
      <c r="C921" s="29"/>
      <c r="D921" s="30"/>
      <c r="E921" s="30"/>
      <c r="F921" s="35"/>
      <c r="G921" s="35"/>
      <c r="H921" s="35" t="str">
        <f t="shared" si="14"/>
        <v/>
      </c>
      <c r="I921" s="29"/>
    </row>
    <row r="922" spans="1:9">
      <c r="A922" s="33"/>
      <c r="B922" s="29"/>
      <c r="C922" s="29"/>
      <c r="D922" s="30"/>
      <c r="E922" s="30"/>
      <c r="F922" s="35"/>
      <c r="G922" s="35"/>
      <c r="H922" s="35" t="str">
        <f t="shared" si="14"/>
        <v/>
      </c>
      <c r="I922" s="29"/>
    </row>
    <row r="923" spans="1:9">
      <c r="A923" s="33"/>
      <c r="B923" s="29"/>
      <c r="C923" s="29"/>
      <c r="D923" s="30"/>
      <c r="E923" s="30"/>
      <c r="F923" s="35"/>
      <c r="G923" s="35"/>
      <c r="H923" s="35" t="str">
        <f t="shared" si="14"/>
        <v/>
      </c>
      <c r="I923" s="29"/>
    </row>
    <row r="924" spans="1:9">
      <c r="A924" s="33"/>
      <c r="B924" s="29"/>
      <c r="C924" s="29"/>
      <c r="D924" s="30"/>
      <c r="E924" s="30"/>
      <c r="F924" s="35"/>
      <c r="G924" s="35"/>
      <c r="H924" s="35" t="str">
        <f t="shared" si="14"/>
        <v/>
      </c>
      <c r="I924" s="29"/>
    </row>
    <row r="925" spans="1:9">
      <c r="A925" s="33"/>
      <c r="B925" s="29"/>
      <c r="C925" s="29"/>
      <c r="D925" s="30"/>
      <c r="E925" s="30"/>
      <c r="F925" s="35"/>
      <c r="G925" s="35"/>
      <c r="H925" s="35" t="str">
        <f t="shared" si="14"/>
        <v/>
      </c>
      <c r="I925" s="29"/>
    </row>
    <row r="926" spans="1:9">
      <c r="A926" s="33"/>
      <c r="B926" s="29"/>
      <c r="C926" s="29"/>
      <c r="D926" s="30"/>
      <c r="E926" s="30"/>
      <c r="F926" s="35"/>
      <c r="G926" s="35"/>
      <c r="H926" s="35" t="str">
        <f t="shared" si="14"/>
        <v/>
      </c>
      <c r="I926" s="29"/>
    </row>
    <row r="927" spans="1:9">
      <c r="A927" s="33"/>
      <c r="B927" s="29"/>
      <c r="C927" s="29"/>
      <c r="D927" s="30"/>
      <c r="E927" s="30"/>
      <c r="F927" s="35"/>
      <c r="G927" s="35"/>
      <c r="H927" s="35" t="str">
        <f t="shared" si="14"/>
        <v/>
      </c>
      <c r="I927" s="29"/>
    </row>
    <row r="928" spans="1:9">
      <c r="A928" s="33"/>
      <c r="B928" s="29"/>
      <c r="C928" s="29"/>
      <c r="D928" s="30"/>
      <c r="E928" s="30"/>
      <c r="F928" s="35"/>
      <c r="G928" s="35"/>
      <c r="H928" s="35" t="str">
        <f t="shared" si="14"/>
        <v/>
      </c>
      <c r="I928" s="29"/>
    </row>
    <row r="929" spans="1:9">
      <c r="A929" s="33"/>
      <c r="B929" s="29"/>
      <c r="C929" s="29"/>
      <c r="D929" s="30"/>
      <c r="E929" s="30"/>
      <c r="F929" s="35"/>
      <c r="G929" s="35"/>
      <c r="H929" s="35" t="str">
        <f t="shared" si="14"/>
        <v/>
      </c>
      <c r="I929" s="29"/>
    </row>
    <row r="930" spans="1:9">
      <c r="A930" s="33"/>
      <c r="B930" s="29"/>
      <c r="C930" s="29"/>
      <c r="D930" s="30"/>
      <c r="E930" s="30"/>
      <c r="F930" s="35"/>
      <c r="G930" s="35"/>
      <c r="H930" s="35" t="str">
        <f t="shared" si="14"/>
        <v/>
      </c>
      <c r="I930" s="29"/>
    </row>
    <row r="931" spans="1:9">
      <c r="A931" s="33"/>
      <c r="B931" s="29"/>
      <c r="C931" s="29"/>
      <c r="D931" s="30"/>
      <c r="E931" s="30"/>
      <c r="F931" s="35"/>
      <c r="G931" s="35"/>
      <c r="H931" s="35" t="str">
        <f t="shared" si="14"/>
        <v/>
      </c>
      <c r="I931" s="29"/>
    </row>
    <row r="932" spans="1:9">
      <c r="A932" s="33"/>
      <c r="B932" s="29"/>
      <c r="C932" s="29"/>
      <c r="D932" s="30"/>
      <c r="E932" s="30"/>
      <c r="F932" s="35"/>
      <c r="G932" s="35"/>
      <c r="H932" s="35" t="str">
        <f t="shared" si="14"/>
        <v/>
      </c>
      <c r="I932" s="29"/>
    </row>
    <row r="933" spans="1:9">
      <c r="A933" s="33"/>
      <c r="B933" s="29"/>
      <c r="C933" s="29"/>
      <c r="D933" s="30"/>
      <c r="E933" s="30"/>
      <c r="F933" s="35"/>
      <c r="G933" s="35"/>
      <c r="H933" s="35" t="str">
        <f t="shared" si="14"/>
        <v/>
      </c>
      <c r="I933" s="29"/>
    </row>
    <row r="934" spans="1:9">
      <c r="A934" s="33"/>
      <c r="B934" s="29"/>
      <c r="C934" s="29"/>
      <c r="D934" s="30"/>
      <c r="E934" s="30"/>
      <c r="F934" s="35"/>
      <c r="G934" s="35"/>
      <c r="H934" s="35" t="str">
        <f t="shared" si="14"/>
        <v/>
      </c>
      <c r="I934" s="29"/>
    </row>
    <row r="935" spans="1:9">
      <c r="A935" s="33"/>
      <c r="B935" s="29"/>
      <c r="C935" s="29"/>
      <c r="D935" s="30"/>
      <c r="E935" s="30"/>
      <c r="F935" s="35"/>
      <c r="G935" s="35"/>
      <c r="H935" s="35" t="str">
        <f t="shared" si="14"/>
        <v/>
      </c>
      <c r="I935" s="29"/>
    </row>
    <row r="936" spans="1:9">
      <c r="A936" s="33"/>
      <c r="B936" s="29"/>
      <c r="C936" s="29"/>
      <c r="D936" s="30"/>
      <c r="E936" s="30"/>
      <c r="F936" s="35"/>
      <c r="G936" s="35"/>
      <c r="H936" s="35" t="str">
        <f t="shared" si="14"/>
        <v/>
      </c>
      <c r="I936" s="29"/>
    </row>
    <row r="937" spans="1:9">
      <c r="A937" s="33"/>
      <c r="B937" s="29"/>
      <c r="C937" s="29"/>
      <c r="D937" s="30"/>
      <c r="E937" s="30"/>
      <c r="F937" s="35"/>
      <c r="G937" s="35"/>
      <c r="H937" s="35" t="str">
        <f t="shared" si="14"/>
        <v/>
      </c>
      <c r="I937" s="29"/>
    </row>
    <row r="938" spans="1:9">
      <c r="A938" s="33"/>
      <c r="B938" s="29"/>
      <c r="C938" s="29"/>
      <c r="D938" s="30"/>
      <c r="E938" s="30"/>
      <c r="F938" s="35"/>
      <c r="G938" s="35"/>
      <c r="H938" s="35" t="str">
        <f t="shared" si="14"/>
        <v/>
      </c>
      <c r="I938" s="29"/>
    </row>
    <row r="939" spans="1:9">
      <c r="A939" s="33"/>
      <c r="B939" s="29"/>
      <c r="C939" s="29"/>
      <c r="D939" s="30"/>
      <c r="E939" s="30"/>
      <c r="F939" s="35"/>
      <c r="G939" s="35"/>
      <c r="H939" s="35" t="str">
        <f t="shared" si="14"/>
        <v/>
      </c>
      <c r="I939" s="29"/>
    </row>
    <row r="940" spans="1:9">
      <c r="A940" s="33"/>
      <c r="B940" s="29"/>
      <c r="C940" s="29"/>
      <c r="D940" s="30"/>
      <c r="E940" s="30"/>
      <c r="F940" s="35"/>
      <c r="G940" s="35"/>
      <c r="H940" s="35" t="str">
        <f t="shared" si="14"/>
        <v/>
      </c>
      <c r="I940" s="29"/>
    </row>
    <row r="941" spans="1:9">
      <c r="A941" s="33"/>
      <c r="B941" s="29"/>
      <c r="C941" s="29"/>
      <c r="D941" s="30"/>
      <c r="E941" s="30"/>
      <c r="F941" s="35"/>
      <c r="G941" s="35"/>
      <c r="H941" s="35" t="str">
        <f t="shared" si="14"/>
        <v/>
      </c>
      <c r="I941" s="29"/>
    </row>
    <row r="942" spans="1:9">
      <c r="A942" s="33"/>
      <c r="B942" s="29"/>
      <c r="C942" s="29"/>
      <c r="D942" s="30"/>
      <c r="E942" s="30"/>
      <c r="F942" s="35"/>
      <c r="G942" s="35"/>
      <c r="H942" s="35" t="str">
        <f t="shared" si="14"/>
        <v/>
      </c>
      <c r="I942" s="29"/>
    </row>
    <row r="943" spans="1:9">
      <c r="A943" s="33"/>
      <c r="B943" s="29"/>
      <c r="C943" s="29"/>
      <c r="D943" s="30"/>
      <c r="E943" s="30"/>
      <c r="F943" s="35"/>
      <c r="G943" s="35"/>
      <c r="H943" s="35" t="str">
        <f t="shared" si="14"/>
        <v/>
      </c>
      <c r="I943" s="29"/>
    </row>
    <row r="944" spans="1:9">
      <c r="A944" s="33"/>
      <c r="B944" s="29"/>
      <c r="C944" s="29"/>
      <c r="D944" s="30"/>
      <c r="E944" s="30"/>
      <c r="F944" s="35"/>
      <c r="G944" s="35"/>
      <c r="H944" s="35" t="str">
        <f t="shared" si="14"/>
        <v/>
      </c>
      <c r="I944" s="29"/>
    </row>
    <row r="945" spans="1:9">
      <c r="A945" s="33"/>
      <c r="B945" s="29"/>
      <c r="C945" s="29"/>
      <c r="D945" s="30"/>
      <c r="E945" s="30"/>
      <c r="F945" s="35"/>
      <c r="G945" s="35"/>
      <c r="H945" s="35" t="str">
        <f t="shared" si="14"/>
        <v/>
      </c>
      <c r="I945" s="29"/>
    </row>
    <row r="946" spans="1:9">
      <c r="A946" s="33"/>
      <c r="B946" s="29"/>
      <c r="C946" s="29"/>
      <c r="D946" s="30"/>
      <c r="E946" s="30"/>
      <c r="F946" s="35"/>
      <c r="G946" s="35"/>
      <c r="H946" s="35" t="str">
        <f t="shared" si="14"/>
        <v/>
      </c>
      <c r="I946" s="29"/>
    </row>
    <row r="947" spans="1:9">
      <c r="A947" s="33"/>
      <c r="B947" s="29"/>
      <c r="C947" s="29"/>
      <c r="D947" s="30"/>
      <c r="E947" s="30"/>
      <c r="F947" s="35"/>
      <c r="G947" s="35"/>
      <c r="H947" s="35" t="str">
        <f t="shared" si="14"/>
        <v/>
      </c>
      <c r="I947" s="29"/>
    </row>
    <row r="948" spans="1:9">
      <c r="A948" s="33"/>
      <c r="B948" s="29"/>
      <c r="C948" s="29"/>
      <c r="D948" s="30"/>
      <c r="E948" s="30"/>
      <c r="F948" s="35"/>
      <c r="G948" s="35"/>
      <c r="H948" s="35" t="str">
        <f t="shared" si="14"/>
        <v/>
      </c>
      <c r="I948" s="29"/>
    </row>
    <row r="949" spans="1:9">
      <c r="A949" s="33"/>
      <c r="B949" s="29"/>
      <c r="C949" s="29"/>
      <c r="D949" s="30"/>
      <c r="E949" s="30"/>
      <c r="F949" s="35"/>
      <c r="G949" s="35"/>
      <c r="H949" s="35" t="str">
        <f t="shared" si="14"/>
        <v/>
      </c>
      <c r="I949" s="29"/>
    </row>
    <row r="950" spans="1:9">
      <c r="A950" s="33"/>
      <c r="B950" s="29"/>
      <c r="C950" s="29"/>
      <c r="D950" s="30"/>
      <c r="E950" s="30"/>
      <c r="F950" s="35"/>
      <c r="G950" s="35"/>
      <c r="H950" s="35" t="str">
        <f t="shared" si="14"/>
        <v/>
      </c>
      <c r="I950" s="29"/>
    </row>
    <row r="951" spans="1:9">
      <c r="A951" s="33"/>
      <c r="B951" s="29"/>
      <c r="C951" s="29"/>
      <c r="D951" s="30"/>
      <c r="E951" s="30"/>
      <c r="F951" s="35"/>
      <c r="G951" s="35"/>
      <c r="H951" s="35" t="str">
        <f t="shared" si="14"/>
        <v/>
      </c>
      <c r="I951" s="29"/>
    </row>
    <row r="952" spans="1:9">
      <c r="A952" s="33"/>
      <c r="B952" s="29"/>
      <c r="C952" s="29"/>
      <c r="D952" s="30"/>
      <c r="E952" s="30"/>
      <c r="F952" s="35"/>
      <c r="G952" s="35"/>
      <c r="H952" s="35" t="str">
        <f t="shared" si="14"/>
        <v/>
      </c>
      <c r="I952" s="29"/>
    </row>
    <row r="953" spans="1:9">
      <c r="A953" s="33"/>
      <c r="B953" s="29"/>
      <c r="C953" s="29"/>
      <c r="D953" s="30"/>
      <c r="E953" s="30"/>
      <c r="F953" s="35"/>
      <c r="G953" s="35"/>
      <c r="H953" s="35" t="str">
        <f t="shared" si="14"/>
        <v/>
      </c>
      <c r="I953" s="29"/>
    </row>
    <row r="954" spans="1:9">
      <c r="A954" s="33"/>
      <c r="B954" s="29"/>
      <c r="C954" s="29"/>
      <c r="D954" s="30"/>
      <c r="E954" s="30"/>
      <c r="F954" s="35"/>
      <c r="G954" s="35"/>
      <c r="H954" s="35" t="str">
        <f t="shared" si="14"/>
        <v/>
      </c>
      <c r="I954" s="29"/>
    </row>
    <row r="955" spans="1:9">
      <c r="A955" s="33"/>
      <c r="B955" s="29"/>
      <c r="C955" s="29"/>
      <c r="D955" s="30"/>
      <c r="E955" s="30"/>
      <c r="F955" s="35"/>
      <c r="G955" s="35"/>
      <c r="H955" s="35" t="str">
        <f t="shared" si="14"/>
        <v/>
      </c>
      <c r="I955" s="29"/>
    </row>
    <row r="956" spans="1:9">
      <c r="A956" s="33"/>
      <c r="B956" s="29"/>
      <c r="C956" s="29"/>
      <c r="D956" s="30"/>
      <c r="E956" s="30"/>
      <c r="F956" s="35"/>
      <c r="G956" s="35"/>
      <c r="H956" s="35" t="str">
        <f t="shared" si="14"/>
        <v/>
      </c>
      <c r="I956" s="29"/>
    </row>
    <row r="957" spans="1:9">
      <c r="A957" s="33"/>
      <c r="B957" s="29"/>
      <c r="C957" s="29"/>
      <c r="D957" s="30"/>
      <c r="E957" s="30"/>
      <c r="F957" s="35"/>
      <c r="G957" s="35"/>
      <c r="H957" s="35" t="str">
        <f t="shared" si="14"/>
        <v/>
      </c>
      <c r="I957" s="29"/>
    </row>
    <row r="958" spans="1:9">
      <c r="A958" s="33"/>
      <c r="B958" s="29"/>
      <c r="C958" s="29"/>
      <c r="D958" s="30"/>
      <c r="E958" s="30"/>
      <c r="F958" s="35"/>
      <c r="G958" s="35"/>
      <c r="H958" s="35" t="str">
        <f t="shared" si="14"/>
        <v/>
      </c>
      <c r="I958" s="29"/>
    </row>
    <row r="959" spans="1:9">
      <c r="A959" s="33"/>
      <c r="B959" s="29"/>
      <c r="C959" s="29"/>
      <c r="D959" s="30"/>
      <c r="E959" s="30"/>
      <c r="F959" s="35"/>
      <c r="G959" s="35"/>
      <c r="H959" s="35" t="str">
        <f t="shared" si="14"/>
        <v/>
      </c>
      <c r="I959" s="29"/>
    </row>
    <row r="960" spans="1:9">
      <c r="A960" s="33"/>
      <c r="B960" s="29"/>
      <c r="C960" s="29"/>
      <c r="D960" s="30"/>
      <c r="E960" s="30"/>
      <c r="F960" s="35"/>
      <c r="G960" s="35"/>
      <c r="H960" s="35" t="str">
        <f t="shared" si="14"/>
        <v/>
      </c>
      <c r="I960" s="29"/>
    </row>
    <row r="961" spans="1:9">
      <c r="A961" s="33"/>
      <c r="B961" s="29"/>
      <c r="C961" s="29"/>
      <c r="D961" s="30"/>
      <c r="E961" s="30"/>
      <c r="F961" s="35"/>
      <c r="G961" s="35"/>
      <c r="H961" s="35" t="str">
        <f t="shared" si="14"/>
        <v/>
      </c>
      <c r="I961" s="29"/>
    </row>
    <row r="962" spans="1:9">
      <c r="A962" s="33"/>
      <c r="B962" s="29"/>
      <c r="C962" s="29"/>
      <c r="D962" s="30"/>
      <c r="E962" s="30"/>
      <c r="F962" s="35"/>
      <c r="G962" s="35"/>
      <c r="H962" s="35" t="str">
        <f t="shared" si="14"/>
        <v/>
      </c>
      <c r="I962" s="29"/>
    </row>
    <row r="963" spans="1:9">
      <c r="A963" s="33"/>
      <c r="B963" s="29"/>
      <c r="C963" s="29"/>
      <c r="D963" s="30"/>
      <c r="E963" s="30"/>
      <c r="F963" s="35"/>
      <c r="G963" s="35"/>
      <c r="H963" s="35" t="str">
        <f t="shared" si="14"/>
        <v/>
      </c>
      <c r="I963" s="29"/>
    </row>
    <row r="964" spans="1:9">
      <c r="A964" s="33"/>
      <c r="B964" s="29"/>
      <c r="C964" s="29"/>
      <c r="D964" s="30"/>
      <c r="E964" s="30"/>
      <c r="F964" s="35"/>
      <c r="G964" s="35"/>
      <c r="H964" s="35" t="str">
        <f t="shared" ref="H964:H1027" si="15">IF(F964="","",F964-G964)</f>
        <v/>
      </c>
      <c r="I964" s="29"/>
    </row>
    <row r="965" spans="1:9">
      <c r="A965" s="33"/>
      <c r="B965" s="29"/>
      <c r="C965" s="29"/>
      <c r="D965" s="30"/>
      <c r="E965" s="30"/>
      <c r="F965" s="35"/>
      <c r="G965" s="35"/>
      <c r="H965" s="35" t="str">
        <f t="shared" si="15"/>
        <v/>
      </c>
      <c r="I965" s="29"/>
    </row>
    <row r="966" spans="1:9">
      <c r="A966" s="33"/>
      <c r="B966" s="29"/>
      <c r="C966" s="29"/>
      <c r="D966" s="30"/>
      <c r="E966" s="30"/>
      <c r="F966" s="35"/>
      <c r="G966" s="35"/>
      <c r="H966" s="35" t="str">
        <f t="shared" si="15"/>
        <v/>
      </c>
      <c r="I966" s="29"/>
    </row>
    <row r="967" spans="1:9">
      <c r="A967" s="33"/>
      <c r="B967" s="29"/>
      <c r="C967" s="29"/>
      <c r="D967" s="30"/>
      <c r="E967" s="30"/>
      <c r="F967" s="35"/>
      <c r="G967" s="35"/>
      <c r="H967" s="35" t="str">
        <f t="shared" si="15"/>
        <v/>
      </c>
      <c r="I967" s="29"/>
    </row>
    <row r="968" spans="1:9">
      <c r="A968" s="33"/>
      <c r="B968" s="29"/>
      <c r="C968" s="29"/>
      <c r="D968" s="30"/>
      <c r="E968" s="30"/>
      <c r="F968" s="35"/>
      <c r="G968" s="35"/>
      <c r="H968" s="35" t="str">
        <f t="shared" si="15"/>
        <v/>
      </c>
      <c r="I968" s="29"/>
    </row>
    <row r="969" spans="1:9">
      <c r="A969" s="33"/>
      <c r="B969" s="29"/>
      <c r="C969" s="29"/>
      <c r="D969" s="30"/>
      <c r="E969" s="30"/>
      <c r="F969" s="35"/>
      <c r="G969" s="35"/>
      <c r="H969" s="35" t="str">
        <f t="shared" si="15"/>
        <v/>
      </c>
      <c r="I969" s="29"/>
    </row>
    <row r="970" spans="1:9">
      <c r="A970" s="33"/>
      <c r="B970" s="29"/>
      <c r="C970" s="29"/>
      <c r="D970" s="30"/>
      <c r="E970" s="30"/>
      <c r="F970" s="35"/>
      <c r="G970" s="35"/>
      <c r="H970" s="35" t="str">
        <f t="shared" si="15"/>
        <v/>
      </c>
      <c r="I970" s="29"/>
    </row>
    <row r="971" spans="1:9">
      <c r="A971" s="33"/>
      <c r="B971" s="29"/>
      <c r="C971" s="29"/>
      <c r="D971" s="30"/>
      <c r="E971" s="30"/>
      <c r="F971" s="35"/>
      <c r="G971" s="35"/>
      <c r="H971" s="35" t="str">
        <f t="shared" si="15"/>
        <v/>
      </c>
      <c r="I971" s="29"/>
    </row>
    <row r="972" spans="1:9">
      <c r="A972" s="33"/>
      <c r="B972" s="29"/>
      <c r="C972" s="29"/>
      <c r="D972" s="30"/>
      <c r="E972" s="30"/>
      <c r="F972" s="35"/>
      <c r="G972" s="35"/>
      <c r="H972" s="35" t="str">
        <f t="shared" si="15"/>
        <v/>
      </c>
      <c r="I972" s="29"/>
    </row>
    <row r="973" spans="1:9">
      <c r="A973" s="33"/>
      <c r="B973" s="29"/>
      <c r="C973" s="29"/>
      <c r="D973" s="30"/>
      <c r="E973" s="30"/>
      <c r="F973" s="35"/>
      <c r="G973" s="35"/>
      <c r="H973" s="35" t="str">
        <f t="shared" si="15"/>
        <v/>
      </c>
      <c r="I973" s="29"/>
    </row>
    <row r="974" spans="1:9">
      <c r="A974" s="33"/>
      <c r="B974" s="29"/>
      <c r="C974" s="29"/>
      <c r="D974" s="30"/>
      <c r="E974" s="30"/>
      <c r="F974" s="35"/>
      <c r="G974" s="35"/>
      <c r="H974" s="35" t="str">
        <f t="shared" si="15"/>
        <v/>
      </c>
      <c r="I974" s="29"/>
    </row>
    <row r="975" spans="1:9">
      <c r="A975" s="33"/>
      <c r="B975" s="29"/>
      <c r="C975" s="29"/>
      <c r="D975" s="30"/>
      <c r="E975" s="30"/>
      <c r="F975" s="35"/>
      <c r="G975" s="35"/>
      <c r="H975" s="35" t="str">
        <f t="shared" si="15"/>
        <v/>
      </c>
      <c r="I975" s="29"/>
    </row>
    <row r="976" spans="1:9">
      <c r="A976" s="33"/>
      <c r="B976" s="29"/>
      <c r="C976" s="29"/>
      <c r="D976" s="30"/>
      <c r="E976" s="30"/>
      <c r="F976" s="35"/>
      <c r="G976" s="35"/>
      <c r="H976" s="35" t="str">
        <f t="shared" si="15"/>
        <v/>
      </c>
      <c r="I976" s="29"/>
    </row>
    <row r="977" spans="1:9">
      <c r="A977" s="33"/>
      <c r="B977" s="29"/>
      <c r="C977" s="29"/>
      <c r="D977" s="30"/>
      <c r="E977" s="30"/>
      <c r="F977" s="35"/>
      <c r="G977" s="35"/>
      <c r="H977" s="35" t="str">
        <f t="shared" si="15"/>
        <v/>
      </c>
      <c r="I977" s="29"/>
    </row>
    <row r="978" spans="1:9">
      <c r="A978" s="33"/>
      <c r="B978" s="29"/>
      <c r="C978" s="29"/>
      <c r="D978" s="30"/>
      <c r="E978" s="30"/>
      <c r="F978" s="35"/>
      <c r="G978" s="35"/>
      <c r="H978" s="35" t="str">
        <f t="shared" si="15"/>
        <v/>
      </c>
      <c r="I978" s="29"/>
    </row>
    <row r="979" spans="1:9">
      <c r="A979" s="33"/>
      <c r="B979" s="29"/>
      <c r="C979" s="29"/>
      <c r="D979" s="30"/>
      <c r="E979" s="30"/>
      <c r="F979" s="35"/>
      <c r="G979" s="35"/>
      <c r="H979" s="35" t="str">
        <f t="shared" si="15"/>
        <v/>
      </c>
      <c r="I979" s="29"/>
    </row>
    <row r="980" spans="1:9">
      <c r="A980" s="33"/>
      <c r="B980" s="29"/>
      <c r="C980" s="29"/>
      <c r="D980" s="30"/>
      <c r="E980" s="30"/>
      <c r="F980" s="35"/>
      <c r="G980" s="35"/>
      <c r="H980" s="35" t="str">
        <f t="shared" si="15"/>
        <v/>
      </c>
      <c r="I980" s="29"/>
    </row>
    <row r="981" spans="1:9">
      <c r="A981" s="33"/>
      <c r="B981" s="29"/>
      <c r="C981" s="29"/>
      <c r="D981" s="30"/>
      <c r="E981" s="30"/>
      <c r="F981" s="35"/>
      <c r="G981" s="35"/>
      <c r="H981" s="35" t="str">
        <f t="shared" si="15"/>
        <v/>
      </c>
      <c r="I981" s="29"/>
    </row>
    <row r="982" spans="1:9">
      <c r="A982" s="33"/>
      <c r="B982" s="29"/>
      <c r="C982" s="29"/>
      <c r="D982" s="30"/>
      <c r="E982" s="30"/>
      <c r="F982" s="35"/>
      <c r="G982" s="35"/>
      <c r="H982" s="35" t="str">
        <f t="shared" si="15"/>
        <v/>
      </c>
      <c r="I982" s="29"/>
    </row>
    <row r="983" spans="1:9">
      <c r="A983" s="33"/>
      <c r="B983" s="29"/>
      <c r="C983" s="29"/>
      <c r="D983" s="30"/>
      <c r="E983" s="30"/>
      <c r="F983" s="35"/>
      <c r="G983" s="35"/>
      <c r="H983" s="35" t="str">
        <f t="shared" si="15"/>
        <v/>
      </c>
      <c r="I983" s="29"/>
    </row>
    <row r="984" spans="1:9">
      <c r="A984" s="33"/>
      <c r="B984" s="29"/>
      <c r="C984" s="29"/>
      <c r="D984" s="30"/>
      <c r="E984" s="30"/>
      <c r="F984" s="35"/>
      <c r="G984" s="35"/>
      <c r="H984" s="35" t="str">
        <f t="shared" si="15"/>
        <v/>
      </c>
      <c r="I984" s="29"/>
    </row>
    <row r="985" spans="1:9">
      <c r="A985" s="33"/>
      <c r="B985" s="29"/>
      <c r="C985" s="29"/>
      <c r="D985" s="30"/>
      <c r="E985" s="30"/>
      <c r="F985" s="35"/>
      <c r="G985" s="35"/>
      <c r="H985" s="35" t="str">
        <f t="shared" si="15"/>
        <v/>
      </c>
      <c r="I985" s="29"/>
    </row>
    <row r="986" spans="1:9">
      <c r="A986" s="33"/>
      <c r="B986" s="29"/>
      <c r="C986" s="29"/>
      <c r="D986" s="30"/>
      <c r="E986" s="30"/>
      <c r="F986" s="35"/>
      <c r="G986" s="35"/>
      <c r="H986" s="35" t="str">
        <f t="shared" si="15"/>
        <v/>
      </c>
      <c r="I986" s="29"/>
    </row>
    <row r="987" spans="1:9">
      <c r="A987" s="33"/>
      <c r="B987" s="29"/>
      <c r="C987" s="29"/>
      <c r="D987" s="30"/>
      <c r="E987" s="30"/>
      <c r="F987" s="35"/>
      <c r="G987" s="35"/>
      <c r="H987" s="35" t="str">
        <f t="shared" si="15"/>
        <v/>
      </c>
      <c r="I987" s="29"/>
    </row>
    <row r="988" spans="1:9">
      <c r="A988" s="33"/>
      <c r="B988" s="29"/>
      <c r="C988" s="29"/>
      <c r="D988" s="30"/>
      <c r="E988" s="30"/>
      <c r="F988" s="35"/>
      <c r="G988" s="35"/>
      <c r="H988" s="35" t="str">
        <f t="shared" si="15"/>
        <v/>
      </c>
      <c r="I988" s="29"/>
    </row>
    <row r="989" spans="1:9">
      <c r="A989" s="33"/>
      <c r="B989" s="29"/>
      <c r="C989" s="29"/>
      <c r="D989" s="30"/>
      <c r="E989" s="30"/>
      <c r="F989" s="35"/>
      <c r="G989" s="35"/>
      <c r="H989" s="35" t="str">
        <f t="shared" si="15"/>
        <v/>
      </c>
      <c r="I989" s="29"/>
    </row>
    <row r="990" spans="1:9">
      <c r="A990" s="33"/>
      <c r="B990" s="29"/>
      <c r="C990" s="29"/>
      <c r="D990" s="30"/>
      <c r="E990" s="30"/>
      <c r="F990" s="35"/>
      <c r="G990" s="35"/>
      <c r="H990" s="35" t="str">
        <f t="shared" si="15"/>
        <v/>
      </c>
      <c r="I990" s="29"/>
    </row>
    <row r="991" spans="1:9">
      <c r="A991" s="33"/>
      <c r="B991" s="29"/>
      <c r="C991" s="29"/>
      <c r="D991" s="30"/>
      <c r="E991" s="30"/>
      <c r="F991" s="35"/>
      <c r="G991" s="35"/>
      <c r="H991" s="35" t="str">
        <f t="shared" si="15"/>
        <v/>
      </c>
      <c r="I991" s="29"/>
    </row>
    <row r="992" spans="1:9">
      <c r="A992" s="33"/>
      <c r="B992" s="29"/>
      <c r="C992" s="29"/>
      <c r="D992" s="30"/>
      <c r="E992" s="30"/>
      <c r="F992" s="35"/>
      <c r="G992" s="35"/>
      <c r="H992" s="35" t="str">
        <f t="shared" si="15"/>
        <v/>
      </c>
      <c r="I992" s="29"/>
    </row>
    <row r="993" spans="1:9">
      <c r="A993" s="33"/>
      <c r="B993" s="29"/>
      <c r="C993" s="29"/>
      <c r="D993" s="30"/>
      <c r="E993" s="30"/>
      <c r="F993" s="35"/>
      <c r="G993" s="35"/>
      <c r="H993" s="35" t="str">
        <f t="shared" si="15"/>
        <v/>
      </c>
      <c r="I993" s="29"/>
    </row>
    <row r="994" spans="1:9">
      <c r="A994" s="33"/>
      <c r="B994" s="29"/>
      <c r="C994" s="29"/>
      <c r="D994" s="30"/>
      <c r="E994" s="30"/>
      <c r="F994" s="35"/>
      <c r="G994" s="35"/>
      <c r="H994" s="35" t="str">
        <f t="shared" si="15"/>
        <v/>
      </c>
      <c r="I994" s="29"/>
    </row>
    <row r="995" spans="1:9">
      <c r="A995" s="33"/>
      <c r="B995" s="29"/>
      <c r="C995" s="29"/>
      <c r="D995" s="30"/>
      <c r="E995" s="30"/>
      <c r="F995" s="35"/>
      <c r="G995" s="35"/>
      <c r="H995" s="35" t="str">
        <f t="shared" si="15"/>
        <v/>
      </c>
      <c r="I995" s="29"/>
    </row>
    <row r="996" spans="1:9">
      <c r="A996" s="33"/>
      <c r="B996" s="29"/>
      <c r="C996" s="29"/>
      <c r="D996" s="30"/>
      <c r="E996" s="30"/>
      <c r="F996" s="35"/>
      <c r="G996" s="35"/>
      <c r="H996" s="35" t="str">
        <f t="shared" si="15"/>
        <v/>
      </c>
      <c r="I996" s="29"/>
    </row>
    <row r="997" spans="1:9">
      <c r="A997" s="33"/>
      <c r="B997" s="29"/>
      <c r="C997" s="29"/>
      <c r="D997" s="30"/>
      <c r="E997" s="30"/>
      <c r="F997" s="35"/>
      <c r="G997" s="35"/>
      <c r="H997" s="35" t="str">
        <f t="shared" si="15"/>
        <v/>
      </c>
      <c r="I997" s="29"/>
    </row>
    <row r="998" spans="1:9">
      <c r="A998" s="33"/>
      <c r="B998" s="29"/>
      <c r="C998" s="29"/>
      <c r="D998" s="30"/>
      <c r="E998" s="30"/>
      <c r="F998" s="35"/>
      <c r="G998" s="35"/>
      <c r="H998" s="35" t="str">
        <f t="shared" si="15"/>
        <v/>
      </c>
      <c r="I998" s="29"/>
    </row>
    <row r="999" spans="1:9">
      <c r="A999" s="33"/>
      <c r="B999" s="29"/>
      <c r="C999" s="29"/>
      <c r="D999" s="30"/>
      <c r="E999" s="30"/>
      <c r="F999" s="35"/>
      <c r="G999" s="35"/>
      <c r="H999" s="35" t="str">
        <f t="shared" si="15"/>
        <v/>
      </c>
      <c r="I999" s="29"/>
    </row>
    <row r="1000" spans="1:9">
      <c r="A1000" s="33"/>
      <c r="B1000" s="29"/>
      <c r="C1000" s="29"/>
      <c r="D1000" s="30"/>
      <c r="E1000" s="30"/>
      <c r="F1000" s="35"/>
      <c r="G1000" s="35"/>
      <c r="H1000" s="35" t="str">
        <f t="shared" si="15"/>
        <v/>
      </c>
      <c r="I1000" s="29"/>
    </row>
    <row r="1001" spans="1:9">
      <c r="A1001" s="33"/>
      <c r="B1001" s="29"/>
      <c r="C1001" s="29"/>
      <c r="D1001" s="30"/>
      <c r="E1001" s="30"/>
      <c r="F1001" s="35"/>
      <c r="G1001" s="35"/>
      <c r="H1001" s="35" t="str">
        <f t="shared" si="15"/>
        <v/>
      </c>
      <c r="I1001" s="29"/>
    </row>
    <row r="1002" spans="1:9">
      <c r="A1002" s="33"/>
      <c r="B1002" s="29"/>
      <c r="C1002" s="29"/>
      <c r="D1002" s="30"/>
      <c r="E1002" s="30"/>
      <c r="F1002" s="35"/>
      <c r="G1002" s="35"/>
      <c r="H1002" s="35" t="str">
        <f t="shared" si="15"/>
        <v/>
      </c>
      <c r="I1002" s="29"/>
    </row>
    <row r="1003" spans="1:9">
      <c r="A1003" s="33"/>
      <c r="B1003" s="29"/>
      <c r="C1003" s="29"/>
      <c r="D1003" s="30"/>
      <c r="E1003" s="30"/>
      <c r="F1003" s="35"/>
      <c r="G1003" s="35"/>
      <c r="H1003" s="35" t="str">
        <f t="shared" si="15"/>
        <v/>
      </c>
      <c r="I1003" s="29"/>
    </row>
    <row r="1004" spans="1:9">
      <c r="A1004" s="33"/>
      <c r="B1004" s="29"/>
      <c r="C1004" s="29"/>
      <c r="D1004" s="30"/>
      <c r="E1004" s="30"/>
      <c r="F1004" s="35"/>
      <c r="G1004" s="35"/>
      <c r="H1004" s="35" t="str">
        <f t="shared" si="15"/>
        <v/>
      </c>
      <c r="I1004" s="29"/>
    </row>
    <row r="1005" spans="1:9">
      <c r="A1005" s="33"/>
      <c r="B1005" s="29"/>
      <c r="C1005" s="29"/>
      <c r="D1005" s="30"/>
      <c r="E1005" s="30"/>
      <c r="F1005" s="35"/>
      <c r="G1005" s="35"/>
      <c r="H1005" s="35" t="str">
        <f t="shared" si="15"/>
        <v/>
      </c>
      <c r="I1005" s="29"/>
    </row>
    <row r="1006" spans="1:9">
      <c r="A1006" s="33"/>
      <c r="B1006" s="29"/>
      <c r="C1006" s="29"/>
      <c r="D1006" s="30"/>
      <c r="E1006" s="30"/>
      <c r="F1006" s="35"/>
      <c r="G1006" s="35"/>
      <c r="H1006" s="35" t="str">
        <f t="shared" si="15"/>
        <v/>
      </c>
      <c r="I1006" s="29"/>
    </row>
    <row r="1007" spans="1:9">
      <c r="A1007" s="33"/>
      <c r="B1007" s="29"/>
      <c r="C1007" s="29"/>
      <c r="D1007" s="30"/>
      <c r="E1007" s="30"/>
      <c r="F1007" s="35"/>
      <c r="G1007" s="35"/>
      <c r="H1007" s="35" t="str">
        <f t="shared" si="15"/>
        <v/>
      </c>
      <c r="I1007" s="29"/>
    </row>
    <row r="1008" spans="1:9">
      <c r="A1008" s="33"/>
      <c r="B1008" s="29"/>
      <c r="C1008" s="29"/>
      <c r="D1008" s="30"/>
      <c r="E1008" s="30"/>
      <c r="F1008" s="35"/>
      <c r="G1008" s="35"/>
      <c r="H1008" s="35" t="str">
        <f t="shared" si="15"/>
        <v/>
      </c>
      <c r="I1008" s="29"/>
    </row>
    <row r="1009" spans="1:9">
      <c r="A1009" s="33"/>
      <c r="B1009" s="29"/>
      <c r="C1009" s="29"/>
      <c r="D1009" s="30"/>
      <c r="E1009" s="30"/>
      <c r="F1009" s="35"/>
      <c r="G1009" s="35"/>
      <c r="H1009" s="35" t="str">
        <f t="shared" si="15"/>
        <v/>
      </c>
      <c r="I1009" s="29"/>
    </row>
    <row r="1010" spans="1:9">
      <c r="A1010" s="33"/>
      <c r="B1010" s="29"/>
      <c r="C1010" s="29"/>
      <c r="D1010" s="30"/>
      <c r="E1010" s="30"/>
      <c r="F1010" s="35"/>
      <c r="G1010" s="35"/>
      <c r="H1010" s="35" t="str">
        <f t="shared" si="15"/>
        <v/>
      </c>
      <c r="I1010" s="29"/>
    </row>
    <row r="1011" spans="1:9">
      <c r="A1011" s="33"/>
      <c r="B1011" s="29"/>
      <c r="C1011" s="29"/>
      <c r="D1011" s="30"/>
      <c r="E1011" s="30"/>
      <c r="F1011" s="35"/>
      <c r="G1011" s="35"/>
      <c r="H1011" s="35" t="str">
        <f t="shared" si="15"/>
        <v/>
      </c>
      <c r="I1011" s="29"/>
    </row>
    <row r="1012" spans="1:9">
      <c r="A1012" s="33"/>
      <c r="B1012" s="29"/>
      <c r="C1012" s="29"/>
      <c r="D1012" s="30"/>
      <c r="E1012" s="30"/>
      <c r="F1012" s="35"/>
      <c r="G1012" s="35"/>
      <c r="H1012" s="35" t="str">
        <f t="shared" si="15"/>
        <v/>
      </c>
      <c r="I1012" s="29"/>
    </row>
    <row r="1013" spans="1:9">
      <c r="A1013" s="33"/>
      <c r="B1013" s="29"/>
      <c r="C1013" s="29"/>
      <c r="D1013" s="30"/>
      <c r="E1013" s="30"/>
      <c r="F1013" s="35"/>
      <c r="G1013" s="35"/>
      <c r="H1013" s="35" t="str">
        <f t="shared" si="15"/>
        <v/>
      </c>
      <c r="I1013" s="29"/>
    </row>
    <row r="1014" spans="1:9">
      <c r="A1014" s="33"/>
      <c r="B1014" s="29"/>
      <c r="C1014" s="29"/>
      <c r="D1014" s="30"/>
      <c r="E1014" s="30"/>
      <c r="F1014" s="35"/>
      <c r="G1014" s="35"/>
      <c r="H1014" s="35" t="str">
        <f t="shared" si="15"/>
        <v/>
      </c>
      <c r="I1014" s="29"/>
    </row>
    <row r="1015" spans="1:9">
      <c r="A1015" s="33"/>
      <c r="B1015" s="29"/>
      <c r="C1015" s="29"/>
      <c r="D1015" s="30"/>
      <c r="E1015" s="30"/>
      <c r="F1015" s="35"/>
      <c r="G1015" s="35"/>
      <c r="H1015" s="35" t="str">
        <f t="shared" si="15"/>
        <v/>
      </c>
      <c r="I1015" s="29"/>
    </row>
    <row r="1016" spans="1:9">
      <c r="A1016" s="33"/>
      <c r="B1016" s="29"/>
      <c r="C1016" s="29"/>
      <c r="D1016" s="30"/>
      <c r="E1016" s="30"/>
      <c r="F1016" s="35"/>
      <c r="G1016" s="35"/>
      <c r="H1016" s="35" t="str">
        <f t="shared" si="15"/>
        <v/>
      </c>
      <c r="I1016" s="29"/>
    </row>
    <row r="1017" spans="1:9">
      <c r="A1017" s="33"/>
      <c r="B1017" s="29"/>
      <c r="C1017" s="29"/>
      <c r="D1017" s="30"/>
      <c r="E1017" s="30"/>
      <c r="F1017" s="35"/>
      <c r="G1017" s="35"/>
      <c r="H1017" s="35" t="str">
        <f t="shared" si="15"/>
        <v/>
      </c>
      <c r="I1017" s="29"/>
    </row>
    <row r="1018" spans="1:9">
      <c r="A1018" s="33"/>
      <c r="B1018" s="29"/>
      <c r="C1018" s="29"/>
      <c r="D1018" s="30"/>
      <c r="E1018" s="30"/>
      <c r="F1018" s="35"/>
      <c r="G1018" s="35"/>
      <c r="H1018" s="35" t="str">
        <f t="shared" si="15"/>
        <v/>
      </c>
      <c r="I1018" s="29"/>
    </row>
    <row r="1019" spans="1:9">
      <c r="A1019" s="33"/>
      <c r="B1019" s="29"/>
      <c r="C1019" s="29"/>
      <c r="D1019" s="30"/>
      <c r="E1019" s="30"/>
      <c r="F1019" s="35"/>
      <c r="G1019" s="35"/>
      <c r="H1019" s="35" t="str">
        <f t="shared" si="15"/>
        <v/>
      </c>
      <c r="I1019" s="29"/>
    </row>
    <row r="1020" spans="1:9">
      <c r="A1020" s="33"/>
      <c r="B1020" s="29"/>
      <c r="C1020" s="29"/>
      <c r="D1020" s="30"/>
      <c r="E1020" s="30"/>
      <c r="F1020" s="35"/>
      <c r="G1020" s="35"/>
      <c r="H1020" s="35" t="str">
        <f t="shared" si="15"/>
        <v/>
      </c>
      <c r="I1020" s="29"/>
    </row>
    <row r="1021" spans="1:9">
      <c r="A1021" s="33"/>
      <c r="B1021" s="29"/>
      <c r="C1021" s="29"/>
      <c r="D1021" s="30"/>
      <c r="E1021" s="30"/>
      <c r="F1021" s="35"/>
      <c r="G1021" s="35"/>
      <c r="H1021" s="35" t="str">
        <f t="shared" si="15"/>
        <v/>
      </c>
      <c r="I1021" s="29"/>
    </row>
    <row r="1022" spans="1:9">
      <c r="A1022" s="33"/>
      <c r="B1022" s="29"/>
      <c r="C1022" s="29"/>
      <c r="D1022" s="30"/>
      <c r="E1022" s="30"/>
      <c r="F1022" s="35"/>
      <c r="G1022" s="35"/>
      <c r="H1022" s="35" t="str">
        <f t="shared" si="15"/>
        <v/>
      </c>
      <c r="I1022" s="29"/>
    </row>
    <row r="1023" spans="1:9">
      <c r="A1023" s="33"/>
      <c r="B1023" s="29"/>
      <c r="C1023" s="29"/>
      <c r="D1023" s="30"/>
      <c r="E1023" s="30"/>
      <c r="F1023" s="35"/>
      <c r="G1023" s="35"/>
      <c r="H1023" s="35" t="str">
        <f t="shared" si="15"/>
        <v/>
      </c>
      <c r="I1023" s="29"/>
    </row>
    <row r="1024" spans="1:9">
      <c r="A1024" s="33"/>
      <c r="B1024" s="29"/>
      <c r="C1024" s="29"/>
      <c r="D1024" s="30"/>
      <c r="E1024" s="30"/>
      <c r="F1024" s="35"/>
      <c r="G1024" s="35"/>
      <c r="H1024" s="35" t="str">
        <f t="shared" si="15"/>
        <v/>
      </c>
      <c r="I1024" s="29"/>
    </row>
    <row r="1025" spans="1:9">
      <c r="A1025" s="33"/>
      <c r="B1025" s="29"/>
      <c r="C1025" s="29"/>
      <c r="D1025" s="30"/>
      <c r="E1025" s="30"/>
      <c r="F1025" s="35"/>
      <c r="G1025" s="35"/>
      <c r="H1025" s="35" t="str">
        <f t="shared" si="15"/>
        <v/>
      </c>
      <c r="I1025" s="29"/>
    </row>
    <row r="1026" spans="1:9">
      <c r="A1026" s="33"/>
      <c r="B1026" s="29"/>
      <c r="C1026" s="29"/>
      <c r="D1026" s="30"/>
      <c r="E1026" s="30"/>
      <c r="F1026" s="35"/>
      <c r="G1026" s="35"/>
      <c r="H1026" s="35" t="str">
        <f t="shared" si="15"/>
        <v/>
      </c>
      <c r="I1026" s="29"/>
    </row>
    <row r="1027" spans="1:9">
      <c r="A1027" s="33"/>
      <c r="B1027" s="29"/>
      <c r="C1027" s="29"/>
      <c r="D1027" s="30"/>
      <c r="E1027" s="30"/>
      <c r="F1027" s="35"/>
      <c r="G1027" s="35"/>
      <c r="H1027" s="35" t="str">
        <f t="shared" si="15"/>
        <v/>
      </c>
      <c r="I1027" s="29"/>
    </row>
    <row r="1028" spans="1:9">
      <c r="A1028" s="33"/>
      <c r="B1028" s="29"/>
      <c r="C1028" s="29"/>
      <c r="D1028" s="30"/>
      <c r="E1028" s="30"/>
      <c r="F1028" s="35"/>
      <c r="G1028" s="35"/>
      <c r="H1028" s="35" t="str">
        <f t="shared" ref="H1028:H1091" si="16">IF(F1028="","",F1028-G1028)</f>
        <v/>
      </c>
      <c r="I1028" s="29"/>
    </row>
    <row r="1029" spans="1:9">
      <c r="A1029" s="33"/>
      <c r="B1029" s="29"/>
      <c r="C1029" s="29"/>
      <c r="D1029" s="30"/>
      <c r="E1029" s="30"/>
      <c r="F1029" s="35"/>
      <c r="G1029" s="35"/>
      <c r="H1029" s="35" t="str">
        <f t="shared" si="16"/>
        <v/>
      </c>
      <c r="I1029" s="29"/>
    </row>
    <row r="1030" spans="1:9">
      <c r="A1030" s="33"/>
      <c r="B1030" s="29"/>
      <c r="C1030" s="29"/>
      <c r="D1030" s="30"/>
      <c r="E1030" s="30"/>
      <c r="F1030" s="35"/>
      <c r="G1030" s="35"/>
      <c r="H1030" s="35" t="str">
        <f t="shared" si="16"/>
        <v/>
      </c>
      <c r="I1030" s="29"/>
    </row>
    <row r="1031" spans="1:9">
      <c r="A1031" s="33"/>
      <c r="B1031" s="29"/>
      <c r="C1031" s="29"/>
      <c r="D1031" s="30"/>
      <c r="E1031" s="30"/>
      <c r="F1031" s="35"/>
      <c r="G1031" s="35"/>
      <c r="H1031" s="35" t="str">
        <f t="shared" si="16"/>
        <v/>
      </c>
      <c r="I1031" s="29"/>
    </row>
    <row r="1032" spans="1:9">
      <c r="A1032" s="33"/>
      <c r="B1032" s="29"/>
      <c r="C1032" s="29"/>
      <c r="D1032" s="30"/>
      <c r="E1032" s="30"/>
      <c r="F1032" s="35"/>
      <c r="G1032" s="35"/>
      <c r="H1032" s="35" t="str">
        <f t="shared" si="16"/>
        <v/>
      </c>
      <c r="I1032" s="29"/>
    </row>
    <row r="1033" spans="1:9">
      <c r="A1033" s="33"/>
      <c r="B1033" s="29"/>
      <c r="C1033" s="29"/>
      <c r="D1033" s="30"/>
      <c r="E1033" s="30"/>
      <c r="F1033" s="35"/>
      <c r="G1033" s="35"/>
      <c r="H1033" s="35" t="str">
        <f t="shared" si="16"/>
        <v/>
      </c>
      <c r="I1033" s="29"/>
    </row>
    <row r="1034" spans="1:9">
      <c r="A1034" s="33"/>
      <c r="B1034" s="29"/>
      <c r="C1034" s="29"/>
      <c r="D1034" s="30"/>
      <c r="E1034" s="30"/>
      <c r="F1034" s="35"/>
      <c r="G1034" s="35"/>
      <c r="H1034" s="35" t="str">
        <f t="shared" si="16"/>
        <v/>
      </c>
      <c r="I1034" s="29"/>
    </row>
    <row r="1035" spans="1:9">
      <c r="A1035" s="33"/>
      <c r="B1035" s="29"/>
      <c r="C1035" s="29"/>
      <c r="D1035" s="30"/>
      <c r="E1035" s="30"/>
      <c r="F1035" s="35"/>
      <c r="G1035" s="35"/>
      <c r="H1035" s="35" t="str">
        <f t="shared" si="16"/>
        <v/>
      </c>
      <c r="I1035" s="29"/>
    </row>
    <row r="1036" spans="1:9">
      <c r="A1036" s="33"/>
      <c r="B1036" s="29"/>
      <c r="C1036" s="29"/>
      <c r="D1036" s="30"/>
      <c r="E1036" s="30"/>
      <c r="F1036" s="35"/>
      <c r="G1036" s="35"/>
      <c r="H1036" s="35" t="str">
        <f t="shared" si="16"/>
        <v/>
      </c>
      <c r="I1036" s="29"/>
    </row>
    <row r="1037" spans="1:9">
      <c r="A1037" s="33"/>
      <c r="B1037" s="29"/>
      <c r="C1037" s="29"/>
      <c r="D1037" s="30"/>
      <c r="E1037" s="30"/>
      <c r="F1037" s="35"/>
      <c r="G1037" s="35"/>
      <c r="H1037" s="35" t="str">
        <f t="shared" si="16"/>
        <v/>
      </c>
      <c r="I1037" s="29"/>
    </row>
    <row r="1038" spans="1:9">
      <c r="A1038" s="33"/>
      <c r="B1038" s="29"/>
      <c r="C1038" s="29"/>
      <c r="D1038" s="30"/>
      <c r="E1038" s="30"/>
      <c r="F1038" s="35"/>
      <c r="G1038" s="35"/>
      <c r="H1038" s="35" t="str">
        <f t="shared" si="16"/>
        <v/>
      </c>
      <c r="I1038" s="29"/>
    </row>
    <row r="1039" spans="1:9">
      <c r="A1039" s="33"/>
      <c r="B1039" s="29"/>
      <c r="C1039" s="29"/>
      <c r="D1039" s="30"/>
      <c r="E1039" s="30"/>
      <c r="F1039" s="35"/>
      <c r="G1039" s="35"/>
      <c r="H1039" s="35" t="str">
        <f t="shared" si="16"/>
        <v/>
      </c>
      <c r="I1039" s="29"/>
    </row>
    <row r="1040" spans="1:9">
      <c r="A1040" s="33"/>
      <c r="B1040" s="29"/>
      <c r="C1040" s="29"/>
      <c r="D1040" s="30"/>
      <c r="E1040" s="30"/>
      <c r="F1040" s="35"/>
      <c r="G1040" s="35"/>
      <c r="H1040" s="35" t="str">
        <f t="shared" si="16"/>
        <v/>
      </c>
      <c r="I1040" s="29"/>
    </row>
    <row r="1041" spans="1:9">
      <c r="A1041" s="33"/>
      <c r="B1041" s="29"/>
      <c r="C1041" s="29"/>
      <c r="D1041" s="30"/>
      <c r="E1041" s="30"/>
      <c r="F1041" s="35"/>
      <c r="G1041" s="35"/>
      <c r="H1041" s="35" t="str">
        <f t="shared" si="16"/>
        <v/>
      </c>
      <c r="I1041" s="29"/>
    </row>
    <row r="1042" spans="1:9">
      <c r="A1042" s="33"/>
      <c r="B1042" s="29"/>
      <c r="C1042" s="29"/>
      <c r="D1042" s="30"/>
      <c r="E1042" s="30"/>
      <c r="F1042" s="35"/>
      <c r="G1042" s="35"/>
      <c r="H1042" s="35" t="str">
        <f t="shared" si="16"/>
        <v/>
      </c>
      <c r="I1042" s="29"/>
    </row>
    <row r="1043" spans="1:9">
      <c r="A1043" s="33"/>
      <c r="B1043" s="29"/>
      <c r="C1043" s="29"/>
      <c r="D1043" s="30"/>
      <c r="E1043" s="30"/>
      <c r="F1043" s="35"/>
      <c r="G1043" s="35"/>
      <c r="H1043" s="35" t="str">
        <f t="shared" si="16"/>
        <v/>
      </c>
      <c r="I1043" s="29"/>
    </row>
    <row r="1044" spans="1:9">
      <c r="A1044" s="33"/>
      <c r="B1044" s="29"/>
      <c r="C1044" s="29"/>
      <c r="D1044" s="30"/>
      <c r="E1044" s="30"/>
      <c r="F1044" s="35"/>
      <c r="G1044" s="35"/>
      <c r="H1044" s="35" t="str">
        <f t="shared" si="16"/>
        <v/>
      </c>
      <c r="I1044" s="29"/>
    </row>
    <row r="1045" spans="1:9">
      <c r="A1045" s="33"/>
      <c r="B1045" s="29"/>
      <c r="C1045" s="29"/>
      <c r="D1045" s="30"/>
      <c r="E1045" s="30"/>
      <c r="F1045" s="35"/>
      <c r="G1045" s="35"/>
      <c r="H1045" s="35" t="str">
        <f t="shared" si="16"/>
        <v/>
      </c>
      <c r="I1045" s="29"/>
    </row>
    <row r="1046" spans="1:9">
      <c r="A1046" s="33"/>
      <c r="B1046" s="29"/>
      <c r="C1046" s="29"/>
      <c r="D1046" s="30"/>
      <c r="E1046" s="30"/>
      <c r="F1046" s="35"/>
      <c r="G1046" s="35"/>
      <c r="H1046" s="35" t="str">
        <f t="shared" si="16"/>
        <v/>
      </c>
      <c r="I1046" s="29"/>
    </row>
    <row r="1047" spans="1:9">
      <c r="A1047" s="33"/>
      <c r="B1047" s="29"/>
      <c r="C1047" s="29"/>
      <c r="D1047" s="30"/>
      <c r="E1047" s="30"/>
      <c r="F1047" s="35"/>
      <c r="G1047" s="35"/>
      <c r="H1047" s="35" t="str">
        <f t="shared" si="16"/>
        <v/>
      </c>
      <c r="I1047" s="29"/>
    </row>
    <row r="1048" spans="1:9">
      <c r="A1048" s="33"/>
      <c r="B1048" s="29"/>
      <c r="C1048" s="29"/>
      <c r="D1048" s="30"/>
      <c r="E1048" s="30"/>
      <c r="F1048" s="35"/>
      <c r="G1048" s="35"/>
      <c r="H1048" s="35" t="str">
        <f t="shared" si="16"/>
        <v/>
      </c>
      <c r="I1048" s="29"/>
    </row>
    <row r="1049" spans="1:9">
      <c r="A1049" s="33"/>
      <c r="B1049" s="29"/>
      <c r="C1049" s="29"/>
      <c r="D1049" s="30"/>
      <c r="E1049" s="30"/>
      <c r="F1049" s="35"/>
      <c r="G1049" s="35"/>
      <c r="H1049" s="35" t="str">
        <f t="shared" si="16"/>
        <v/>
      </c>
      <c r="I1049" s="29"/>
    </row>
    <row r="1050" spans="1:9">
      <c r="A1050" s="33"/>
      <c r="B1050" s="29"/>
      <c r="C1050" s="29"/>
      <c r="D1050" s="30"/>
      <c r="E1050" s="30"/>
      <c r="F1050" s="35"/>
      <c r="G1050" s="35"/>
      <c r="H1050" s="35" t="str">
        <f t="shared" si="16"/>
        <v/>
      </c>
      <c r="I1050" s="29"/>
    </row>
    <row r="1051" spans="1:9">
      <c r="A1051" s="33"/>
      <c r="B1051" s="29"/>
      <c r="C1051" s="29"/>
      <c r="D1051" s="30"/>
      <c r="E1051" s="30"/>
      <c r="F1051" s="35"/>
      <c r="G1051" s="35"/>
      <c r="H1051" s="35" t="str">
        <f t="shared" si="16"/>
        <v/>
      </c>
      <c r="I1051" s="29"/>
    </row>
    <row r="1052" spans="1:9">
      <c r="A1052" s="33"/>
      <c r="B1052" s="29"/>
      <c r="C1052" s="29"/>
      <c r="D1052" s="30"/>
      <c r="E1052" s="30"/>
      <c r="F1052" s="35"/>
      <c r="G1052" s="35"/>
      <c r="H1052" s="35" t="str">
        <f t="shared" si="16"/>
        <v/>
      </c>
      <c r="I1052" s="29"/>
    </row>
    <row r="1053" spans="1:9">
      <c r="A1053" s="33"/>
      <c r="B1053" s="29"/>
      <c r="C1053" s="29"/>
      <c r="D1053" s="30"/>
      <c r="E1053" s="30"/>
      <c r="F1053" s="35"/>
      <c r="G1053" s="35"/>
      <c r="H1053" s="35" t="str">
        <f t="shared" si="16"/>
        <v/>
      </c>
      <c r="I1053" s="29"/>
    </row>
    <row r="1054" spans="1:9">
      <c r="A1054" s="33"/>
      <c r="B1054" s="29"/>
      <c r="C1054" s="29"/>
      <c r="D1054" s="30"/>
      <c r="E1054" s="30"/>
      <c r="F1054" s="35"/>
      <c r="G1054" s="35"/>
      <c r="H1054" s="35" t="str">
        <f t="shared" si="16"/>
        <v/>
      </c>
      <c r="I1054" s="29"/>
    </row>
    <row r="1055" spans="1:9">
      <c r="A1055" s="33"/>
      <c r="B1055" s="29"/>
      <c r="C1055" s="29"/>
      <c r="D1055" s="30"/>
      <c r="E1055" s="30"/>
      <c r="F1055" s="35"/>
      <c r="G1055" s="35"/>
      <c r="H1055" s="35" t="str">
        <f t="shared" si="16"/>
        <v/>
      </c>
      <c r="I1055" s="29"/>
    </row>
    <row r="1056" spans="1:9">
      <c r="A1056" s="33"/>
      <c r="B1056" s="29"/>
      <c r="C1056" s="29"/>
      <c r="D1056" s="30"/>
      <c r="E1056" s="30"/>
      <c r="F1056" s="35"/>
      <c r="G1056" s="35"/>
      <c r="H1056" s="35" t="str">
        <f t="shared" si="16"/>
        <v/>
      </c>
      <c r="I1056" s="29"/>
    </row>
    <row r="1057" spans="1:9">
      <c r="A1057" s="33"/>
      <c r="B1057" s="29"/>
      <c r="C1057" s="29"/>
      <c r="D1057" s="30"/>
      <c r="E1057" s="30"/>
      <c r="F1057" s="35"/>
      <c r="G1057" s="35"/>
      <c r="H1057" s="35" t="str">
        <f t="shared" si="16"/>
        <v/>
      </c>
      <c r="I1057" s="29"/>
    </row>
    <row r="1058" spans="1:9">
      <c r="A1058" s="33"/>
      <c r="B1058" s="29"/>
      <c r="C1058" s="29"/>
      <c r="D1058" s="30"/>
      <c r="E1058" s="30"/>
      <c r="F1058" s="35"/>
      <c r="G1058" s="35"/>
      <c r="H1058" s="35" t="str">
        <f t="shared" si="16"/>
        <v/>
      </c>
      <c r="I1058" s="29"/>
    </row>
    <row r="1059" spans="1:9">
      <c r="A1059" s="33"/>
      <c r="B1059" s="29"/>
      <c r="C1059" s="29"/>
      <c r="D1059" s="30"/>
      <c r="E1059" s="30"/>
      <c r="F1059" s="35"/>
      <c r="G1059" s="35"/>
      <c r="H1059" s="35" t="str">
        <f t="shared" si="16"/>
        <v/>
      </c>
      <c r="I1059" s="29"/>
    </row>
    <row r="1060" spans="1:9">
      <c r="A1060" s="33"/>
      <c r="B1060" s="29"/>
      <c r="C1060" s="29"/>
      <c r="D1060" s="30"/>
      <c r="E1060" s="30"/>
      <c r="F1060" s="35"/>
      <c r="G1060" s="35"/>
      <c r="H1060" s="35" t="str">
        <f t="shared" si="16"/>
        <v/>
      </c>
      <c r="I1060" s="29"/>
    </row>
    <row r="1061" spans="1:9">
      <c r="A1061" s="33"/>
      <c r="B1061" s="29"/>
      <c r="C1061" s="29"/>
      <c r="D1061" s="30"/>
      <c r="E1061" s="30"/>
      <c r="F1061" s="35"/>
      <c r="G1061" s="35"/>
      <c r="H1061" s="35" t="str">
        <f t="shared" si="16"/>
        <v/>
      </c>
      <c r="I1061" s="29"/>
    </row>
    <row r="1062" spans="1:9">
      <c r="A1062" s="33"/>
      <c r="B1062" s="29"/>
      <c r="C1062" s="29"/>
      <c r="D1062" s="30"/>
      <c r="E1062" s="30"/>
      <c r="F1062" s="35"/>
      <c r="G1062" s="35"/>
      <c r="H1062" s="35" t="str">
        <f t="shared" si="16"/>
        <v/>
      </c>
      <c r="I1062" s="29"/>
    </row>
    <row r="1063" spans="1:9">
      <c r="A1063" s="33"/>
      <c r="B1063" s="29"/>
      <c r="C1063" s="29"/>
      <c r="D1063" s="30"/>
      <c r="E1063" s="30"/>
      <c r="F1063" s="35"/>
      <c r="G1063" s="35"/>
      <c r="H1063" s="35" t="str">
        <f t="shared" si="16"/>
        <v/>
      </c>
      <c r="I1063" s="29"/>
    </row>
    <row r="1064" spans="1:9">
      <c r="A1064" s="33"/>
      <c r="B1064" s="29"/>
      <c r="C1064" s="29"/>
      <c r="D1064" s="30"/>
      <c r="E1064" s="30"/>
      <c r="F1064" s="35"/>
      <c r="G1064" s="35"/>
      <c r="H1064" s="35" t="str">
        <f t="shared" si="16"/>
        <v/>
      </c>
      <c r="I1064" s="29"/>
    </row>
    <row r="1065" spans="1:9">
      <c r="A1065" s="33"/>
      <c r="B1065" s="29"/>
      <c r="C1065" s="29"/>
      <c r="D1065" s="30"/>
      <c r="E1065" s="30"/>
      <c r="F1065" s="35"/>
      <c r="G1065" s="35"/>
      <c r="H1065" s="35" t="str">
        <f t="shared" si="16"/>
        <v/>
      </c>
      <c r="I1065" s="29"/>
    </row>
    <row r="1066" spans="1:9">
      <c r="A1066" s="33"/>
      <c r="B1066" s="29"/>
      <c r="C1066" s="29"/>
      <c r="D1066" s="30"/>
      <c r="E1066" s="30"/>
      <c r="F1066" s="35"/>
      <c r="G1066" s="35"/>
      <c r="H1066" s="35" t="str">
        <f t="shared" si="16"/>
        <v/>
      </c>
      <c r="I1066" s="29"/>
    </row>
    <row r="1067" spans="1:9">
      <c r="A1067" s="33"/>
      <c r="B1067" s="29"/>
      <c r="C1067" s="29"/>
      <c r="D1067" s="30"/>
      <c r="E1067" s="30"/>
      <c r="F1067" s="35"/>
      <c r="G1067" s="35"/>
      <c r="H1067" s="35" t="str">
        <f t="shared" si="16"/>
        <v/>
      </c>
      <c r="I1067" s="29"/>
    </row>
    <row r="1068" spans="1:9">
      <c r="A1068" s="33"/>
      <c r="B1068" s="29"/>
      <c r="C1068" s="29"/>
      <c r="D1068" s="30"/>
      <c r="E1068" s="30"/>
      <c r="F1068" s="35"/>
      <c r="G1068" s="35"/>
      <c r="H1068" s="35" t="str">
        <f t="shared" si="16"/>
        <v/>
      </c>
      <c r="I1068" s="29"/>
    </row>
    <row r="1069" spans="1:9">
      <c r="A1069" s="33"/>
      <c r="B1069" s="29"/>
      <c r="C1069" s="29"/>
      <c r="D1069" s="30"/>
      <c r="E1069" s="30"/>
      <c r="F1069" s="35"/>
      <c r="G1069" s="35"/>
      <c r="H1069" s="35" t="str">
        <f t="shared" si="16"/>
        <v/>
      </c>
      <c r="I1069" s="29"/>
    </row>
    <row r="1070" spans="1:9">
      <c r="A1070" s="33"/>
      <c r="B1070" s="29"/>
      <c r="C1070" s="29"/>
      <c r="D1070" s="30"/>
      <c r="E1070" s="30"/>
      <c r="F1070" s="35"/>
      <c r="G1070" s="35"/>
      <c r="H1070" s="35" t="str">
        <f t="shared" si="16"/>
        <v/>
      </c>
      <c r="I1070" s="29"/>
    </row>
    <row r="1071" spans="1:9">
      <c r="A1071" s="33"/>
      <c r="B1071" s="29"/>
      <c r="C1071" s="29"/>
      <c r="D1071" s="30"/>
      <c r="E1071" s="30"/>
      <c r="F1071" s="35"/>
      <c r="G1071" s="35"/>
      <c r="H1071" s="35" t="str">
        <f t="shared" si="16"/>
        <v/>
      </c>
      <c r="I1071" s="29"/>
    </row>
    <row r="1072" spans="1:9">
      <c r="A1072" s="33"/>
      <c r="B1072" s="29"/>
      <c r="C1072" s="29"/>
      <c r="D1072" s="30"/>
      <c r="E1072" s="30"/>
      <c r="F1072" s="35"/>
      <c r="G1072" s="35"/>
      <c r="H1072" s="35" t="str">
        <f t="shared" si="16"/>
        <v/>
      </c>
      <c r="I1072" s="29"/>
    </row>
    <row r="1073" spans="1:9">
      <c r="A1073" s="33"/>
      <c r="B1073" s="29"/>
      <c r="C1073" s="29"/>
      <c r="D1073" s="30"/>
      <c r="E1073" s="30"/>
      <c r="F1073" s="35"/>
      <c r="G1073" s="35"/>
      <c r="H1073" s="35" t="str">
        <f t="shared" si="16"/>
        <v/>
      </c>
      <c r="I1073" s="29"/>
    </row>
    <row r="1074" spans="1:9">
      <c r="A1074" s="33"/>
      <c r="B1074" s="29"/>
      <c r="C1074" s="29"/>
      <c r="D1074" s="30"/>
      <c r="E1074" s="30"/>
      <c r="F1074" s="35"/>
      <c r="G1074" s="35"/>
      <c r="H1074" s="35" t="str">
        <f t="shared" si="16"/>
        <v/>
      </c>
      <c r="I1074" s="29"/>
    </row>
    <row r="1075" spans="1:9">
      <c r="A1075" s="33"/>
      <c r="B1075" s="29"/>
      <c r="C1075" s="29"/>
      <c r="D1075" s="30"/>
      <c r="E1075" s="30"/>
      <c r="F1075" s="35"/>
      <c r="G1075" s="35"/>
      <c r="H1075" s="35" t="str">
        <f t="shared" si="16"/>
        <v/>
      </c>
      <c r="I1075" s="29"/>
    </row>
    <row r="1076" spans="1:9">
      <c r="A1076" s="33"/>
      <c r="B1076" s="29"/>
      <c r="C1076" s="29"/>
      <c r="D1076" s="30"/>
      <c r="E1076" s="30"/>
      <c r="F1076" s="35"/>
      <c r="G1076" s="35"/>
      <c r="H1076" s="35" t="str">
        <f t="shared" si="16"/>
        <v/>
      </c>
      <c r="I1076" s="29"/>
    </row>
    <row r="1077" spans="1:9">
      <c r="A1077" s="33"/>
      <c r="B1077" s="29"/>
      <c r="C1077" s="29"/>
      <c r="D1077" s="30"/>
      <c r="E1077" s="30"/>
      <c r="F1077" s="35"/>
      <c r="G1077" s="35"/>
      <c r="H1077" s="35" t="str">
        <f t="shared" si="16"/>
        <v/>
      </c>
      <c r="I1077" s="29"/>
    </row>
    <row r="1078" spans="1:9">
      <c r="A1078" s="33"/>
      <c r="B1078" s="29"/>
      <c r="C1078" s="29"/>
      <c r="D1078" s="30"/>
      <c r="E1078" s="30"/>
      <c r="F1078" s="35"/>
      <c r="G1078" s="35"/>
      <c r="H1078" s="35" t="str">
        <f t="shared" si="16"/>
        <v/>
      </c>
      <c r="I1078" s="29"/>
    </row>
    <row r="1079" spans="1:9">
      <c r="A1079" s="33"/>
      <c r="B1079" s="29"/>
      <c r="C1079" s="29"/>
      <c r="D1079" s="30"/>
      <c r="E1079" s="30"/>
      <c r="F1079" s="35"/>
      <c r="G1079" s="35"/>
      <c r="H1079" s="35" t="str">
        <f t="shared" si="16"/>
        <v/>
      </c>
      <c r="I1079" s="29"/>
    </row>
    <row r="1080" spans="1:9">
      <c r="A1080" s="33"/>
      <c r="B1080" s="29"/>
      <c r="C1080" s="29"/>
      <c r="D1080" s="30"/>
      <c r="E1080" s="30"/>
      <c r="F1080" s="35"/>
      <c r="G1080" s="35"/>
      <c r="H1080" s="35" t="str">
        <f t="shared" si="16"/>
        <v/>
      </c>
      <c r="I1080" s="29"/>
    </row>
    <row r="1081" spans="1:9">
      <c r="A1081" s="33"/>
      <c r="B1081" s="29"/>
      <c r="C1081" s="29"/>
      <c r="D1081" s="30"/>
      <c r="E1081" s="30"/>
      <c r="F1081" s="35"/>
      <c r="G1081" s="35"/>
      <c r="H1081" s="35" t="str">
        <f t="shared" si="16"/>
        <v/>
      </c>
      <c r="I1081" s="29"/>
    </row>
    <row r="1082" spans="1:9">
      <c r="A1082" s="33"/>
      <c r="B1082" s="29"/>
      <c r="C1082" s="29"/>
      <c r="D1082" s="30"/>
      <c r="E1082" s="30"/>
      <c r="F1082" s="35"/>
      <c r="G1082" s="35"/>
      <c r="H1082" s="35" t="str">
        <f t="shared" si="16"/>
        <v/>
      </c>
      <c r="I1082" s="29"/>
    </row>
    <row r="1083" spans="1:9">
      <c r="A1083" s="33"/>
      <c r="B1083" s="29"/>
      <c r="C1083" s="29"/>
      <c r="D1083" s="30"/>
      <c r="E1083" s="30"/>
      <c r="F1083" s="35"/>
      <c r="G1083" s="35"/>
      <c r="H1083" s="35" t="str">
        <f t="shared" si="16"/>
        <v/>
      </c>
      <c r="I1083" s="29"/>
    </row>
    <row r="1084" spans="1:9">
      <c r="A1084" s="33"/>
      <c r="B1084" s="29"/>
      <c r="C1084" s="29"/>
      <c r="D1084" s="30"/>
      <c r="E1084" s="30"/>
      <c r="F1084" s="35"/>
      <c r="G1084" s="35"/>
      <c r="H1084" s="35" t="str">
        <f t="shared" si="16"/>
        <v/>
      </c>
      <c r="I1084" s="29"/>
    </row>
    <row r="1085" spans="1:9">
      <c r="A1085" s="33"/>
      <c r="B1085" s="29"/>
      <c r="C1085" s="29"/>
      <c r="D1085" s="30"/>
      <c r="E1085" s="30"/>
      <c r="F1085" s="35"/>
      <c r="G1085" s="35"/>
      <c r="H1085" s="35" t="str">
        <f t="shared" si="16"/>
        <v/>
      </c>
      <c r="I1085" s="29"/>
    </row>
    <row r="1086" spans="1:9">
      <c r="A1086" s="33"/>
      <c r="B1086" s="29"/>
      <c r="C1086" s="29"/>
      <c r="D1086" s="30"/>
      <c r="E1086" s="30"/>
      <c r="F1086" s="35"/>
      <c r="G1086" s="35"/>
      <c r="H1086" s="35" t="str">
        <f t="shared" si="16"/>
        <v/>
      </c>
      <c r="I1086" s="29"/>
    </row>
    <row r="1087" spans="1:9">
      <c r="A1087" s="33"/>
      <c r="B1087" s="29"/>
      <c r="C1087" s="29"/>
      <c r="D1087" s="30"/>
      <c r="E1087" s="30"/>
      <c r="F1087" s="35"/>
      <c r="G1087" s="35"/>
      <c r="H1087" s="35" t="str">
        <f t="shared" si="16"/>
        <v/>
      </c>
      <c r="I1087" s="29"/>
    </row>
    <row r="1088" spans="1:9">
      <c r="A1088" s="33"/>
      <c r="B1088" s="29"/>
      <c r="C1088" s="29"/>
      <c r="D1088" s="30"/>
      <c r="E1088" s="30"/>
      <c r="F1088" s="35"/>
      <c r="G1088" s="35"/>
      <c r="H1088" s="35" t="str">
        <f t="shared" si="16"/>
        <v/>
      </c>
      <c r="I1088" s="29"/>
    </row>
    <row r="1089" spans="1:9">
      <c r="A1089" s="33"/>
      <c r="B1089" s="29"/>
      <c r="C1089" s="29"/>
      <c r="D1089" s="30"/>
      <c r="E1089" s="30"/>
      <c r="F1089" s="35"/>
      <c r="G1089" s="35"/>
      <c r="H1089" s="35" t="str">
        <f t="shared" si="16"/>
        <v/>
      </c>
      <c r="I1089" s="29"/>
    </row>
    <row r="1090" spans="1:9">
      <c r="A1090" s="33"/>
      <c r="B1090" s="29"/>
      <c r="C1090" s="29"/>
      <c r="D1090" s="30"/>
      <c r="E1090" s="30"/>
      <c r="F1090" s="35"/>
      <c r="G1090" s="35"/>
      <c r="H1090" s="35" t="str">
        <f t="shared" si="16"/>
        <v/>
      </c>
      <c r="I1090" s="29"/>
    </row>
    <row r="1091" spans="1:9">
      <c r="A1091" s="33"/>
      <c r="B1091" s="29"/>
      <c r="C1091" s="29"/>
      <c r="D1091" s="30"/>
      <c r="E1091" s="30"/>
      <c r="F1091" s="35"/>
      <c r="G1091" s="35"/>
      <c r="H1091" s="35" t="str">
        <f t="shared" si="16"/>
        <v/>
      </c>
      <c r="I1091" s="29"/>
    </row>
    <row r="1092" spans="1:9">
      <c r="A1092" s="33"/>
      <c r="B1092" s="29"/>
      <c r="C1092" s="29"/>
      <c r="D1092" s="30"/>
      <c r="E1092" s="30"/>
      <c r="F1092" s="35"/>
      <c r="G1092" s="35"/>
      <c r="H1092" s="35" t="str">
        <f t="shared" ref="H1092:H1155" si="17">IF(F1092="","",F1092-G1092)</f>
        <v/>
      </c>
      <c r="I1092" s="29"/>
    </row>
    <row r="1093" spans="1:9">
      <c r="A1093" s="33"/>
      <c r="B1093" s="29"/>
      <c r="C1093" s="29"/>
      <c r="D1093" s="30"/>
      <c r="E1093" s="30"/>
      <c r="F1093" s="35"/>
      <c r="G1093" s="35"/>
      <c r="H1093" s="35" t="str">
        <f t="shared" si="17"/>
        <v/>
      </c>
      <c r="I1093" s="29"/>
    </row>
    <row r="1094" spans="1:9">
      <c r="A1094" s="33"/>
      <c r="B1094" s="29"/>
      <c r="C1094" s="29"/>
      <c r="D1094" s="30"/>
      <c r="E1094" s="30"/>
      <c r="F1094" s="35"/>
      <c r="G1094" s="35"/>
      <c r="H1094" s="35" t="str">
        <f t="shared" si="17"/>
        <v/>
      </c>
      <c r="I1094" s="29"/>
    </row>
    <row r="1095" spans="1:9">
      <c r="A1095" s="33"/>
      <c r="B1095" s="29"/>
      <c r="C1095" s="29"/>
      <c r="D1095" s="30"/>
      <c r="E1095" s="30"/>
      <c r="F1095" s="35"/>
      <c r="G1095" s="35"/>
      <c r="H1095" s="35" t="str">
        <f t="shared" si="17"/>
        <v/>
      </c>
      <c r="I1095" s="29"/>
    </row>
    <row r="1096" spans="1:9">
      <c r="A1096" s="33"/>
      <c r="B1096" s="29"/>
      <c r="C1096" s="29"/>
      <c r="D1096" s="30"/>
      <c r="E1096" s="30"/>
      <c r="F1096" s="35"/>
      <c r="G1096" s="35"/>
      <c r="H1096" s="35" t="str">
        <f t="shared" si="17"/>
        <v/>
      </c>
      <c r="I1096" s="29"/>
    </row>
    <row r="1097" spans="1:9">
      <c r="A1097" s="33"/>
      <c r="B1097" s="29"/>
      <c r="C1097" s="29"/>
      <c r="D1097" s="30"/>
      <c r="E1097" s="30"/>
      <c r="F1097" s="35"/>
      <c r="G1097" s="35"/>
      <c r="H1097" s="35" t="str">
        <f t="shared" si="17"/>
        <v/>
      </c>
      <c r="I1097" s="29"/>
    </row>
    <row r="1098" spans="1:9">
      <c r="A1098" s="33"/>
      <c r="B1098" s="29"/>
      <c r="C1098" s="29"/>
      <c r="D1098" s="30"/>
      <c r="E1098" s="30"/>
      <c r="F1098" s="35"/>
      <c r="G1098" s="35"/>
      <c r="H1098" s="35" t="str">
        <f t="shared" si="17"/>
        <v/>
      </c>
      <c r="I1098" s="29"/>
    </row>
    <row r="1099" spans="1:9">
      <c r="A1099" s="33"/>
      <c r="B1099" s="29"/>
      <c r="C1099" s="29"/>
      <c r="D1099" s="30"/>
      <c r="E1099" s="30"/>
      <c r="F1099" s="35"/>
      <c r="G1099" s="35"/>
      <c r="H1099" s="35" t="str">
        <f t="shared" si="17"/>
        <v/>
      </c>
      <c r="I1099" s="29"/>
    </row>
    <row r="1100" spans="1:9">
      <c r="A1100" s="33"/>
      <c r="B1100" s="29"/>
      <c r="C1100" s="29"/>
      <c r="D1100" s="30"/>
      <c r="E1100" s="30"/>
      <c r="F1100" s="35"/>
      <c r="G1100" s="35"/>
      <c r="H1100" s="35" t="str">
        <f t="shared" si="17"/>
        <v/>
      </c>
      <c r="I1100" s="29"/>
    </row>
    <row r="1101" spans="1:9">
      <c r="A1101" s="33"/>
      <c r="B1101" s="29"/>
      <c r="C1101" s="29"/>
      <c r="D1101" s="30"/>
      <c r="E1101" s="30"/>
      <c r="F1101" s="35"/>
      <c r="G1101" s="35"/>
      <c r="H1101" s="35" t="str">
        <f t="shared" si="17"/>
        <v/>
      </c>
      <c r="I1101" s="29"/>
    </row>
    <row r="1102" spans="1:9">
      <c r="A1102" s="33"/>
      <c r="B1102" s="29"/>
      <c r="C1102" s="29"/>
      <c r="D1102" s="30"/>
      <c r="E1102" s="30"/>
      <c r="F1102" s="35"/>
      <c r="G1102" s="35"/>
      <c r="H1102" s="35" t="str">
        <f t="shared" si="17"/>
        <v/>
      </c>
      <c r="I1102" s="29"/>
    </row>
    <row r="1103" spans="1:9">
      <c r="A1103" s="33"/>
      <c r="B1103" s="29"/>
      <c r="C1103" s="29"/>
      <c r="D1103" s="30"/>
      <c r="E1103" s="30"/>
      <c r="F1103" s="35"/>
      <c r="G1103" s="35"/>
      <c r="H1103" s="35" t="str">
        <f t="shared" si="17"/>
        <v/>
      </c>
      <c r="I1103" s="29"/>
    </row>
    <row r="1104" spans="1:9">
      <c r="A1104" s="33"/>
      <c r="B1104" s="29"/>
      <c r="C1104" s="29"/>
      <c r="D1104" s="30"/>
      <c r="E1104" s="30"/>
      <c r="F1104" s="35"/>
      <c r="G1104" s="35"/>
      <c r="H1104" s="35" t="str">
        <f t="shared" si="17"/>
        <v/>
      </c>
      <c r="I1104" s="29"/>
    </row>
    <row r="1105" spans="1:9">
      <c r="A1105" s="33"/>
      <c r="B1105" s="29"/>
      <c r="C1105" s="29"/>
      <c r="D1105" s="30"/>
      <c r="E1105" s="30"/>
      <c r="F1105" s="35"/>
      <c r="G1105" s="35"/>
      <c r="H1105" s="35" t="str">
        <f t="shared" si="17"/>
        <v/>
      </c>
      <c r="I1105" s="29"/>
    </row>
    <row r="1106" spans="1:9">
      <c r="A1106" s="33"/>
      <c r="B1106" s="29"/>
      <c r="C1106" s="29"/>
      <c r="D1106" s="30"/>
      <c r="E1106" s="30"/>
      <c r="F1106" s="35"/>
      <c r="G1106" s="35"/>
      <c r="H1106" s="35" t="str">
        <f t="shared" si="17"/>
        <v/>
      </c>
      <c r="I1106" s="29"/>
    </row>
    <row r="1107" spans="1:9">
      <c r="A1107" s="33"/>
      <c r="B1107" s="29"/>
      <c r="C1107" s="29"/>
      <c r="D1107" s="30"/>
      <c r="E1107" s="30"/>
      <c r="F1107" s="35"/>
      <c r="G1107" s="35"/>
      <c r="H1107" s="35" t="str">
        <f t="shared" si="17"/>
        <v/>
      </c>
      <c r="I1107" s="29"/>
    </row>
    <row r="1108" spans="1:9">
      <c r="A1108" s="33"/>
      <c r="B1108" s="29"/>
      <c r="C1108" s="29"/>
      <c r="D1108" s="30"/>
      <c r="E1108" s="30"/>
      <c r="F1108" s="35"/>
      <c r="G1108" s="35"/>
      <c r="H1108" s="35" t="str">
        <f t="shared" si="17"/>
        <v/>
      </c>
      <c r="I1108" s="29"/>
    </row>
    <row r="1109" spans="1:9">
      <c r="A1109" s="33"/>
      <c r="B1109" s="29"/>
      <c r="C1109" s="29"/>
      <c r="D1109" s="30"/>
      <c r="E1109" s="30"/>
      <c r="F1109" s="35"/>
      <c r="G1109" s="35"/>
      <c r="H1109" s="35" t="str">
        <f t="shared" si="17"/>
        <v/>
      </c>
      <c r="I1109" s="29"/>
    </row>
    <row r="1110" spans="1:9">
      <c r="A1110" s="33"/>
      <c r="B1110" s="29"/>
      <c r="C1110" s="29"/>
      <c r="D1110" s="30"/>
      <c r="E1110" s="30"/>
      <c r="F1110" s="35"/>
      <c r="G1110" s="35"/>
      <c r="H1110" s="35" t="str">
        <f t="shared" si="17"/>
        <v/>
      </c>
      <c r="I1110" s="29"/>
    </row>
    <row r="1111" spans="1:9">
      <c r="A1111" s="33"/>
      <c r="B1111" s="29"/>
      <c r="C1111" s="29"/>
      <c r="D1111" s="30"/>
      <c r="E1111" s="30"/>
      <c r="F1111" s="35"/>
      <c r="G1111" s="35"/>
      <c r="H1111" s="35" t="str">
        <f t="shared" si="17"/>
        <v/>
      </c>
      <c r="I1111" s="29"/>
    </row>
    <row r="1112" spans="1:9">
      <c r="A1112" s="33"/>
      <c r="B1112" s="29"/>
      <c r="C1112" s="29"/>
      <c r="D1112" s="30"/>
      <c r="E1112" s="30"/>
      <c r="F1112" s="35"/>
      <c r="G1112" s="35"/>
      <c r="H1112" s="35" t="str">
        <f t="shared" si="17"/>
        <v/>
      </c>
      <c r="I1112" s="29"/>
    </row>
    <row r="1113" spans="1:9">
      <c r="A1113" s="33"/>
      <c r="B1113" s="29"/>
      <c r="C1113" s="29"/>
      <c r="D1113" s="30"/>
      <c r="E1113" s="30"/>
      <c r="F1113" s="35"/>
      <c r="G1113" s="35"/>
      <c r="H1113" s="35" t="str">
        <f t="shared" si="17"/>
        <v/>
      </c>
      <c r="I1113" s="29"/>
    </row>
    <row r="1114" spans="1:9">
      <c r="A1114" s="33"/>
      <c r="B1114" s="29"/>
      <c r="C1114" s="29"/>
      <c r="D1114" s="30"/>
      <c r="E1114" s="30"/>
      <c r="F1114" s="35"/>
      <c r="G1114" s="35"/>
      <c r="H1114" s="35" t="str">
        <f t="shared" si="17"/>
        <v/>
      </c>
      <c r="I1114" s="29"/>
    </row>
    <row r="1115" spans="1:9">
      <c r="A1115" s="33"/>
      <c r="B1115" s="29"/>
      <c r="C1115" s="29"/>
      <c r="D1115" s="30"/>
      <c r="E1115" s="30"/>
      <c r="F1115" s="35"/>
      <c r="G1115" s="35"/>
      <c r="H1115" s="35" t="str">
        <f t="shared" si="17"/>
        <v/>
      </c>
      <c r="I1115" s="29"/>
    </row>
    <row r="1116" spans="1:9">
      <c r="A1116" s="33"/>
      <c r="B1116" s="29"/>
      <c r="C1116" s="29"/>
      <c r="D1116" s="30"/>
      <c r="E1116" s="30"/>
      <c r="F1116" s="35"/>
      <c r="G1116" s="35"/>
      <c r="H1116" s="35" t="str">
        <f t="shared" si="17"/>
        <v/>
      </c>
      <c r="I1116" s="29"/>
    </row>
    <row r="1117" spans="1:9">
      <c r="A1117" s="33"/>
      <c r="B1117" s="29"/>
      <c r="C1117" s="29"/>
      <c r="D1117" s="30"/>
      <c r="E1117" s="30"/>
      <c r="F1117" s="35"/>
      <c r="G1117" s="35"/>
      <c r="H1117" s="35" t="str">
        <f t="shared" si="17"/>
        <v/>
      </c>
      <c r="I1117" s="29"/>
    </row>
    <row r="1118" spans="1:9">
      <c r="A1118" s="33"/>
      <c r="B1118" s="29"/>
      <c r="C1118" s="29"/>
      <c r="D1118" s="30"/>
      <c r="E1118" s="30"/>
      <c r="F1118" s="35"/>
      <c r="G1118" s="35"/>
      <c r="H1118" s="35" t="str">
        <f t="shared" si="17"/>
        <v/>
      </c>
      <c r="I1118" s="29"/>
    </row>
    <row r="1119" spans="1:9">
      <c r="A1119" s="33"/>
      <c r="B1119" s="29"/>
      <c r="C1119" s="29"/>
      <c r="D1119" s="30"/>
      <c r="E1119" s="30"/>
      <c r="F1119" s="35"/>
      <c r="G1119" s="35"/>
      <c r="H1119" s="35" t="str">
        <f t="shared" si="17"/>
        <v/>
      </c>
      <c r="I1119" s="29"/>
    </row>
    <row r="1120" spans="1:9">
      <c r="A1120" s="33"/>
      <c r="B1120" s="29"/>
      <c r="C1120" s="29"/>
      <c r="D1120" s="30"/>
      <c r="E1120" s="30"/>
      <c r="F1120" s="35"/>
      <c r="G1120" s="35"/>
      <c r="H1120" s="35" t="str">
        <f t="shared" si="17"/>
        <v/>
      </c>
      <c r="I1120" s="29"/>
    </row>
    <row r="1121" spans="1:9">
      <c r="A1121" s="33"/>
      <c r="B1121" s="29"/>
      <c r="C1121" s="29"/>
      <c r="D1121" s="30"/>
      <c r="E1121" s="30"/>
      <c r="F1121" s="35"/>
      <c r="G1121" s="35"/>
      <c r="H1121" s="35" t="str">
        <f t="shared" si="17"/>
        <v/>
      </c>
      <c r="I1121" s="29"/>
    </row>
    <row r="1122" spans="1:9">
      <c r="A1122" s="33"/>
      <c r="B1122" s="29"/>
      <c r="C1122" s="29"/>
      <c r="D1122" s="30"/>
      <c r="E1122" s="30"/>
      <c r="F1122" s="35"/>
      <c r="G1122" s="35"/>
      <c r="H1122" s="35" t="str">
        <f t="shared" si="17"/>
        <v/>
      </c>
      <c r="I1122" s="29"/>
    </row>
    <row r="1123" spans="1:9">
      <c r="A1123" s="33"/>
      <c r="B1123" s="29"/>
      <c r="C1123" s="29"/>
      <c r="D1123" s="30"/>
      <c r="E1123" s="30"/>
      <c r="F1123" s="35"/>
      <c r="G1123" s="35"/>
      <c r="H1123" s="35" t="str">
        <f t="shared" si="17"/>
        <v/>
      </c>
      <c r="I1123" s="29"/>
    </row>
    <row r="1124" spans="1:9">
      <c r="A1124" s="33"/>
      <c r="B1124" s="29"/>
      <c r="C1124" s="29"/>
      <c r="D1124" s="30"/>
      <c r="E1124" s="30"/>
      <c r="F1124" s="35"/>
      <c r="G1124" s="35"/>
      <c r="H1124" s="35" t="str">
        <f t="shared" si="17"/>
        <v/>
      </c>
      <c r="I1124" s="29"/>
    </row>
    <row r="1125" spans="1:9">
      <c r="A1125" s="33"/>
      <c r="B1125" s="29"/>
      <c r="C1125" s="29"/>
      <c r="D1125" s="30"/>
      <c r="E1125" s="30"/>
      <c r="F1125" s="35"/>
      <c r="G1125" s="35"/>
      <c r="H1125" s="35" t="str">
        <f t="shared" si="17"/>
        <v/>
      </c>
      <c r="I1125" s="29"/>
    </row>
    <row r="1126" spans="1:9">
      <c r="A1126" s="33"/>
      <c r="B1126" s="29"/>
      <c r="C1126" s="29"/>
      <c r="D1126" s="30"/>
      <c r="E1126" s="30"/>
      <c r="F1126" s="35"/>
      <c r="G1126" s="35"/>
      <c r="H1126" s="35" t="str">
        <f t="shared" si="17"/>
        <v/>
      </c>
      <c r="I1126" s="29"/>
    </row>
    <row r="1127" spans="1:9">
      <c r="A1127" s="33"/>
      <c r="B1127" s="29"/>
      <c r="C1127" s="29"/>
      <c r="D1127" s="30"/>
      <c r="E1127" s="30"/>
      <c r="F1127" s="35"/>
      <c r="G1127" s="35"/>
      <c r="H1127" s="35" t="str">
        <f t="shared" si="17"/>
        <v/>
      </c>
      <c r="I1127" s="29"/>
    </row>
    <row r="1128" spans="1:9">
      <c r="A1128" s="33"/>
      <c r="B1128" s="29"/>
      <c r="C1128" s="29"/>
      <c r="D1128" s="30"/>
      <c r="E1128" s="30"/>
      <c r="F1128" s="35"/>
      <c r="G1128" s="35"/>
      <c r="H1128" s="35" t="str">
        <f t="shared" si="17"/>
        <v/>
      </c>
      <c r="I1128" s="29"/>
    </row>
    <row r="1129" spans="1:9">
      <c r="A1129" s="33"/>
      <c r="B1129" s="29"/>
      <c r="C1129" s="29"/>
      <c r="D1129" s="30"/>
      <c r="E1129" s="30"/>
      <c r="F1129" s="35"/>
      <c r="G1129" s="35"/>
      <c r="H1129" s="35" t="str">
        <f t="shared" si="17"/>
        <v/>
      </c>
      <c r="I1129" s="29"/>
    </row>
    <row r="1130" spans="1:9">
      <c r="A1130" s="33"/>
      <c r="B1130" s="29"/>
      <c r="C1130" s="29"/>
      <c r="D1130" s="30"/>
      <c r="E1130" s="30"/>
      <c r="F1130" s="35"/>
      <c r="G1130" s="35"/>
      <c r="H1130" s="35" t="str">
        <f t="shared" si="17"/>
        <v/>
      </c>
      <c r="I1130" s="29"/>
    </row>
    <row r="1131" spans="1:9">
      <c r="A1131" s="33"/>
      <c r="B1131" s="29"/>
      <c r="C1131" s="29"/>
      <c r="D1131" s="30"/>
      <c r="E1131" s="30"/>
      <c r="F1131" s="35"/>
      <c r="G1131" s="35"/>
      <c r="H1131" s="35" t="str">
        <f t="shared" si="17"/>
        <v/>
      </c>
      <c r="I1131" s="29"/>
    </row>
    <row r="1132" spans="1:9">
      <c r="A1132" s="33"/>
      <c r="B1132" s="29"/>
      <c r="C1132" s="29"/>
      <c r="D1132" s="30"/>
      <c r="E1132" s="30"/>
      <c r="F1132" s="35"/>
      <c r="G1132" s="35"/>
      <c r="H1132" s="35" t="str">
        <f t="shared" si="17"/>
        <v/>
      </c>
      <c r="I1132" s="29"/>
    </row>
    <row r="1133" spans="1:9">
      <c r="A1133" s="33"/>
      <c r="B1133" s="29"/>
      <c r="C1133" s="29"/>
      <c r="D1133" s="30"/>
      <c r="E1133" s="30"/>
      <c r="F1133" s="35"/>
      <c r="G1133" s="35"/>
      <c r="H1133" s="35" t="str">
        <f t="shared" si="17"/>
        <v/>
      </c>
      <c r="I1133" s="29"/>
    </row>
    <row r="1134" spans="1:9">
      <c r="A1134" s="33"/>
      <c r="B1134" s="29"/>
      <c r="C1134" s="29"/>
      <c r="D1134" s="30"/>
      <c r="E1134" s="30"/>
      <c r="F1134" s="35"/>
      <c r="G1134" s="35"/>
      <c r="H1134" s="35" t="str">
        <f t="shared" si="17"/>
        <v/>
      </c>
      <c r="I1134" s="29"/>
    </row>
    <row r="1135" spans="1:9">
      <c r="A1135" s="33"/>
      <c r="B1135" s="29"/>
      <c r="C1135" s="29"/>
      <c r="D1135" s="30"/>
      <c r="E1135" s="30"/>
      <c r="F1135" s="35"/>
      <c r="G1135" s="35"/>
      <c r="H1135" s="35" t="str">
        <f t="shared" si="17"/>
        <v/>
      </c>
      <c r="I1135" s="29"/>
    </row>
    <row r="1136" spans="1:9">
      <c r="A1136" s="33"/>
      <c r="B1136" s="29"/>
      <c r="C1136" s="29"/>
      <c r="D1136" s="30"/>
      <c r="E1136" s="30"/>
      <c r="F1136" s="35"/>
      <c r="G1136" s="35"/>
      <c r="H1136" s="35" t="str">
        <f t="shared" si="17"/>
        <v/>
      </c>
      <c r="I1136" s="29"/>
    </row>
    <row r="1137" spans="1:9">
      <c r="A1137" s="33"/>
      <c r="B1137" s="29"/>
      <c r="C1137" s="29"/>
      <c r="D1137" s="30"/>
      <c r="E1137" s="30"/>
      <c r="F1137" s="35"/>
      <c r="G1137" s="35"/>
      <c r="H1137" s="35" t="str">
        <f t="shared" si="17"/>
        <v/>
      </c>
      <c r="I1137" s="29"/>
    </row>
    <row r="1138" spans="1:9">
      <c r="A1138" s="33"/>
      <c r="B1138" s="29"/>
      <c r="C1138" s="29"/>
      <c r="D1138" s="30"/>
      <c r="E1138" s="30"/>
      <c r="F1138" s="35"/>
      <c r="G1138" s="35"/>
      <c r="H1138" s="35" t="str">
        <f t="shared" si="17"/>
        <v/>
      </c>
      <c r="I1138" s="29"/>
    </row>
    <row r="1139" spans="1:9">
      <c r="A1139" s="33"/>
      <c r="B1139" s="29"/>
      <c r="C1139" s="29"/>
      <c r="D1139" s="30"/>
      <c r="E1139" s="30"/>
      <c r="F1139" s="35"/>
      <c r="G1139" s="35"/>
      <c r="H1139" s="35" t="str">
        <f t="shared" si="17"/>
        <v/>
      </c>
      <c r="I1139" s="29"/>
    </row>
    <row r="1140" spans="1:9">
      <c r="A1140" s="33"/>
      <c r="B1140" s="29"/>
      <c r="C1140" s="29"/>
      <c r="D1140" s="30"/>
      <c r="E1140" s="30"/>
      <c r="F1140" s="35"/>
      <c r="G1140" s="35"/>
      <c r="H1140" s="35" t="str">
        <f t="shared" si="17"/>
        <v/>
      </c>
      <c r="I1140" s="29"/>
    </row>
    <row r="1141" spans="1:9">
      <c r="A1141" s="33"/>
      <c r="B1141" s="29"/>
      <c r="C1141" s="29"/>
      <c r="D1141" s="30"/>
      <c r="E1141" s="30"/>
      <c r="F1141" s="35"/>
      <c r="G1141" s="35"/>
      <c r="H1141" s="35" t="str">
        <f t="shared" si="17"/>
        <v/>
      </c>
      <c r="I1141" s="29"/>
    </row>
    <row r="1142" spans="1:9">
      <c r="A1142" s="33"/>
      <c r="B1142" s="29"/>
      <c r="C1142" s="29"/>
      <c r="D1142" s="30"/>
      <c r="E1142" s="30"/>
      <c r="F1142" s="35"/>
      <c r="G1142" s="35"/>
      <c r="H1142" s="35" t="str">
        <f t="shared" si="17"/>
        <v/>
      </c>
      <c r="I1142" s="29"/>
    </row>
    <row r="1143" spans="1:9">
      <c r="A1143" s="33"/>
      <c r="B1143" s="29"/>
      <c r="C1143" s="29"/>
      <c r="D1143" s="30"/>
      <c r="E1143" s="30"/>
      <c r="F1143" s="35"/>
      <c r="G1143" s="35"/>
      <c r="H1143" s="35" t="str">
        <f t="shared" si="17"/>
        <v/>
      </c>
      <c r="I1143" s="29"/>
    </row>
    <row r="1144" spans="1:9">
      <c r="A1144" s="33"/>
      <c r="B1144" s="29"/>
      <c r="C1144" s="29"/>
      <c r="D1144" s="30"/>
      <c r="E1144" s="30"/>
      <c r="F1144" s="35"/>
      <c r="G1144" s="35"/>
      <c r="H1144" s="35" t="str">
        <f t="shared" si="17"/>
        <v/>
      </c>
      <c r="I1144" s="29"/>
    </row>
    <row r="1145" spans="1:9">
      <c r="A1145" s="33"/>
      <c r="B1145" s="29"/>
      <c r="C1145" s="29"/>
      <c r="D1145" s="30"/>
      <c r="E1145" s="30"/>
      <c r="F1145" s="35"/>
      <c r="G1145" s="35"/>
      <c r="H1145" s="35" t="str">
        <f t="shared" si="17"/>
        <v/>
      </c>
      <c r="I1145" s="29"/>
    </row>
    <row r="1146" spans="1:9">
      <c r="A1146" s="33"/>
      <c r="B1146" s="29"/>
      <c r="C1146" s="29"/>
      <c r="D1146" s="30"/>
      <c r="E1146" s="30"/>
      <c r="F1146" s="35"/>
      <c r="G1146" s="35"/>
      <c r="H1146" s="35" t="str">
        <f t="shared" si="17"/>
        <v/>
      </c>
      <c r="I1146" s="29"/>
    </row>
    <row r="1147" spans="1:9">
      <c r="A1147" s="33"/>
      <c r="B1147" s="29"/>
      <c r="C1147" s="29"/>
      <c r="D1147" s="30"/>
      <c r="E1147" s="30"/>
      <c r="F1147" s="35"/>
      <c r="G1147" s="35"/>
      <c r="H1147" s="35" t="str">
        <f t="shared" si="17"/>
        <v/>
      </c>
      <c r="I1147" s="29"/>
    </row>
    <row r="1148" spans="1:9">
      <c r="A1148" s="33"/>
      <c r="B1148" s="29"/>
      <c r="C1148" s="29"/>
      <c r="D1148" s="30"/>
      <c r="E1148" s="30"/>
      <c r="F1148" s="35"/>
      <c r="G1148" s="35"/>
      <c r="H1148" s="35" t="str">
        <f t="shared" si="17"/>
        <v/>
      </c>
      <c r="I1148" s="29"/>
    </row>
    <row r="1149" spans="1:9">
      <c r="A1149" s="33"/>
      <c r="B1149" s="29"/>
      <c r="C1149" s="29"/>
      <c r="D1149" s="30"/>
      <c r="E1149" s="30"/>
      <c r="F1149" s="35"/>
      <c r="G1149" s="35"/>
      <c r="H1149" s="35" t="str">
        <f t="shared" si="17"/>
        <v/>
      </c>
      <c r="I1149" s="29"/>
    </row>
    <row r="1150" spans="1:9">
      <c r="A1150" s="33"/>
      <c r="B1150" s="29"/>
      <c r="C1150" s="29"/>
      <c r="D1150" s="30"/>
      <c r="E1150" s="30"/>
      <c r="F1150" s="35"/>
      <c r="G1150" s="35"/>
      <c r="H1150" s="35" t="str">
        <f t="shared" si="17"/>
        <v/>
      </c>
      <c r="I1150" s="29"/>
    </row>
    <row r="1151" spans="1:9">
      <c r="A1151" s="33"/>
      <c r="B1151" s="29"/>
      <c r="C1151" s="29"/>
      <c r="D1151" s="30"/>
      <c r="E1151" s="30"/>
      <c r="F1151" s="35"/>
      <c r="G1151" s="35"/>
      <c r="H1151" s="35" t="str">
        <f t="shared" si="17"/>
        <v/>
      </c>
      <c r="I1151" s="29"/>
    </row>
    <row r="1152" spans="1:9">
      <c r="A1152" s="33"/>
      <c r="B1152" s="29"/>
      <c r="C1152" s="29"/>
      <c r="D1152" s="30"/>
      <c r="E1152" s="30"/>
      <c r="F1152" s="35"/>
      <c r="G1152" s="35"/>
      <c r="H1152" s="35" t="str">
        <f t="shared" si="17"/>
        <v/>
      </c>
      <c r="I1152" s="29"/>
    </row>
    <row r="1153" spans="1:9">
      <c r="A1153" s="33"/>
      <c r="B1153" s="29"/>
      <c r="C1153" s="29"/>
      <c r="D1153" s="30"/>
      <c r="E1153" s="30"/>
      <c r="F1153" s="35"/>
      <c r="G1153" s="35"/>
      <c r="H1153" s="35" t="str">
        <f t="shared" si="17"/>
        <v/>
      </c>
      <c r="I1153" s="29"/>
    </row>
    <row r="1154" spans="1:9">
      <c r="A1154" s="33"/>
      <c r="B1154" s="29"/>
      <c r="C1154" s="29"/>
      <c r="D1154" s="30"/>
      <c r="E1154" s="30"/>
      <c r="F1154" s="35"/>
      <c r="G1154" s="35"/>
      <c r="H1154" s="35" t="str">
        <f t="shared" si="17"/>
        <v/>
      </c>
      <c r="I1154" s="29"/>
    </row>
    <row r="1155" spans="1:9">
      <c r="A1155" s="33"/>
      <c r="B1155" s="29"/>
      <c r="C1155" s="29"/>
      <c r="D1155" s="30"/>
      <c r="E1155" s="30"/>
      <c r="F1155" s="35"/>
      <c r="G1155" s="35"/>
      <c r="H1155" s="35" t="str">
        <f t="shared" si="17"/>
        <v/>
      </c>
      <c r="I1155" s="29"/>
    </row>
    <row r="1156" spans="1:9">
      <c r="A1156" s="33"/>
      <c r="B1156" s="29"/>
      <c r="C1156" s="29"/>
      <c r="D1156" s="30"/>
      <c r="E1156" s="30"/>
      <c r="F1156" s="35"/>
      <c r="G1156" s="35"/>
      <c r="H1156" s="35" t="str">
        <f t="shared" ref="H1156:H1219" si="18">IF(F1156="","",F1156-G1156)</f>
        <v/>
      </c>
      <c r="I1156" s="29"/>
    </row>
    <row r="1157" spans="1:9">
      <c r="A1157" s="33"/>
      <c r="B1157" s="29"/>
      <c r="C1157" s="29"/>
      <c r="D1157" s="30"/>
      <c r="E1157" s="30"/>
      <c r="F1157" s="35"/>
      <c r="G1157" s="35"/>
      <c r="H1157" s="35" t="str">
        <f t="shared" si="18"/>
        <v/>
      </c>
      <c r="I1157" s="29"/>
    </row>
    <row r="1158" spans="1:9">
      <c r="A1158" s="33"/>
      <c r="B1158" s="29"/>
      <c r="C1158" s="29"/>
      <c r="D1158" s="30"/>
      <c r="E1158" s="30"/>
      <c r="F1158" s="35"/>
      <c r="G1158" s="35"/>
      <c r="H1158" s="35" t="str">
        <f t="shared" si="18"/>
        <v/>
      </c>
      <c r="I1158" s="29"/>
    </row>
    <row r="1159" spans="1:9">
      <c r="A1159" s="33"/>
      <c r="B1159" s="29"/>
      <c r="C1159" s="29"/>
      <c r="D1159" s="30"/>
      <c r="E1159" s="30"/>
      <c r="F1159" s="35"/>
      <c r="G1159" s="35"/>
      <c r="H1159" s="35" t="str">
        <f t="shared" si="18"/>
        <v/>
      </c>
      <c r="I1159" s="29"/>
    </row>
    <row r="1160" spans="1:9">
      <c r="A1160" s="33"/>
      <c r="B1160" s="29"/>
      <c r="C1160" s="29"/>
      <c r="D1160" s="30"/>
      <c r="E1160" s="30"/>
      <c r="F1160" s="35"/>
      <c r="G1160" s="35"/>
      <c r="H1160" s="35" t="str">
        <f t="shared" si="18"/>
        <v/>
      </c>
      <c r="I1160" s="29"/>
    </row>
    <row r="1161" spans="1:9">
      <c r="A1161" s="33"/>
      <c r="B1161" s="29"/>
      <c r="C1161" s="29"/>
      <c r="D1161" s="30"/>
      <c r="E1161" s="30"/>
      <c r="F1161" s="35"/>
      <c r="G1161" s="35"/>
      <c r="H1161" s="35" t="str">
        <f t="shared" si="18"/>
        <v/>
      </c>
      <c r="I1161" s="29"/>
    </row>
    <row r="1162" spans="1:9">
      <c r="A1162" s="33"/>
      <c r="B1162" s="29"/>
      <c r="C1162" s="29"/>
      <c r="D1162" s="30"/>
      <c r="E1162" s="30"/>
      <c r="F1162" s="35"/>
      <c r="G1162" s="35"/>
      <c r="H1162" s="35" t="str">
        <f t="shared" si="18"/>
        <v/>
      </c>
      <c r="I1162" s="29"/>
    </row>
    <row r="1163" spans="1:9">
      <c r="A1163" s="33"/>
      <c r="B1163" s="29"/>
      <c r="C1163" s="29"/>
      <c r="D1163" s="30"/>
      <c r="E1163" s="30"/>
      <c r="F1163" s="35"/>
      <c r="G1163" s="35"/>
      <c r="H1163" s="35" t="str">
        <f t="shared" si="18"/>
        <v/>
      </c>
      <c r="I1163" s="29"/>
    </row>
    <row r="1164" spans="1:9">
      <c r="A1164" s="33"/>
      <c r="B1164" s="29"/>
      <c r="C1164" s="29"/>
      <c r="D1164" s="30"/>
      <c r="E1164" s="30"/>
      <c r="F1164" s="35"/>
      <c r="G1164" s="35"/>
      <c r="H1164" s="35" t="str">
        <f t="shared" si="18"/>
        <v/>
      </c>
      <c r="I1164" s="29"/>
    </row>
    <row r="1165" spans="1:9">
      <c r="A1165" s="33"/>
      <c r="B1165" s="29"/>
      <c r="C1165" s="29"/>
      <c r="D1165" s="30"/>
      <c r="E1165" s="30"/>
      <c r="F1165" s="35"/>
      <c r="G1165" s="35"/>
      <c r="H1165" s="35" t="str">
        <f t="shared" si="18"/>
        <v/>
      </c>
      <c r="I1165" s="29"/>
    </row>
    <row r="1166" spans="1:9">
      <c r="A1166" s="33"/>
      <c r="B1166" s="29"/>
      <c r="C1166" s="29"/>
      <c r="D1166" s="30"/>
      <c r="E1166" s="30"/>
      <c r="F1166" s="35"/>
      <c r="G1166" s="35"/>
      <c r="H1166" s="35" t="str">
        <f t="shared" si="18"/>
        <v/>
      </c>
      <c r="I1166" s="29"/>
    </row>
    <row r="1167" spans="1:9">
      <c r="A1167" s="33"/>
      <c r="B1167" s="29"/>
      <c r="C1167" s="29"/>
      <c r="D1167" s="30"/>
      <c r="E1167" s="30"/>
      <c r="F1167" s="35"/>
      <c r="G1167" s="35"/>
      <c r="H1167" s="35" t="str">
        <f t="shared" si="18"/>
        <v/>
      </c>
      <c r="I1167" s="29"/>
    </row>
    <row r="1168" spans="1:9">
      <c r="A1168" s="33"/>
      <c r="B1168" s="29"/>
      <c r="C1168" s="29"/>
      <c r="D1168" s="30"/>
      <c r="E1168" s="30"/>
      <c r="F1168" s="35"/>
      <c r="G1168" s="35"/>
      <c r="H1168" s="35" t="str">
        <f t="shared" si="18"/>
        <v/>
      </c>
      <c r="I1168" s="29"/>
    </row>
    <row r="1169" spans="1:9">
      <c r="A1169" s="33"/>
      <c r="B1169" s="29"/>
      <c r="C1169" s="29"/>
      <c r="D1169" s="30"/>
      <c r="E1169" s="30"/>
      <c r="F1169" s="35"/>
      <c r="G1169" s="35"/>
      <c r="H1169" s="35" t="str">
        <f t="shared" si="18"/>
        <v/>
      </c>
      <c r="I1169" s="29"/>
    </row>
    <row r="1170" spans="1:9">
      <c r="A1170" s="33"/>
      <c r="B1170" s="29"/>
      <c r="C1170" s="29"/>
      <c r="D1170" s="30"/>
      <c r="E1170" s="30"/>
      <c r="F1170" s="35"/>
      <c r="G1170" s="35"/>
      <c r="H1170" s="35" t="str">
        <f t="shared" si="18"/>
        <v/>
      </c>
      <c r="I1170" s="29"/>
    </row>
    <row r="1171" spans="1:9">
      <c r="A1171" s="33"/>
      <c r="B1171" s="29"/>
      <c r="C1171" s="29"/>
      <c r="D1171" s="30"/>
      <c r="E1171" s="30"/>
      <c r="F1171" s="35"/>
      <c r="G1171" s="35"/>
      <c r="H1171" s="35" t="str">
        <f t="shared" si="18"/>
        <v/>
      </c>
      <c r="I1171" s="29"/>
    </row>
    <row r="1172" spans="1:9">
      <c r="A1172" s="33"/>
      <c r="B1172" s="29"/>
      <c r="C1172" s="29"/>
      <c r="D1172" s="30"/>
      <c r="E1172" s="30"/>
      <c r="F1172" s="35"/>
      <c r="G1172" s="35"/>
      <c r="H1172" s="35" t="str">
        <f t="shared" si="18"/>
        <v/>
      </c>
      <c r="I1172" s="29"/>
    </row>
    <row r="1173" spans="1:9">
      <c r="A1173" s="33"/>
      <c r="B1173" s="29"/>
      <c r="C1173" s="29"/>
      <c r="D1173" s="30"/>
      <c r="E1173" s="30"/>
      <c r="F1173" s="35"/>
      <c r="G1173" s="35"/>
      <c r="H1173" s="35" t="str">
        <f t="shared" si="18"/>
        <v/>
      </c>
      <c r="I1173" s="29"/>
    </row>
    <row r="1174" spans="1:9">
      <c r="A1174" s="33"/>
      <c r="B1174" s="29"/>
      <c r="C1174" s="29"/>
      <c r="D1174" s="30"/>
      <c r="E1174" s="30"/>
      <c r="F1174" s="35"/>
      <c r="G1174" s="35"/>
      <c r="H1174" s="35" t="str">
        <f t="shared" si="18"/>
        <v/>
      </c>
      <c r="I1174" s="29"/>
    </row>
    <row r="1175" spans="1:9">
      <c r="A1175" s="33"/>
      <c r="B1175" s="29"/>
      <c r="C1175" s="29"/>
      <c r="D1175" s="30"/>
      <c r="E1175" s="30"/>
      <c r="F1175" s="35"/>
      <c r="G1175" s="35"/>
      <c r="H1175" s="35" t="str">
        <f t="shared" si="18"/>
        <v/>
      </c>
      <c r="I1175" s="29"/>
    </row>
    <row r="1176" spans="1:9">
      <c r="A1176" s="33"/>
      <c r="B1176" s="29"/>
      <c r="C1176" s="29"/>
      <c r="D1176" s="30"/>
      <c r="E1176" s="30"/>
      <c r="F1176" s="35"/>
      <c r="G1176" s="35"/>
      <c r="H1176" s="35" t="str">
        <f t="shared" si="18"/>
        <v/>
      </c>
      <c r="I1176" s="29"/>
    </row>
    <row r="1177" spans="1:9">
      <c r="A1177" s="33"/>
      <c r="B1177" s="29"/>
      <c r="C1177" s="29"/>
      <c r="D1177" s="30"/>
      <c r="E1177" s="30"/>
      <c r="F1177" s="35"/>
      <c r="G1177" s="35"/>
      <c r="H1177" s="35" t="str">
        <f t="shared" si="18"/>
        <v/>
      </c>
      <c r="I1177" s="29"/>
    </row>
    <row r="1178" spans="1:9">
      <c r="A1178" s="33"/>
      <c r="B1178" s="29"/>
      <c r="C1178" s="29"/>
      <c r="D1178" s="30"/>
      <c r="E1178" s="30"/>
      <c r="F1178" s="35"/>
      <c r="G1178" s="35"/>
      <c r="H1178" s="35" t="str">
        <f t="shared" si="18"/>
        <v/>
      </c>
      <c r="I1178" s="29"/>
    </row>
    <row r="1179" spans="1:9">
      <c r="A1179" s="33"/>
      <c r="B1179" s="29"/>
      <c r="C1179" s="29"/>
      <c r="D1179" s="30"/>
      <c r="E1179" s="30"/>
      <c r="F1179" s="35"/>
      <c r="G1179" s="35"/>
      <c r="H1179" s="35" t="str">
        <f t="shared" si="18"/>
        <v/>
      </c>
      <c r="I1179" s="29"/>
    </row>
    <row r="1180" spans="1:9">
      <c r="A1180" s="33"/>
      <c r="B1180" s="29"/>
      <c r="C1180" s="29"/>
      <c r="D1180" s="30"/>
      <c r="E1180" s="30"/>
      <c r="F1180" s="35"/>
      <c r="G1180" s="35"/>
      <c r="H1180" s="35" t="str">
        <f t="shared" si="18"/>
        <v/>
      </c>
      <c r="I1180" s="29"/>
    </row>
    <row r="1181" spans="1:9">
      <c r="A1181" s="33"/>
      <c r="B1181" s="29"/>
      <c r="C1181" s="29"/>
      <c r="D1181" s="30"/>
      <c r="E1181" s="30"/>
      <c r="F1181" s="35"/>
      <c r="G1181" s="35"/>
      <c r="H1181" s="35" t="str">
        <f t="shared" si="18"/>
        <v/>
      </c>
      <c r="I1181" s="29"/>
    </row>
    <row r="1182" spans="1:9">
      <c r="A1182" s="33"/>
      <c r="B1182" s="29"/>
      <c r="C1182" s="29"/>
      <c r="D1182" s="30"/>
      <c r="E1182" s="30"/>
      <c r="F1182" s="35"/>
      <c r="G1182" s="35"/>
      <c r="H1182" s="35" t="str">
        <f t="shared" si="18"/>
        <v/>
      </c>
      <c r="I1182" s="29"/>
    </row>
    <row r="1183" spans="1:9">
      <c r="A1183" s="33"/>
      <c r="B1183" s="29"/>
      <c r="C1183" s="29"/>
      <c r="D1183" s="30"/>
      <c r="E1183" s="30"/>
      <c r="F1183" s="35"/>
      <c r="G1183" s="35"/>
      <c r="H1183" s="35" t="str">
        <f t="shared" si="18"/>
        <v/>
      </c>
      <c r="I1183" s="29"/>
    </row>
    <row r="1184" spans="1:9">
      <c r="A1184" s="33"/>
      <c r="B1184" s="29"/>
      <c r="C1184" s="29"/>
      <c r="D1184" s="30"/>
      <c r="E1184" s="30"/>
      <c r="F1184" s="35"/>
      <c r="G1184" s="35"/>
      <c r="H1184" s="35" t="str">
        <f t="shared" si="18"/>
        <v/>
      </c>
      <c r="I1184" s="29"/>
    </row>
    <row r="1185" spans="1:9">
      <c r="A1185" s="33"/>
      <c r="B1185" s="29"/>
      <c r="C1185" s="29"/>
      <c r="D1185" s="30"/>
      <c r="E1185" s="30"/>
      <c r="F1185" s="35"/>
      <c r="G1185" s="35"/>
      <c r="H1185" s="35" t="str">
        <f t="shared" si="18"/>
        <v/>
      </c>
      <c r="I1185" s="29"/>
    </row>
    <row r="1186" spans="1:9">
      <c r="A1186" s="33"/>
      <c r="B1186" s="29"/>
      <c r="C1186" s="29"/>
      <c r="D1186" s="30"/>
      <c r="E1186" s="30"/>
      <c r="F1186" s="35"/>
      <c r="G1186" s="35"/>
      <c r="H1186" s="35" t="str">
        <f t="shared" si="18"/>
        <v/>
      </c>
      <c r="I1186" s="29"/>
    </row>
    <row r="1187" spans="1:9">
      <c r="A1187" s="33"/>
      <c r="B1187" s="29"/>
      <c r="C1187" s="29"/>
      <c r="D1187" s="30"/>
      <c r="E1187" s="30"/>
      <c r="F1187" s="35"/>
      <c r="G1187" s="35"/>
      <c r="H1187" s="35" t="str">
        <f t="shared" si="18"/>
        <v/>
      </c>
      <c r="I1187" s="29"/>
    </row>
    <row r="1188" spans="1:9">
      <c r="A1188" s="33"/>
      <c r="B1188" s="29"/>
      <c r="C1188" s="29"/>
      <c r="D1188" s="30"/>
      <c r="E1188" s="30"/>
      <c r="F1188" s="35"/>
      <c r="G1188" s="35"/>
      <c r="H1188" s="35" t="str">
        <f t="shared" si="18"/>
        <v/>
      </c>
      <c r="I1188" s="29"/>
    </row>
    <row r="1189" spans="1:9">
      <c r="A1189" s="33"/>
      <c r="B1189" s="29"/>
      <c r="C1189" s="29"/>
      <c r="D1189" s="30"/>
      <c r="E1189" s="30"/>
      <c r="F1189" s="35"/>
      <c r="G1189" s="35"/>
      <c r="H1189" s="35" t="str">
        <f t="shared" si="18"/>
        <v/>
      </c>
      <c r="I1189" s="29"/>
    </row>
    <row r="1190" spans="1:9">
      <c r="A1190" s="33"/>
      <c r="B1190" s="29"/>
      <c r="C1190" s="29"/>
      <c r="D1190" s="30"/>
      <c r="E1190" s="30"/>
      <c r="F1190" s="35"/>
      <c r="G1190" s="35"/>
      <c r="H1190" s="35" t="str">
        <f t="shared" si="18"/>
        <v/>
      </c>
      <c r="I1190" s="29"/>
    </row>
    <row r="1191" spans="1:9">
      <c r="A1191" s="33"/>
      <c r="B1191" s="29"/>
      <c r="C1191" s="29"/>
      <c r="D1191" s="30"/>
      <c r="E1191" s="30"/>
      <c r="F1191" s="35"/>
      <c r="G1191" s="35"/>
      <c r="H1191" s="35" t="str">
        <f t="shared" si="18"/>
        <v/>
      </c>
      <c r="I1191" s="29"/>
    </row>
    <row r="1192" spans="1:9">
      <c r="A1192" s="33"/>
      <c r="B1192" s="29"/>
      <c r="C1192" s="29"/>
      <c r="D1192" s="30"/>
      <c r="E1192" s="30"/>
      <c r="F1192" s="35"/>
      <c r="G1192" s="35"/>
      <c r="H1192" s="35" t="str">
        <f t="shared" si="18"/>
        <v/>
      </c>
      <c r="I1192" s="29"/>
    </row>
    <row r="1193" spans="1:9">
      <c r="A1193" s="33"/>
      <c r="B1193" s="29"/>
      <c r="C1193" s="29"/>
      <c r="D1193" s="30"/>
      <c r="E1193" s="30"/>
      <c r="F1193" s="35"/>
      <c r="G1193" s="35"/>
      <c r="H1193" s="35" t="str">
        <f t="shared" si="18"/>
        <v/>
      </c>
      <c r="I1193" s="29"/>
    </row>
    <row r="1194" spans="1:9">
      <c r="A1194" s="33"/>
      <c r="B1194" s="29"/>
      <c r="C1194" s="29"/>
      <c r="D1194" s="30"/>
      <c r="E1194" s="30"/>
      <c r="F1194" s="35"/>
      <c r="G1194" s="35"/>
      <c r="H1194" s="35" t="str">
        <f t="shared" si="18"/>
        <v/>
      </c>
      <c r="I1194" s="29"/>
    </row>
    <row r="1195" spans="1:9">
      <c r="A1195" s="33"/>
      <c r="B1195" s="29"/>
      <c r="C1195" s="29"/>
      <c r="D1195" s="30"/>
      <c r="E1195" s="30"/>
      <c r="F1195" s="35"/>
      <c r="G1195" s="35"/>
      <c r="H1195" s="35" t="str">
        <f t="shared" si="18"/>
        <v/>
      </c>
      <c r="I1195" s="29"/>
    </row>
    <row r="1196" spans="1:9">
      <c r="A1196" s="33"/>
      <c r="B1196" s="29"/>
      <c r="C1196" s="29"/>
      <c r="D1196" s="30"/>
      <c r="E1196" s="30"/>
      <c r="F1196" s="35"/>
      <c r="G1196" s="35"/>
      <c r="H1196" s="35" t="str">
        <f t="shared" si="18"/>
        <v/>
      </c>
      <c r="I1196" s="29"/>
    </row>
    <row r="1197" spans="1:9">
      <c r="A1197" s="33"/>
      <c r="B1197" s="29"/>
      <c r="C1197" s="29"/>
      <c r="D1197" s="30"/>
      <c r="E1197" s="30"/>
      <c r="F1197" s="35"/>
      <c r="G1197" s="35"/>
      <c r="H1197" s="35" t="str">
        <f t="shared" si="18"/>
        <v/>
      </c>
      <c r="I1197" s="29"/>
    </row>
    <row r="1198" spans="1:9">
      <c r="A1198" s="33"/>
      <c r="B1198" s="29"/>
      <c r="C1198" s="29"/>
      <c r="D1198" s="30"/>
      <c r="E1198" s="30"/>
      <c r="F1198" s="35"/>
      <c r="G1198" s="35"/>
      <c r="H1198" s="35" t="str">
        <f t="shared" si="18"/>
        <v/>
      </c>
      <c r="I1198" s="29"/>
    </row>
    <row r="1199" spans="1:9">
      <c r="A1199" s="33"/>
      <c r="B1199" s="29"/>
      <c r="C1199" s="29"/>
      <c r="D1199" s="30"/>
      <c r="E1199" s="30"/>
      <c r="F1199" s="35"/>
      <c r="G1199" s="35"/>
      <c r="H1199" s="35" t="str">
        <f t="shared" si="18"/>
        <v/>
      </c>
      <c r="I1199" s="29"/>
    </row>
    <row r="1200" spans="1:9">
      <c r="A1200" s="33"/>
      <c r="B1200" s="29"/>
      <c r="C1200" s="29"/>
      <c r="D1200" s="30"/>
      <c r="E1200" s="30"/>
      <c r="F1200" s="35"/>
      <c r="G1200" s="35"/>
      <c r="H1200" s="35" t="str">
        <f t="shared" si="18"/>
        <v/>
      </c>
      <c r="I1200" s="29"/>
    </row>
    <row r="1201" spans="1:9">
      <c r="A1201" s="33"/>
      <c r="B1201" s="29"/>
      <c r="C1201" s="29"/>
      <c r="D1201" s="30"/>
      <c r="E1201" s="30"/>
      <c r="F1201" s="35"/>
      <c r="G1201" s="35"/>
      <c r="H1201" s="35" t="str">
        <f t="shared" si="18"/>
        <v/>
      </c>
      <c r="I1201" s="29"/>
    </row>
    <row r="1202" spans="1:9">
      <c r="A1202" s="33"/>
      <c r="B1202" s="29"/>
      <c r="C1202" s="29"/>
      <c r="D1202" s="30"/>
      <c r="E1202" s="30"/>
      <c r="F1202" s="35"/>
      <c r="G1202" s="35"/>
      <c r="H1202" s="35" t="str">
        <f t="shared" si="18"/>
        <v/>
      </c>
      <c r="I1202" s="29"/>
    </row>
    <row r="1203" spans="1:9">
      <c r="A1203" s="33"/>
      <c r="B1203" s="29"/>
      <c r="C1203" s="29"/>
      <c r="D1203" s="30"/>
      <c r="E1203" s="30"/>
      <c r="F1203" s="35"/>
      <c r="G1203" s="35"/>
      <c r="H1203" s="35" t="str">
        <f t="shared" si="18"/>
        <v/>
      </c>
      <c r="I1203" s="29"/>
    </row>
    <row r="1204" spans="1:9">
      <c r="A1204" s="33"/>
      <c r="B1204" s="29"/>
      <c r="C1204" s="29"/>
      <c r="D1204" s="30"/>
      <c r="E1204" s="30"/>
      <c r="F1204" s="35"/>
      <c r="G1204" s="35"/>
      <c r="H1204" s="35" t="str">
        <f t="shared" si="18"/>
        <v/>
      </c>
      <c r="I1204" s="29"/>
    </row>
    <row r="1205" spans="1:9">
      <c r="A1205" s="33"/>
      <c r="B1205" s="29"/>
      <c r="C1205" s="29"/>
      <c r="D1205" s="30"/>
      <c r="E1205" s="30"/>
      <c r="F1205" s="35"/>
      <c r="G1205" s="35"/>
      <c r="H1205" s="35" t="str">
        <f t="shared" si="18"/>
        <v/>
      </c>
      <c r="I1205" s="29"/>
    </row>
    <row r="1206" spans="1:9">
      <c r="A1206" s="33"/>
      <c r="B1206" s="29"/>
      <c r="C1206" s="29"/>
      <c r="D1206" s="30"/>
      <c r="E1206" s="30"/>
      <c r="F1206" s="35"/>
      <c r="G1206" s="35"/>
      <c r="H1206" s="35" t="str">
        <f t="shared" si="18"/>
        <v/>
      </c>
      <c r="I1206" s="29"/>
    </row>
    <row r="1207" spans="1:9">
      <c r="A1207" s="33"/>
      <c r="B1207" s="29"/>
      <c r="C1207" s="29"/>
      <c r="D1207" s="30"/>
      <c r="E1207" s="30"/>
      <c r="F1207" s="35"/>
      <c r="G1207" s="35"/>
      <c r="H1207" s="35" t="str">
        <f t="shared" si="18"/>
        <v/>
      </c>
      <c r="I1207" s="29"/>
    </row>
    <row r="1208" spans="1:9">
      <c r="A1208" s="33"/>
      <c r="B1208" s="29"/>
      <c r="C1208" s="29"/>
      <c r="D1208" s="30"/>
      <c r="E1208" s="30"/>
      <c r="F1208" s="35"/>
      <c r="G1208" s="35"/>
      <c r="H1208" s="35" t="str">
        <f t="shared" si="18"/>
        <v/>
      </c>
      <c r="I1208" s="29"/>
    </row>
    <row r="1209" spans="1:9">
      <c r="A1209" s="33"/>
      <c r="B1209" s="29"/>
      <c r="C1209" s="29"/>
      <c r="D1209" s="30"/>
      <c r="E1209" s="30"/>
      <c r="F1209" s="35"/>
      <c r="G1209" s="35"/>
      <c r="H1209" s="35" t="str">
        <f t="shared" si="18"/>
        <v/>
      </c>
      <c r="I1209" s="29"/>
    </row>
    <row r="1210" spans="1:9">
      <c r="A1210" s="33"/>
      <c r="B1210" s="29"/>
      <c r="C1210" s="29"/>
      <c r="D1210" s="30"/>
      <c r="E1210" s="30"/>
      <c r="F1210" s="35"/>
      <c r="G1210" s="35"/>
      <c r="H1210" s="35" t="str">
        <f t="shared" si="18"/>
        <v/>
      </c>
      <c r="I1210" s="29"/>
    </row>
    <row r="1211" spans="1:9">
      <c r="A1211" s="33"/>
      <c r="B1211" s="29"/>
      <c r="C1211" s="29"/>
      <c r="D1211" s="30"/>
      <c r="E1211" s="30"/>
      <c r="F1211" s="35"/>
      <c r="G1211" s="35"/>
      <c r="H1211" s="35" t="str">
        <f t="shared" si="18"/>
        <v/>
      </c>
      <c r="I1211" s="29"/>
    </row>
    <row r="1212" spans="1:9">
      <c r="A1212" s="33"/>
      <c r="B1212" s="29"/>
      <c r="C1212" s="29"/>
      <c r="D1212" s="30"/>
      <c r="E1212" s="30"/>
      <c r="F1212" s="35"/>
      <c r="G1212" s="35"/>
      <c r="H1212" s="35" t="str">
        <f t="shared" si="18"/>
        <v/>
      </c>
      <c r="I1212" s="29"/>
    </row>
    <row r="1213" spans="1:9">
      <c r="A1213" s="33"/>
      <c r="B1213" s="29"/>
      <c r="C1213" s="29"/>
      <c r="D1213" s="30"/>
      <c r="E1213" s="30"/>
      <c r="F1213" s="35"/>
      <c r="G1213" s="35"/>
      <c r="H1213" s="35" t="str">
        <f t="shared" si="18"/>
        <v/>
      </c>
      <c r="I1213" s="29"/>
    </row>
    <row r="1214" spans="1:9">
      <c r="A1214" s="33"/>
      <c r="B1214" s="29"/>
      <c r="C1214" s="29"/>
      <c r="D1214" s="30"/>
      <c r="E1214" s="30"/>
      <c r="F1214" s="35"/>
      <c r="G1214" s="35"/>
      <c r="H1214" s="35" t="str">
        <f t="shared" si="18"/>
        <v/>
      </c>
      <c r="I1214" s="29"/>
    </row>
    <row r="1215" spans="1:9">
      <c r="A1215" s="33"/>
      <c r="B1215" s="29"/>
      <c r="C1215" s="29"/>
      <c r="D1215" s="30"/>
      <c r="E1215" s="30"/>
      <c r="F1215" s="35"/>
      <c r="G1215" s="35"/>
      <c r="H1215" s="35" t="str">
        <f t="shared" si="18"/>
        <v/>
      </c>
      <c r="I1215" s="29"/>
    </row>
    <row r="1216" spans="1:9">
      <c r="A1216" s="33"/>
      <c r="B1216" s="29"/>
      <c r="C1216" s="29"/>
      <c r="D1216" s="30"/>
      <c r="E1216" s="30"/>
      <c r="F1216" s="35"/>
      <c r="G1216" s="35"/>
      <c r="H1216" s="35" t="str">
        <f t="shared" si="18"/>
        <v/>
      </c>
      <c r="I1216" s="29"/>
    </row>
    <row r="1217" spans="1:9">
      <c r="A1217" s="33"/>
      <c r="B1217" s="29"/>
      <c r="C1217" s="29"/>
      <c r="D1217" s="30"/>
      <c r="E1217" s="30"/>
      <c r="F1217" s="35"/>
      <c r="G1217" s="35"/>
      <c r="H1217" s="35" t="str">
        <f t="shared" si="18"/>
        <v/>
      </c>
      <c r="I1217" s="29"/>
    </row>
    <row r="1218" spans="1:9">
      <c r="A1218" s="33"/>
      <c r="B1218" s="29"/>
      <c r="C1218" s="29"/>
      <c r="D1218" s="30"/>
      <c r="E1218" s="30"/>
      <c r="F1218" s="35"/>
      <c r="G1218" s="35"/>
      <c r="H1218" s="35" t="str">
        <f t="shared" si="18"/>
        <v/>
      </c>
      <c r="I1218" s="29"/>
    </row>
    <row r="1219" spans="1:9">
      <c r="A1219" s="33"/>
      <c r="B1219" s="29"/>
      <c r="C1219" s="29"/>
      <c r="D1219" s="30"/>
      <c r="E1219" s="30"/>
      <c r="F1219" s="35"/>
      <c r="G1219" s="35"/>
      <c r="H1219" s="35" t="str">
        <f t="shared" si="18"/>
        <v/>
      </c>
      <c r="I1219" s="29"/>
    </row>
    <row r="1220" spans="1:9">
      <c r="A1220" s="33"/>
      <c r="B1220" s="29"/>
      <c r="C1220" s="29"/>
      <c r="D1220" s="30"/>
      <c r="E1220" s="30"/>
      <c r="F1220" s="35"/>
      <c r="G1220" s="35"/>
      <c r="H1220" s="35" t="str">
        <f t="shared" ref="H1220:H1283" si="19">IF(F1220="","",F1220-G1220)</f>
        <v/>
      </c>
      <c r="I1220" s="29"/>
    </row>
    <row r="1221" spans="1:9">
      <c r="A1221" s="33"/>
      <c r="B1221" s="29"/>
      <c r="C1221" s="29"/>
      <c r="D1221" s="30"/>
      <c r="E1221" s="30"/>
      <c r="F1221" s="35"/>
      <c r="G1221" s="35"/>
      <c r="H1221" s="35" t="str">
        <f t="shared" si="19"/>
        <v/>
      </c>
      <c r="I1221" s="29"/>
    </row>
    <row r="1222" spans="1:9">
      <c r="A1222" s="33"/>
      <c r="B1222" s="29"/>
      <c r="C1222" s="29"/>
      <c r="D1222" s="30"/>
      <c r="E1222" s="30"/>
      <c r="F1222" s="35"/>
      <c r="G1222" s="35"/>
      <c r="H1222" s="35" t="str">
        <f t="shared" si="19"/>
        <v/>
      </c>
      <c r="I1222" s="29"/>
    </row>
    <row r="1223" spans="1:9">
      <c r="A1223" s="33"/>
      <c r="B1223" s="29"/>
      <c r="C1223" s="29"/>
      <c r="D1223" s="30"/>
      <c r="E1223" s="30"/>
      <c r="F1223" s="35"/>
      <c r="G1223" s="35"/>
      <c r="H1223" s="35" t="str">
        <f t="shared" si="19"/>
        <v/>
      </c>
      <c r="I1223" s="29"/>
    </row>
    <row r="1224" spans="1:9">
      <c r="A1224" s="33"/>
      <c r="B1224" s="29"/>
      <c r="C1224" s="29"/>
      <c r="D1224" s="30"/>
      <c r="E1224" s="30"/>
      <c r="F1224" s="35"/>
      <c r="G1224" s="35"/>
      <c r="H1224" s="35" t="str">
        <f t="shared" si="19"/>
        <v/>
      </c>
      <c r="I1224" s="29"/>
    </row>
    <row r="1225" spans="1:9">
      <c r="A1225" s="33"/>
      <c r="B1225" s="29"/>
      <c r="C1225" s="29"/>
      <c r="D1225" s="30"/>
      <c r="E1225" s="30"/>
      <c r="F1225" s="35"/>
      <c r="G1225" s="35"/>
      <c r="H1225" s="35" t="str">
        <f t="shared" si="19"/>
        <v/>
      </c>
      <c r="I1225" s="29"/>
    </row>
    <row r="1226" spans="1:9">
      <c r="A1226" s="33"/>
      <c r="B1226" s="29"/>
      <c r="C1226" s="29"/>
      <c r="D1226" s="30"/>
      <c r="E1226" s="30"/>
      <c r="F1226" s="35"/>
      <c r="G1226" s="35"/>
      <c r="H1226" s="35" t="str">
        <f t="shared" si="19"/>
        <v/>
      </c>
      <c r="I1226" s="29"/>
    </row>
    <row r="1227" spans="1:9">
      <c r="A1227" s="33"/>
      <c r="B1227" s="29"/>
      <c r="C1227" s="29"/>
      <c r="D1227" s="30"/>
      <c r="E1227" s="30"/>
      <c r="F1227" s="35"/>
      <c r="G1227" s="35"/>
      <c r="H1227" s="35" t="str">
        <f t="shared" si="19"/>
        <v/>
      </c>
      <c r="I1227" s="29"/>
    </row>
    <row r="1228" spans="1:9">
      <c r="A1228" s="33"/>
      <c r="B1228" s="29"/>
      <c r="C1228" s="29"/>
      <c r="D1228" s="30"/>
      <c r="E1228" s="30"/>
      <c r="F1228" s="35"/>
      <c r="G1228" s="35"/>
      <c r="H1228" s="35" t="str">
        <f t="shared" si="19"/>
        <v/>
      </c>
      <c r="I1228" s="29"/>
    </row>
    <row r="1229" spans="1:9">
      <c r="A1229" s="33"/>
      <c r="B1229" s="29"/>
      <c r="C1229" s="29"/>
      <c r="D1229" s="30"/>
      <c r="E1229" s="30"/>
      <c r="F1229" s="35"/>
      <c r="G1229" s="35"/>
      <c r="H1229" s="35" t="str">
        <f t="shared" si="19"/>
        <v/>
      </c>
      <c r="I1229" s="29"/>
    </row>
    <row r="1230" spans="1:9">
      <c r="A1230" s="33"/>
      <c r="B1230" s="29"/>
      <c r="C1230" s="29"/>
      <c r="D1230" s="30"/>
      <c r="E1230" s="30"/>
      <c r="F1230" s="35"/>
      <c r="G1230" s="35"/>
      <c r="H1230" s="35" t="str">
        <f t="shared" si="19"/>
        <v/>
      </c>
      <c r="I1230" s="29"/>
    </row>
    <row r="1231" spans="1:9">
      <c r="A1231" s="33"/>
      <c r="B1231" s="29"/>
      <c r="C1231" s="29"/>
      <c r="D1231" s="30"/>
      <c r="E1231" s="30"/>
      <c r="F1231" s="35"/>
      <c r="G1231" s="35"/>
      <c r="H1231" s="35" t="str">
        <f t="shared" si="19"/>
        <v/>
      </c>
      <c r="I1231" s="29"/>
    </row>
    <row r="1232" spans="1:9">
      <c r="A1232" s="33"/>
      <c r="B1232" s="29"/>
      <c r="C1232" s="29"/>
      <c r="D1232" s="30"/>
      <c r="E1232" s="30"/>
      <c r="F1232" s="35"/>
      <c r="G1232" s="35"/>
      <c r="H1232" s="35" t="str">
        <f t="shared" si="19"/>
        <v/>
      </c>
      <c r="I1232" s="29"/>
    </row>
    <row r="1233" spans="1:9">
      <c r="A1233" s="33"/>
      <c r="B1233" s="29"/>
      <c r="C1233" s="29"/>
      <c r="D1233" s="30"/>
      <c r="E1233" s="30"/>
      <c r="F1233" s="35"/>
      <c r="G1233" s="35"/>
      <c r="H1233" s="35" t="str">
        <f t="shared" si="19"/>
        <v/>
      </c>
      <c r="I1233" s="29"/>
    </row>
    <row r="1234" spans="1:9">
      <c r="A1234" s="33"/>
      <c r="B1234" s="29"/>
      <c r="C1234" s="29"/>
      <c r="D1234" s="30"/>
      <c r="E1234" s="30"/>
      <c r="F1234" s="35"/>
      <c r="G1234" s="35"/>
      <c r="H1234" s="35" t="str">
        <f t="shared" si="19"/>
        <v/>
      </c>
      <c r="I1234" s="29"/>
    </row>
    <row r="1235" spans="1:9">
      <c r="A1235" s="33"/>
      <c r="B1235" s="29"/>
      <c r="C1235" s="29"/>
      <c r="D1235" s="30"/>
      <c r="E1235" s="30"/>
      <c r="F1235" s="35"/>
      <c r="G1235" s="35"/>
      <c r="H1235" s="35" t="str">
        <f t="shared" si="19"/>
        <v/>
      </c>
      <c r="I1235" s="29"/>
    </row>
    <row r="1236" spans="1:9">
      <c r="A1236" s="33"/>
      <c r="B1236" s="29"/>
      <c r="C1236" s="29"/>
      <c r="D1236" s="30"/>
      <c r="E1236" s="30"/>
      <c r="F1236" s="35"/>
      <c r="G1236" s="35"/>
      <c r="H1236" s="35" t="str">
        <f t="shared" si="19"/>
        <v/>
      </c>
      <c r="I1236" s="29"/>
    </row>
    <row r="1237" spans="1:9">
      <c r="A1237" s="33"/>
      <c r="B1237" s="29"/>
      <c r="C1237" s="29"/>
      <c r="D1237" s="30"/>
      <c r="E1237" s="30"/>
      <c r="F1237" s="35"/>
      <c r="G1237" s="35"/>
      <c r="H1237" s="35" t="str">
        <f t="shared" si="19"/>
        <v/>
      </c>
      <c r="I1237" s="29"/>
    </row>
    <row r="1238" spans="1:9">
      <c r="A1238" s="33"/>
      <c r="B1238" s="29"/>
      <c r="C1238" s="29"/>
      <c r="D1238" s="30"/>
      <c r="E1238" s="30"/>
      <c r="F1238" s="35"/>
      <c r="G1238" s="35"/>
      <c r="H1238" s="35" t="str">
        <f t="shared" si="19"/>
        <v/>
      </c>
      <c r="I1238" s="29"/>
    </row>
    <row r="1239" spans="1:9">
      <c r="A1239" s="33"/>
      <c r="B1239" s="29"/>
      <c r="C1239" s="29"/>
      <c r="D1239" s="30"/>
      <c r="E1239" s="30"/>
      <c r="F1239" s="35"/>
      <c r="G1239" s="35"/>
      <c r="H1239" s="35" t="str">
        <f t="shared" si="19"/>
        <v/>
      </c>
      <c r="I1239" s="29"/>
    </row>
    <row r="1240" spans="1:9">
      <c r="A1240" s="33"/>
      <c r="B1240" s="29"/>
      <c r="C1240" s="29"/>
      <c r="D1240" s="30"/>
      <c r="E1240" s="30"/>
      <c r="F1240" s="35"/>
      <c r="G1240" s="35"/>
      <c r="H1240" s="35" t="str">
        <f t="shared" si="19"/>
        <v/>
      </c>
      <c r="I1240" s="29"/>
    </row>
    <row r="1241" spans="1:9">
      <c r="A1241" s="33"/>
      <c r="B1241" s="29"/>
      <c r="C1241" s="29"/>
      <c r="D1241" s="30"/>
      <c r="E1241" s="30"/>
      <c r="F1241" s="35"/>
      <c r="G1241" s="35"/>
      <c r="H1241" s="35" t="str">
        <f t="shared" si="19"/>
        <v/>
      </c>
      <c r="I1241" s="29"/>
    </row>
    <row r="1242" spans="1:9">
      <c r="A1242" s="33"/>
      <c r="B1242" s="29"/>
      <c r="C1242" s="29"/>
      <c r="D1242" s="30"/>
      <c r="E1242" s="30"/>
      <c r="F1242" s="35"/>
      <c r="G1242" s="35"/>
      <c r="H1242" s="35" t="str">
        <f t="shared" si="19"/>
        <v/>
      </c>
      <c r="I1242" s="29"/>
    </row>
    <row r="1243" spans="1:9">
      <c r="A1243" s="33"/>
      <c r="B1243" s="29"/>
      <c r="C1243" s="29"/>
      <c r="D1243" s="30"/>
      <c r="E1243" s="30"/>
      <c r="F1243" s="35"/>
      <c r="G1243" s="35"/>
      <c r="H1243" s="35" t="str">
        <f t="shared" si="19"/>
        <v/>
      </c>
      <c r="I1243" s="29"/>
    </row>
    <row r="1244" spans="1:9">
      <c r="A1244" s="33"/>
      <c r="B1244" s="29"/>
      <c r="C1244" s="29"/>
      <c r="D1244" s="30"/>
      <c r="E1244" s="30"/>
      <c r="F1244" s="35"/>
      <c r="G1244" s="35"/>
      <c r="H1244" s="35" t="str">
        <f t="shared" si="19"/>
        <v/>
      </c>
      <c r="I1244" s="29"/>
    </row>
    <row r="1245" spans="1:9">
      <c r="A1245" s="33"/>
      <c r="B1245" s="29"/>
      <c r="C1245" s="29"/>
      <c r="D1245" s="30"/>
      <c r="E1245" s="30"/>
      <c r="F1245" s="35"/>
      <c r="G1245" s="35"/>
      <c r="H1245" s="35" t="str">
        <f t="shared" si="19"/>
        <v/>
      </c>
      <c r="I1245" s="29"/>
    </row>
    <row r="1246" spans="1:9">
      <c r="A1246" s="33"/>
      <c r="B1246" s="29"/>
      <c r="C1246" s="29"/>
      <c r="D1246" s="30"/>
      <c r="E1246" s="30"/>
      <c r="F1246" s="35"/>
      <c r="G1246" s="35"/>
      <c r="H1246" s="35" t="str">
        <f t="shared" si="19"/>
        <v/>
      </c>
      <c r="I1246" s="29"/>
    </row>
    <row r="1247" spans="1:9">
      <c r="A1247" s="33"/>
      <c r="B1247" s="29"/>
      <c r="C1247" s="29"/>
      <c r="D1247" s="30"/>
      <c r="E1247" s="30"/>
      <c r="F1247" s="35"/>
      <c r="G1247" s="35"/>
      <c r="H1247" s="35" t="str">
        <f t="shared" si="19"/>
        <v/>
      </c>
      <c r="I1247" s="29"/>
    </row>
    <row r="1248" spans="1:9">
      <c r="A1248" s="33"/>
      <c r="B1248" s="29"/>
      <c r="C1248" s="29"/>
      <c r="D1248" s="30"/>
      <c r="E1248" s="30"/>
      <c r="F1248" s="35"/>
      <c r="G1248" s="35"/>
      <c r="H1248" s="35" t="str">
        <f t="shared" si="19"/>
        <v/>
      </c>
      <c r="I1248" s="29"/>
    </row>
    <row r="1249" spans="1:9">
      <c r="A1249" s="33"/>
      <c r="B1249" s="29"/>
      <c r="C1249" s="29"/>
      <c r="D1249" s="30"/>
      <c r="E1249" s="30"/>
      <c r="F1249" s="35"/>
      <c r="G1249" s="35"/>
      <c r="H1249" s="35" t="str">
        <f t="shared" si="19"/>
        <v/>
      </c>
      <c r="I1249" s="29"/>
    </row>
    <row r="1250" spans="1:9">
      <c r="A1250" s="33"/>
      <c r="B1250" s="29"/>
      <c r="C1250" s="29"/>
      <c r="D1250" s="30"/>
      <c r="E1250" s="30"/>
      <c r="F1250" s="35"/>
      <c r="G1250" s="35"/>
      <c r="H1250" s="35" t="str">
        <f t="shared" si="19"/>
        <v/>
      </c>
      <c r="I1250" s="29"/>
    </row>
    <row r="1251" spans="1:9">
      <c r="A1251" s="33"/>
      <c r="B1251" s="29"/>
      <c r="C1251" s="29"/>
      <c r="D1251" s="30"/>
      <c r="E1251" s="30"/>
      <c r="F1251" s="35"/>
      <c r="G1251" s="35"/>
      <c r="H1251" s="35" t="str">
        <f t="shared" si="19"/>
        <v/>
      </c>
      <c r="I1251" s="29"/>
    </row>
    <row r="1252" spans="1:9">
      <c r="A1252" s="33"/>
      <c r="B1252" s="29"/>
      <c r="C1252" s="29"/>
      <c r="D1252" s="30"/>
      <c r="E1252" s="30"/>
      <c r="F1252" s="35"/>
      <c r="G1252" s="35"/>
      <c r="H1252" s="35" t="str">
        <f t="shared" si="19"/>
        <v/>
      </c>
      <c r="I1252" s="29"/>
    </row>
    <row r="1253" spans="1:9">
      <c r="A1253" s="33"/>
      <c r="B1253" s="29"/>
      <c r="C1253" s="29"/>
      <c r="D1253" s="30"/>
      <c r="E1253" s="30"/>
      <c r="F1253" s="35"/>
      <c r="G1253" s="35"/>
      <c r="H1253" s="35" t="str">
        <f t="shared" si="19"/>
        <v/>
      </c>
      <c r="I1253" s="29"/>
    </row>
    <row r="1254" spans="1:9">
      <c r="A1254" s="33"/>
      <c r="B1254" s="29"/>
      <c r="C1254" s="29"/>
      <c r="D1254" s="30"/>
      <c r="E1254" s="30"/>
      <c r="F1254" s="35"/>
      <c r="G1254" s="35"/>
      <c r="H1254" s="35" t="str">
        <f t="shared" si="19"/>
        <v/>
      </c>
      <c r="I1254" s="29"/>
    </row>
    <row r="1255" spans="1:9">
      <c r="A1255" s="33"/>
      <c r="B1255" s="29"/>
      <c r="C1255" s="29"/>
      <c r="D1255" s="30"/>
      <c r="E1255" s="30"/>
      <c r="F1255" s="35"/>
      <c r="G1255" s="35"/>
      <c r="H1255" s="35" t="str">
        <f t="shared" si="19"/>
        <v/>
      </c>
      <c r="I1255" s="29"/>
    </row>
    <row r="1256" spans="1:9">
      <c r="A1256" s="33"/>
      <c r="B1256" s="29"/>
      <c r="C1256" s="29"/>
      <c r="D1256" s="30"/>
      <c r="E1256" s="30"/>
      <c r="F1256" s="35"/>
      <c r="G1256" s="35"/>
      <c r="H1256" s="35" t="str">
        <f t="shared" si="19"/>
        <v/>
      </c>
      <c r="I1256" s="29"/>
    </row>
    <row r="1257" spans="1:9">
      <c r="A1257" s="33"/>
      <c r="B1257" s="29"/>
      <c r="C1257" s="29"/>
      <c r="D1257" s="30"/>
      <c r="E1257" s="30"/>
      <c r="F1257" s="35"/>
      <c r="G1257" s="35"/>
      <c r="H1257" s="35" t="str">
        <f t="shared" si="19"/>
        <v/>
      </c>
      <c r="I1257" s="29"/>
    </row>
    <row r="1258" spans="1:9">
      <c r="A1258" s="33"/>
      <c r="B1258" s="29"/>
      <c r="C1258" s="29"/>
      <c r="D1258" s="30"/>
      <c r="E1258" s="30"/>
      <c r="F1258" s="35"/>
      <c r="G1258" s="35"/>
      <c r="H1258" s="35" t="str">
        <f t="shared" si="19"/>
        <v/>
      </c>
      <c r="I1258" s="29"/>
    </row>
    <row r="1259" spans="1:9">
      <c r="A1259" s="33"/>
      <c r="B1259" s="29"/>
      <c r="C1259" s="29"/>
      <c r="D1259" s="30"/>
      <c r="E1259" s="30"/>
      <c r="F1259" s="35"/>
      <c r="G1259" s="35"/>
      <c r="H1259" s="35" t="str">
        <f t="shared" si="19"/>
        <v/>
      </c>
      <c r="I1259" s="29"/>
    </row>
    <row r="1260" spans="1:9">
      <c r="A1260" s="33"/>
      <c r="B1260" s="29"/>
      <c r="C1260" s="29"/>
      <c r="D1260" s="30"/>
      <c r="E1260" s="30"/>
      <c r="F1260" s="35"/>
      <c r="G1260" s="35"/>
      <c r="H1260" s="35" t="str">
        <f t="shared" si="19"/>
        <v/>
      </c>
      <c r="I1260" s="29"/>
    </row>
    <row r="1261" spans="1:9">
      <c r="A1261" s="33"/>
      <c r="B1261" s="29"/>
      <c r="C1261" s="29"/>
      <c r="D1261" s="30"/>
      <c r="E1261" s="30"/>
      <c r="F1261" s="35"/>
      <c r="G1261" s="35"/>
      <c r="H1261" s="35" t="str">
        <f t="shared" si="19"/>
        <v/>
      </c>
      <c r="I1261" s="29"/>
    </row>
    <row r="1262" spans="1:9">
      <c r="A1262" s="33"/>
      <c r="B1262" s="29"/>
      <c r="C1262" s="29"/>
      <c r="D1262" s="30"/>
      <c r="E1262" s="30"/>
      <c r="F1262" s="35"/>
      <c r="G1262" s="35"/>
      <c r="H1262" s="35" t="str">
        <f t="shared" si="19"/>
        <v/>
      </c>
      <c r="I1262" s="29"/>
    </row>
    <row r="1263" spans="1:9">
      <c r="A1263" s="33"/>
      <c r="B1263" s="29"/>
      <c r="C1263" s="29"/>
      <c r="D1263" s="30"/>
      <c r="E1263" s="30"/>
      <c r="F1263" s="35"/>
      <c r="G1263" s="35"/>
      <c r="H1263" s="35" t="str">
        <f t="shared" si="19"/>
        <v/>
      </c>
      <c r="I1263" s="29"/>
    </row>
    <row r="1264" spans="1:9">
      <c r="A1264" s="33"/>
      <c r="B1264" s="29"/>
      <c r="C1264" s="29"/>
      <c r="D1264" s="30"/>
      <c r="E1264" s="30"/>
      <c r="F1264" s="35"/>
      <c r="G1264" s="35"/>
      <c r="H1264" s="35" t="str">
        <f t="shared" si="19"/>
        <v/>
      </c>
      <c r="I1264" s="29"/>
    </row>
    <row r="1265" spans="1:9">
      <c r="A1265" s="33"/>
      <c r="B1265" s="29"/>
      <c r="C1265" s="29"/>
      <c r="D1265" s="30"/>
      <c r="E1265" s="30"/>
      <c r="F1265" s="35"/>
      <c r="G1265" s="35"/>
      <c r="H1265" s="35" t="str">
        <f t="shared" si="19"/>
        <v/>
      </c>
      <c r="I1265" s="29"/>
    </row>
    <row r="1266" spans="1:9">
      <c r="A1266" s="33"/>
      <c r="B1266" s="29"/>
      <c r="C1266" s="29"/>
      <c r="D1266" s="30"/>
      <c r="E1266" s="30"/>
      <c r="F1266" s="35"/>
      <c r="G1266" s="35"/>
      <c r="H1266" s="35" t="str">
        <f t="shared" si="19"/>
        <v/>
      </c>
      <c r="I1266" s="29"/>
    </row>
    <row r="1267" spans="1:9">
      <c r="A1267" s="33"/>
      <c r="B1267" s="29"/>
      <c r="C1267" s="29"/>
      <c r="D1267" s="30"/>
      <c r="E1267" s="30"/>
      <c r="F1267" s="35"/>
      <c r="G1267" s="35"/>
      <c r="H1267" s="35" t="str">
        <f t="shared" si="19"/>
        <v/>
      </c>
      <c r="I1267" s="29"/>
    </row>
    <row r="1268" spans="1:9">
      <c r="A1268" s="33"/>
      <c r="B1268" s="29"/>
      <c r="C1268" s="29"/>
      <c r="D1268" s="30"/>
      <c r="E1268" s="30"/>
      <c r="F1268" s="35"/>
      <c r="G1268" s="35"/>
      <c r="H1268" s="35" t="str">
        <f t="shared" si="19"/>
        <v/>
      </c>
      <c r="I1268" s="29"/>
    </row>
    <row r="1269" spans="1:9">
      <c r="A1269" s="33"/>
      <c r="B1269" s="29"/>
      <c r="C1269" s="29"/>
      <c r="D1269" s="30"/>
      <c r="E1269" s="30"/>
      <c r="F1269" s="35"/>
      <c r="G1269" s="35"/>
      <c r="H1269" s="35" t="str">
        <f t="shared" si="19"/>
        <v/>
      </c>
      <c r="I1269" s="29"/>
    </row>
    <row r="1270" spans="1:9">
      <c r="A1270" s="33"/>
      <c r="B1270" s="29"/>
      <c r="C1270" s="29"/>
      <c r="D1270" s="30"/>
      <c r="E1270" s="30"/>
      <c r="F1270" s="35"/>
      <c r="G1270" s="35"/>
      <c r="H1270" s="35" t="str">
        <f t="shared" si="19"/>
        <v/>
      </c>
      <c r="I1270" s="29"/>
    </row>
    <row r="1271" spans="1:9">
      <c r="A1271" s="33"/>
      <c r="B1271" s="29"/>
      <c r="C1271" s="29"/>
      <c r="D1271" s="30"/>
      <c r="E1271" s="30"/>
      <c r="F1271" s="35"/>
      <c r="G1271" s="35"/>
      <c r="H1271" s="35" t="str">
        <f t="shared" si="19"/>
        <v/>
      </c>
      <c r="I1271" s="29"/>
    </row>
    <row r="1272" spans="1:9">
      <c r="A1272" s="33"/>
      <c r="B1272" s="29"/>
      <c r="C1272" s="29"/>
      <c r="D1272" s="30"/>
      <c r="E1272" s="30"/>
      <c r="F1272" s="35"/>
      <c r="G1272" s="35"/>
      <c r="H1272" s="35" t="str">
        <f t="shared" si="19"/>
        <v/>
      </c>
      <c r="I1272" s="29"/>
    </row>
    <row r="1273" spans="1:9">
      <c r="A1273" s="33"/>
      <c r="B1273" s="29"/>
      <c r="C1273" s="29"/>
      <c r="D1273" s="30"/>
      <c r="E1273" s="30"/>
      <c r="F1273" s="35"/>
      <c r="G1273" s="35"/>
      <c r="H1273" s="35" t="str">
        <f t="shared" si="19"/>
        <v/>
      </c>
      <c r="I1273" s="29"/>
    </row>
    <row r="1274" spans="1:9">
      <c r="A1274" s="33"/>
      <c r="B1274" s="29"/>
      <c r="C1274" s="29"/>
      <c r="D1274" s="30"/>
      <c r="E1274" s="30"/>
      <c r="F1274" s="35"/>
      <c r="G1274" s="35"/>
      <c r="H1274" s="35" t="str">
        <f t="shared" si="19"/>
        <v/>
      </c>
      <c r="I1274" s="29"/>
    </row>
    <row r="1275" spans="1:9">
      <c r="A1275" s="33"/>
      <c r="B1275" s="29"/>
      <c r="C1275" s="29"/>
      <c r="D1275" s="30"/>
      <c r="E1275" s="30"/>
      <c r="F1275" s="35"/>
      <c r="G1275" s="35"/>
      <c r="H1275" s="35" t="str">
        <f t="shared" si="19"/>
        <v/>
      </c>
      <c r="I1275" s="29"/>
    </row>
    <row r="1276" spans="1:9">
      <c r="A1276" s="33"/>
      <c r="B1276" s="29"/>
      <c r="C1276" s="29"/>
      <c r="D1276" s="30"/>
      <c r="E1276" s="30"/>
      <c r="F1276" s="35"/>
      <c r="G1276" s="35"/>
      <c r="H1276" s="35" t="str">
        <f t="shared" si="19"/>
        <v/>
      </c>
      <c r="I1276" s="29"/>
    </row>
    <row r="1277" spans="1:9">
      <c r="A1277" s="33"/>
      <c r="B1277" s="29"/>
      <c r="C1277" s="29"/>
      <c r="D1277" s="30"/>
      <c r="E1277" s="30"/>
      <c r="F1277" s="35"/>
      <c r="G1277" s="35"/>
      <c r="H1277" s="35" t="str">
        <f t="shared" si="19"/>
        <v/>
      </c>
      <c r="I1277" s="29"/>
    </row>
    <row r="1278" spans="1:9">
      <c r="A1278" s="33"/>
      <c r="B1278" s="29"/>
      <c r="C1278" s="29"/>
      <c r="D1278" s="30"/>
      <c r="E1278" s="30"/>
      <c r="F1278" s="35"/>
      <c r="G1278" s="35"/>
      <c r="H1278" s="35" t="str">
        <f t="shared" si="19"/>
        <v/>
      </c>
      <c r="I1278" s="29"/>
    </row>
    <row r="1279" spans="1:9">
      <c r="A1279" s="33"/>
      <c r="B1279" s="29"/>
      <c r="C1279" s="29"/>
      <c r="D1279" s="30"/>
      <c r="E1279" s="30"/>
      <c r="F1279" s="35"/>
      <c r="G1279" s="35"/>
      <c r="H1279" s="35" t="str">
        <f t="shared" si="19"/>
        <v/>
      </c>
      <c r="I1279" s="29"/>
    </row>
    <row r="1280" spans="1:9">
      <c r="A1280" s="33"/>
      <c r="B1280" s="29"/>
      <c r="C1280" s="29"/>
      <c r="D1280" s="30"/>
      <c r="E1280" s="30"/>
      <c r="F1280" s="35"/>
      <c r="G1280" s="35"/>
      <c r="H1280" s="35" t="str">
        <f t="shared" si="19"/>
        <v/>
      </c>
      <c r="I1280" s="29"/>
    </row>
    <row r="1281" spans="1:9">
      <c r="A1281" s="33"/>
      <c r="B1281" s="29"/>
      <c r="C1281" s="29"/>
      <c r="D1281" s="30"/>
      <c r="E1281" s="30"/>
      <c r="F1281" s="35"/>
      <c r="G1281" s="35"/>
      <c r="H1281" s="35" t="str">
        <f t="shared" si="19"/>
        <v/>
      </c>
      <c r="I1281" s="29"/>
    </row>
    <row r="1282" spans="1:9">
      <c r="A1282" s="33"/>
      <c r="B1282" s="29"/>
      <c r="C1282" s="29"/>
      <c r="D1282" s="30"/>
      <c r="E1282" s="30"/>
      <c r="F1282" s="35"/>
      <c r="G1282" s="35"/>
      <c r="H1282" s="35" t="str">
        <f t="shared" si="19"/>
        <v/>
      </c>
      <c r="I1282" s="29"/>
    </row>
    <row r="1283" spans="1:9">
      <c r="A1283" s="33"/>
      <c r="B1283" s="29"/>
      <c r="C1283" s="29"/>
      <c r="D1283" s="30"/>
      <c r="E1283" s="30"/>
      <c r="F1283" s="35"/>
      <c r="G1283" s="35"/>
      <c r="H1283" s="35" t="str">
        <f t="shared" si="19"/>
        <v/>
      </c>
      <c r="I1283" s="29"/>
    </row>
    <row r="1284" spans="1:9">
      <c r="A1284" s="33"/>
      <c r="B1284" s="29"/>
      <c r="C1284" s="29"/>
      <c r="D1284" s="30"/>
      <c r="E1284" s="30"/>
      <c r="F1284" s="35"/>
      <c r="G1284" s="35"/>
      <c r="H1284" s="35" t="str">
        <f t="shared" ref="H1284:H1347" si="20">IF(F1284="","",F1284-G1284)</f>
        <v/>
      </c>
      <c r="I1284" s="29"/>
    </row>
    <row r="1285" spans="1:9">
      <c r="A1285" s="33"/>
      <c r="B1285" s="29"/>
      <c r="C1285" s="29"/>
      <c r="D1285" s="30"/>
      <c r="E1285" s="30"/>
      <c r="F1285" s="35"/>
      <c r="G1285" s="35"/>
      <c r="H1285" s="35" t="str">
        <f t="shared" si="20"/>
        <v/>
      </c>
      <c r="I1285" s="29"/>
    </row>
    <row r="1286" spans="1:9">
      <c r="A1286" s="33"/>
      <c r="B1286" s="29"/>
      <c r="C1286" s="29"/>
      <c r="D1286" s="30"/>
      <c r="E1286" s="30"/>
      <c r="F1286" s="35"/>
      <c r="G1286" s="35"/>
      <c r="H1286" s="35" t="str">
        <f t="shared" si="20"/>
        <v/>
      </c>
      <c r="I1286" s="29"/>
    </row>
    <row r="1287" spans="1:9">
      <c r="A1287" s="33"/>
      <c r="B1287" s="29"/>
      <c r="C1287" s="29"/>
      <c r="D1287" s="30"/>
      <c r="E1287" s="30"/>
      <c r="F1287" s="35"/>
      <c r="G1287" s="35"/>
      <c r="H1287" s="35" t="str">
        <f t="shared" si="20"/>
        <v/>
      </c>
      <c r="I1287" s="29"/>
    </row>
    <row r="1288" spans="1:9">
      <c r="A1288" s="33"/>
      <c r="B1288" s="29"/>
      <c r="C1288" s="29"/>
      <c r="D1288" s="30"/>
      <c r="E1288" s="30"/>
      <c r="F1288" s="35"/>
      <c r="G1288" s="35"/>
      <c r="H1288" s="35" t="str">
        <f t="shared" si="20"/>
        <v/>
      </c>
      <c r="I1288" s="29"/>
    </row>
    <row r="1289" spans="1:9">
      <c r="A1289" s="33"/>
      <c r="B1289" s="29"/>
      <c r="C1289" s="29"/>
      <c r="D1289" s="30"/>
      <c r="E1289" s="30"/>
      <c r="F1289" s="35"/>
      <c r="G1289" s="35"/>
      <c r="H1289" s="35" t="str">
        <f t="shared" si="20"/>
        <v/>
      </c>
      <c r="I1289" s="29"/>
    </row>
    <row r="1290" spans="1:9">
      <c r="A1290" s="33"/>
      <c r="B1290" s="29"/>
      <c r="C1290" s="29"/>
      <c r="D1290" s="30"/>
      <c r="E1290" s="30"/>
      <c r="F1290" s="35"/>
      <c r="G1290" s="35"/>
      <c r="H1290" s="35" t="str">
        <f t="shared" si="20"/>
        <v/>
      </c>
      <c r="I1290" s="29"/>
    </row>
    <row r="1291" spans="1:9">
      <c r="A1291" s="33"/>
      <c r="B1291" s="29"/>
      <c r="C1291" s="29"/>
      <c r="D1291" s="30"/>
      <c r="E1291" s="30"/>
      <c r="F1291" s="35"/>
      <c r="G1291" s="35"/>
      <c r="H1291" s="35" t="str">
        <f t="shared" si="20"/>
        <v/>
      </c>
      <c r="I1291" s="29"/>
    </row>
    <row r="1292" spans="1:9">
      <c r="A1292" s="33"/>
      <c r="B1292" s="29"/>
      <c r="C1292" s="29"/>
      <c r="D1292" s="30"/>
      <c r="E1292" s="30"/>
      <c r="F1292" s="35"/>
      <c r="G1292" s="35"/>
      <c r="H1292" s="35" t="str">
        <f t="shared" si="20"/>
        <v/>
      </c>
      <c r="I1292" s="29"/>
    </row>
    <row r="1293" spans="1:9">
      <c r="A1293" s="33"/>
      <c r="B1293" s="29"/>
      <c r="C1293" s="29"/>
      <c r="D1293" s="30"/>
      <c r="E1293" s="30"/>
      <c r="F1293" s="35"/>
      <c r="G1293" s="35"/>
      <c r="H1293" s="35" t="str">
        <f t="shared" si="20"/>
        <v/>
      </c>
      <c r="I1293" s="29"/>
    </row>
    <row r="1294" spans="1:9">
      <c r="A1294" s="33"/>
      <c r="B1294" s="29"/>
      <c r="C1294" s="29"/>
      <c r="D1294" s="30"/>
      <c r="E1294" s="30"/>
      <c r="F1294" s="35"/>
      <c r="G1294" s="35"/>
      <c r="H1294" s="35" t="str">
        <f t="shared" si="20"/>
        <v/>
      </c>
      <c r="I1294" s="29"/>
    </row>
    <row r="1295" spans="1:9">
      <c r="A1295" s="33"/>
      <c r="B1295" s="29"/>
      <c r="C1295" s="29"/>
      <c r="D1295" s="30"/>
      <c r="E1295" s="30"/>
      <c r="F1295" s="35"/>
      <c r="G1295" s="35"/>
      <c r="H1295" s="35" t="str">
        <f t="shared" si="20"/>
        <v/>
      </c>
      <c r="I1295" s="29"/>
    </row>
    <row r="1296" spans="1:9">
      <c r="A1296" s="33"/>
      <c r="B1296" s="29"/>
      <c r="C1296" s="29"/>
      <c r="D1296" s="30"/>
      <c r="E1296" s="30"/>
      <c r="F1296" s="35"/>
      <c r="G1296" s="35"/>
      <c r="H1296" s="35" t="str">
        <f t="shared" si="20"/>
        <v/>
      </c>
      <c r="I1296" s="29"/>
    </row>
    <row r="1297" spans="1:9">
      <c r="A1297" s="33"/>
      <c r="B1297" s="29"/>
      <c r="C1297" s="29"/>
      <c r="D1297" s="30"/>
      <c r="E1297" s="30"/>
      <c r="F1297" s="35"/>
      <c r="G1297" s="35"/>
      <c r="H1297" s="35" t="str">
        <f t="shared" si="20"/>
        <v/>
      </c>
      <c r="I1297" s="29"/>
    </row>
    <row r="1298" spans="1:9">
      <c r="A1298" s="33"/>
      <c r="B1298" s="29"/>
      <c r="C1298" s="29"/>
      <c r="D1298" s="30"/>
      <c r="E1298" s="30"/>
      <c r="F1298" s="35"/>
      <c r="G1298" s="35"/>
      <c r="H1298" s="35" t="str">
        <f t="shared" si="20"/>
        <v/>
      </c>
      <c r="I1298" s="29"/>
    </row>
    <row r="1299" spans="1:9">
      <c r="A1299" s="33"/>
      <c r="B1299" s="29"/>
      <c r="C1299" s="29"/>
      <c r="D1299" s="30"/>
      <c r="E1299" s="30"/>
      <c r="F1299" s="35"/>
      <c r="G1299" s="35"/>
      <c r="H1299" s="35" t="str">
        <f t="shared" si="20"/>
        <v/>
      </c>
      <c r="I1299" s="29"/>
    </row>
    <row r="1300" spans="1:9">
      <c r="A1300" s="33"/>
      <c r="B1300" s="29"/>
      <c r="C1300" s="29"/>
      <c r="D1300" s="30"/>
      <c r="E1300" s="30"/>
      <c r="F1300" s="35"/>
      <c r="G1300" s="35"/>
      <c r="H1300" s="35" t="str">
        <f t="shared" si="20"/>
        <v/>
      </c>
      <c r="I1300" s="29"/>
    </row>
    <row r="1301" spans="1:9">
      <c r="A1301" s="33"/>
      <c r="B1301" s="29"/>
      <c r="C1301" s="29"/>
      <c r="D1301" s="30"/>
      <c r="E1301" s="30"/>
      <c r="F1301" s="35"/>
      <c r="G1301" s="35"/>
      <c r="H1301" s="35" t="str">
        <f t="shared" si="20"/>
        <v/>
      </c>
      <c r="I1301" s="29"/>
    </row>
    <row r="1302" spans="1:9">
      <c r="A1302" s="33"/>
      <c r="B1302" s="29"/>
      <c r="C1302" s="29"/>
      <c r="D1302" s="30"/>
      <c r="E1302" s="30"/>
      <c r="F1302" s="35"/>
      <c r="G1302" s="35"/>
      <c r="H1302" s="35" t="str">
        <f t="shared" si="20"/>
        <v/>
      </c>
      <c r="I1302" s="29"/>
    </row>
    <row r="1303" spans="1:9">
      <c r="A1303" s="33"/>
      <c r="B1303" s="29"/>
      <c r="C1303" s="29"/>
      <c r="D1303" s="30"/>
      <c r="E1303" s="30"/>
      <c r="F1303" s="35"/>
      <c r="G1303" s="35"/>
      <c r="H1303" s="35" t="str">
        <f t="shared" si="20"/>
        <v/>
      </c>
      <c r="I1303" s="29"/>
    </row>
    <row r="1304" spans="1:9">
      <c r="A1304" s="33"/>
      <c r="B1304" s="29"/>
      <c r="C1304" s="29"/>
      <c r="D1304" s="30"/>
      <c r="E1304" s="30"/>
      <c r="F1304" s="35"/>
      <c r="G1304" s="35"/>
      <c r="H1304" s="35" t="str">
        <f t="shared" si="20"/>
        <v/>
      </c>
      <c r="I1304" s="29"/>
    </row>
    <row r="1305" spans="1:9">
      <c r="A1305" s="33"/>
      <c r="B1305" s="29"/>
      <c r="C1305" s="29"/>
      <c r="D1305" s="30"/>
      <c r="E1305" s="30"/>
      <c r="F1305" s="35"/>
      <c r="G1305" s="35"/>
      <c r="H1305" s="35" t="str">
        <f t="shared" si="20"/>
        <v/>
      </c>
      <c r="I1305" s="29"/>
    </row>
    <row r="1306" spans="1:9">
      <c r="A1306" s="33"/>
      <c r="B1306" s="29"/>
      <c r="C1306" s="29"/>
      <c r="D1306" s="30"/>
      <c r="E1306" s="30"/>
      <c r="F1306" s="35"/>
      <c r="G1306" s="35"/>
      <c r="H1306" s="35" t="str">
        <f t="shared" si="20"/>
        <v/>
      </c>
      <c r="I1306" s="29"/>
    </row>
    <row r="1307" spans="1:9">
      <c r="A1307" s="33"/>
      <c r="B1307" s="29"/>
      <c r="C1307" s="29"/>
      <c r="D1307" s="30"/>
      <c r="E1307" s="30"/>
      <c r="F1307" s="35"/>
      <c r="G1307" s="35"/>
      <c r="H1307" s="35" t="str">
        <f t="shared" si="20"/>
        <v/>
      </c>
      <c r="I1307" s="29"/>
    </row>
    <row r="1308" spans="1:9">
      <c r="A1308" s="33"/>
      <c r="B1308" s="29"/>
      <c r="C1308" s="29"/>
      <c r="D1308" s="30"/>
      <c r="E1308" s="30"/>
      <c r="F1308" s="35"/>
      <c r="G1308" s="35"/>
      <c r="H1308" s="35" t="str">
        <f t="shared" si="20"/>
        <v/>
      </c>
      <c r="I1308" s="29"/>
    </row>
    <row r="1309" spans="1:9">
      <c r="A1309" s="33"/>
      <c r="B1309" s="29"/>
      <c r="C1309" s="29"/>
      <c r="D1309" s="30"/>
      <c r="E1309" s="30"/>
      <c r="F1309" s="35"/>
      <c r="G1309" s="35"/>
      <c r="H1309" s="35" t="str">
        <f t="shared" si="20"/>
        <v/>
      </c>
      <c r="I1309" s="29"/>
    </row>
    <row r="1310" spans="1:9">
      <c r="A1310" s="33"/>
      <c r="B1310" s="29"/>
      <c r="C1310" s="29"/>
      <c r="D1310" s="30"/>
      <c r="E1310" s="30"/>
      <c r="F1310" s="35"/>
      <c r="G1310" s="35"/>
      <c r="H1310" s="35" t="str">
        <f t="shared" si="20"/>
        <v/>
      </c>
      <c r="I1310" s="29"/>
    </row>
    <row r="1311" spans="1:9">
      <c r="A1311" s="33"/>
      <c r="B1311" s="29"/>
      <c r="C1311" s="29"/>
      <c r="D1311" s="30"/>
      <c r="E1311" s="30"/>
      <c r="F1311" s="35"/>
      <c r="G1311" s="35"/>
      <c r="H1311" s="35" t="str">
        <f t="shared" si="20"/>
        <v/>
      </c>
      <c r="I1311" s="29"/>
    </row>
    <row r="1312" spans="1:9">
      <c r="A1312" s="33"/>
      <c r="B1312" s="29"/>
      <c r="C1312" s="29"/>
      <c r="D1312" s="30"/>
      <c r="E1312" s="30"/>
      <c r="F1312" s="35"/>
      <c r="G1312" s="35"/>
      <c r="H1312" s="35" t="str">
        <f t="shared" si="20"/>
        <v/>
      </c>
      <c r="I1312" s="29"/>
    </row>
    <row r="1313" spans="1:9">
      <c r="A1313" s="33"/>
      <c r="B1313" s="29"/>
      <c r="C1313" s="29"/>
      <c r="D1313" s="30"/>
      <c r="E1313" s="30"/>
      <c r="F1313" s="35"/>
      <c r="G1313" s="35"/>
      <c r="H1313" s="35" t="str">
        <f t="shared" si="20"/>
        <v/>
      </c>
      <c r="I1313" s="29"/>
    </row>
    <row r="1314" spans="1:9">
      <c r="A1314" s="33"/>
      <c r="B1314" s="29"/>
      <c r="C1314" s="29"/>
      <c r="D1314" s="30"/>
      <c r="E1314" s="30"/>
      <c r="F1314" s="35"/>
      <c r="G1314" s="35"/>
      <c r="H1314" s="35" t="str">
        <f t="shared" si="20"/>
        <v/>
      </c>
      <c r="I1314" s="29"/>
    </row>
    <row r="1315" spans="1:9">
      <c r="A1315" s="33"/>
      <c r="B1315" s="29"/>
      <c r="C1315" s="29"/>
      <c r="D1315" s="30"/>
      <c r="E1315" s="30"/>
      <c r="F1315" s="35"/>
      <c r="G1315" s="35"/>
      <c r="H1315" s="35" t="str">
        <f t="shared" si="20"/>
        <v/>
      </c>
      <c r="I1315" s="29"/>
    </row>
    <row r="1316" spans="1:9">
      <c r="A1316" s="33"/>
      <c r="B1316" s="29"/>
      <c r="C1316" s="29"/>
      <c r="D1316" s="30"/>
      <c r="E1316" s="30"/>
      <c r="F1316" s="35"/>
      <c r="G1316" s="35"/>
      <c r="H1316" s="35" t="str">
        <f t="shared" si="20"/>
        <v/>
      </c>
      <c r="I1316" s="29"/>
    </row>
    <row r="1317" spans="1:9">
      <c r="A1317" s="33"/>
      <c r="B1317" s="29"/>
      <c r="C1317" s="29"/>
      <c r="D1317" s="30"/>
      <c r="E1317" s="30"/>
      <c r="F1317" s="35"/>
      <c r="G1317" s="35"/>
      <c r="H1317" s="35" t="str">
        <f t="shared" si="20"/>
        <v/>
      </c>
      <c r="I1317" s="29"/>
    </row>
    <row r="1318" spans="1:9">
      <c r="A1318" s="33"/>
      <c r="B1318" s="29"/>
      <c r="C1318" s="29"/>
      <c r="D1318" s="30"/>
      <c r="E1318" s="30"/>
      <c r="F1318" s="35"/>
      <c r="G1318" s="35"/>
      <c r="H1318" s="35" t="str">
        <f t="shared" si="20"/>
        <v/>
      </c>
      <c r="I1318" s="29"/>
    </row>
    <row r="1319" spans="1:9">
      <c r="A1319" s="33"/>
      <c r="B1319" s="29"/>
      <c r="C1319" s="29"/>
      <c r="D1319" s="30"/>
      <c r="E1319" s="30"/>
      <c r="F1319" s="35"/>
      <c r="G1319" s="35"/>
      <c r="H1319" s="35" t="str">
        <f t="shared" si="20"/>
        <v/>
      </c>
      <c r="I1319" s="29"/>
    </row>
    <row r="1320" spans="1:9">
      <c r="A1320" s="33"/>
      <c r="B1320" s="29"/>
      <c r="C1320" s="29"/>
      <c r="D1320" s="30"/>
      <c r="E1320" s="30"/>
      <c r="F1320" s="35"/>
      <c r="G1320" s="35"/>
      <c r="H1320" s="35" t="str">
        <f t="shared" si="20"/>
        <v/>
      </c>
      <c r="I1320" s="29"/>
    </row>
    <row r="1321" spans="1:9">
      <c r="A1321" s="33"/>
      <c r="B1321" s="29"/>
      <c r="C1321" s="29"/>
      <c r="D1321" s="30"/>
      <c r="E1321" s="30"/>
      <c r="F1321" s="35"/>
      <c r="G1321" s="35"/>
      <c r="H1321" s="35" t="str">
        <f t="shared" si="20"/>
        <v/>
      </c>
      <c r="I1321" s="29"/>
    </row>
    <row r="1322" spans="1:9">
      <c r="A1322" s="33"/>
      <c r="B1322" s="29"/>
      <c r="C1322" s="29"/>
      <c r="D1322" s="30"/>
      <c r="E1322" s="30"/>
      <c r="F1322" s="35"/>
      <c r="G1322" s="35"/>
      <c r="H1322" s="35" t="str">
        <f t="shared" si="20"/>
        <v/>
      </c>
      <c r="I1322" s="29"/>
    </row>
    <row r="1323" spans="1:9">
      <c r="A1323" s="33"/>
      <c r="B1323" s="29"/>
      <c r="C1323" s="29"/>
      <c r="D1323" s="30"/>
      <c r="E1323" s="30"/>
      <c r="F1323" s="35"/>
      <c r="G1323" s="35"/>
      <c r="H1323" s="35" t="str">
        <f t="shared" si="20"/>
        <v/>
      </c>
      <c r="I1323" s="29"/>
    </row>
    <row r="1324" spans="1:9">
      <c r="A1324" s="33"/>
      <c r="B1324" s="29"/>
      <c r="C1324" s="29"/>
      <c r="D1324" s="30"/>
      <c r="E1324" s="30"/>
      <c r="F1324" s="35"/>
      <c r="G1324" s="35"/>
      <c r="H1324" s="35" t="str">
        <f t="shared" si="20"/>
        <v/>
      </c>
      <c r="I1324" s="29"/>
    </row>
    <row r="1325" spans="1:9">
      <c r="A1325" s="33"/>
      <c r="B1325" s="29"/>
      <c r="C1325" s="29"/>
      <c r="D1325" s="30"/>
      <c r="E1325" s="30"/>
      <c r="F1325" s="35"/>
      <c r="G1325" s="35"/>
      <c r="H1325" s="35" t="str">
        <f t="shared" si="20"/>
        <v/>
      </c>
      <c r="I1325" s="29"/>
    </row>
    <row r="1326" spans="1:9">
      <c r="A1326" s="33"/>
      <c r="B1326" s="29"/>
      <c r="C1326" s="29"/>
      <c r="D1326" s="30"/>
      <c r="E1326" s="30"/>
      <c r="F1326" s="35"/>
      <c r="G1326" s="35"/>
      <c r="H1326" s="35" t="str">
        <f t="shared" si="20"/>
        <v/>
      </c>
      <c r="I1326" s="29"/>
    </row>
    <row r="1327" spans="1:9">
      <c r="A1327" s="33"/>
      <c r="B1327" s="29"/>
      <c r="C1327" s="29"/>
      <c r="D1327" s="30"/>
      <c r="E1327" s="30"/>
      <c r="F1327" s="35"/>
      <c r="G1327" s="35"/>
      <c r="H1327" s="35" t="str">
        <f t="shared" si="20"/>
        <v/>
      </c>
      <c r="I1327" s="29"/>
    </row>
    <row r="1328" spans="1:9">
      <c r="A1328" s="33"/>
      <c r="B1328" s="29"/>
      <c r="C1328" s="29"/>
      <c r="D1328" s="30"/>
      <c r="E1328" s="30"/>
      <c r="F1328" s="35"/>
      <c r="G1328" s="35"/>
      <c r="H1328" s="35" t="str">
        <f t="shared" si="20"/>
        <v/>
      </c>
      <c r="I1328" s="29"/>
    </row>
    <row r="1329" spans="1:9">
      <c r="A1329" s="33"/>
      <c r="B1329" s="29"/>
      <c r="C1329" s="29"/>
      <c r="D1329" s="30"/>
      <c r="E1329" s="30"/>
      <c r="F1329" s="35"/>
      <c r="G1329" s="35"/>
      <c r="H1329" s="35" t="str">
        <f t="shared" si="20"/>
        <v/>
      </c>
      <c r="I1329" s="29"/>
    </row>
    <row r="1330" spans="1:9">
      <c r="A1330" s="33"/>
      <c r="B1330" s="29"/>
      <c r="C1330" s="29"/>
      <c r="D1330" s="30"/>
      <c r="E1330" s="30"/>
      <c r="F1330" s="35"/>
      <c r="G1330" s="35"/>
      <c r="H1330" s="35" t="str">
        <f t="shared" si="20"/>
        <v/>
      </c>
      <c r="I1330" s="29"/>
    </row>
    <row r="1331" spans="1:9">
      <c r="A1331" s="33"/>
      <c r="B1331" s="29"/>
      <c r="C1331" s="29"/>
      <c r="D1331" s="30"/>
      <c r="E1331" s="30"/>
      <c r="F1331" s="35"/>
      <c r="G1331" s="35"/>
      <c r="H1331" s="35" t="str">
        <f t="shared" si="20"/>
        <v/>
      </c>
      <c r="I1331" s="29"/>
    </row>
    <row r="1332" spans="1:9">
      <c r="A1332" s="33"/>
      <c r="B1332" s="29"/>
      <c r="C1332" s="29"/>
      <c r="D1332" s="30"/>
      <c r="E1332" s="30"/>
      <c r="F1332" s="35"/>
      <c r="G1332" s="35"/>
      <c r="H1332" s="35" t="str">
        <f t="shared" si="20"/>
        <v/>
      </c>
      <c r="I1332" s="29"/>
    </row>
    <row r="1333" spans="1:9">
      <c r="A1333" s="33"/>
      <c r="B1333" s="29"/>
      <c r="C1333" s="29"/>
      <c r="D1333" s="30"/>
      <c r="E1333" s="30"/>
      <c r="F1333" s="35"/>
      <c r="G1333" s="35"/>
      <c r="H1333" s="35" t="str">
        <f t="shared" si="20"/>
        <v/>
      </c>
      <c r="I1333" s="29"/>
    </row>
    <row r="1334" spans="1:9">
      <c r="A1334" s="33"/>
      <c r="B1334" s="29"/>
      <c r="C1334" s="29"/>
      <c r="D1334" s="30"/>
      <c r="E1334" s="30"/>
      <c r="F1334" s="35"/>
      <c r="G1334" s="35"/>
      <c r="H1334" s="35" t="str">
        <f t="shared" si="20"/>
        <v/>
      </c>
      <c r="I1334" s="29"/>
    </row>
    <row r="1335" spans="1:9">
      <c r="A1335" s="33"/>
      <c r="B1335" s="29"/>
      <c r="C1335" s="29"/>
      <c r="D1335" s="30"/>
      <c r="E1335" s="30"/>
      <c r="F1335" s="35"/>
      <c r="G1335" s="35"/>
      <c r="H1335" s="35" t="str">
        <f t="shared" si="20"/>
        <v/>
      </c>
      <c r="I1335" s="29"/>
    </row>
    <row r="1336" spans="1:9">
      <c r="A1336" s="33"/>
      <c r="B1336" s="29"/>
      <c r="C1336" s="29"/>
      <c r="D1336" s="30"/>
      <c r="E1336" s="30"/>
      <c r="F1336" s="35"/>
      <c r="G1336" s="35"/>
      <c r="H1336" s="35" t="str">
        <f t="shared" si="20"/>
        <v/>
      </c>
      <c r="I1336" s="29"/>
    </row>
    <row r="1337" spans="1:9">
      <c r="A1337" s="33"/>
      <c r="B1337" s="29"/>
      <c r="C1337" s="29"/>
      <c r="D1337" s="30"/>
      <c r="E1337" s="30"/>
      <c r="F1337" s="35"/>
      <c r="G1337" s="35"/>
      <c r="H1337" s="35" t="str">
        <f t="shared" si="20"/>
        <v/>
      </c>
      <c r="I1337" s="29"/>
    </row>
    <row r="1338" spans="1:9">
      <c r="A1338" s="33"/>
      <c r="B1338" s="29"/>
      <c r="C1338" s="29"/>
      <c r="D1338" s="30"/>
      <c r="E1338" s="30"/>
      <c r="F1338" s="35"/>
      <c r="G1338" s="35"/>
      <c r="H1338" s="35" t="str">
        <f t="shared" si="20"/>
        <v/>
      </c>
      <c r="I1338" s="29"/>
    </row>
    <row r="1339" spans="1:9">
      <c r="A1339" s="33"/>
      <c r="B1339" s="29"/>
      <c r="C1339" s="29"/>
      <c r="D1339" s="30"/>
      <c r="E1339" s="30"/>
      <c r="F1339" s="35"/>
      <c r="G1339" s="35"/>
      <c r="H1339" s="35" t="str">
        <f t="shared" si="20"/>
        <v/>
      </c>
      <c r="I1339" s="29"/>
    </row>
    <row r="1340" spans="1:9">
      <c r="A1340" s="33"/>
      <c r="B1340" s="29"/>
      <c r="C1340" s="29"/>
      <c r="D1340" s="30"/>
      <c r="E1340" s="30"/>
      <c r="F1340" s="35"/>
      <c r="G1340" s="35"/>
      <c r="H1340" s="35" t="str">
        <f t="shared" si="20"/>
        <v/>
      </c>
      <c r="I1340" s="29"/>
    </row>
    <row r="1341" spans="1:9">
      <c r="A1341" s="33"/>
      <c r="B1341" s="29"/>
      <c r="C1341" s="29"/>
      <c r="D1341" s="30"/>
      <c r="E1341" s="30"/>
      <c r="F1341" s="35"/>
      <c r="G1341" s="35"/>
      <c r="H1341" s="35" t="str">
        <f t="shared" si="20"/>
        <v/>
      </c>
      <c r="I1341" s="29"/>
    </row>
    <row r="1342" spans="1:9">
      <c r="A1342" s="33"/>
      <c r="B1342" s="29"/>
      <c r="C1342" s="29"/>
      <c r="D1342" s="30"/>
      <c r="E1342" s="30"/>
      <c r="F1342" s="35"/>
      <c r="G1342" s="35"/>
      <c r="H1342" s="35" t="str">
        <f t="shared" si="20"/>
        <v/>
      </c>
      <c r="I1342" s="29"/>
    </row>
    <row r="1343" spans="1:9">
      <c r="A1343" s="33"/>
      <c r="B1343" s="29"/>
      <c r="C1343" s="29"/>
      <c r="D1343" s="30"/>
      <c r="E1343" s="30"/>
      <c r="F1343" s="35"/>
      <c r="G1343" s="35"/>
      <c r="H1343" s="35" t="str">
        <f t="shared" si="20"/>
        <v/>
      </c>
      <c r="I1343" s="29"/>
    </row>
    <row r="1344" spans="1:9">
      <c r="A1344" s="33"/>
      <c r="B1344" s="29"/>
      <c r="C1344" s="29"/>
      <c r="D1344" s="30"/>
      <c r="E1344" s="30"/>
      <c r="F1344" s="35"/>
      <c r="G1344" s="35"/>
      <c r="H1344" s="35" t="str">
        <f t="shared" si="20"/>
        <v/>
      </c>
      <c r="I1344" s="29"/>
    </row>
    <row r="1345" spans="1:9">
      <c r="A1345" s="33"/>
      <c r="B1345" s="29"/>
      <c r="C1345" s="29"/>
      <c r="D1345" s="30"/>
      <c r="E1345" s="30"/>
      <c r="F1345" s="35"/>
      <c r="G1345" s="35"/>
      <c r="H1345" s="35" t="str">
        <f t="shared" si="20"/>
        <v/>
      </c>
      <c r="I1345" s="29"/>
    </row>
    <row r="1346" spans="1:9">
      <c r="A1346" s="33"/>
      <c r="B1346" s="29"/>
      <c r="C1346" s="29"/>
      <c r="D1346" s="30"/>
      <c r="E1346" s="30"/>
      <c r="F1346" s="35"/>
      <c r="G1346" s="35"/>
      <c r="H1346" s="35" t="str">
        <f t="shared" si="20"/>
        <v/>
      </c>
      <c r="I1346" s="29"/>
    </row>
    <row r="1347" spans="1:9">
      <c r="A1347" s="33"/>
      <c r="B1347" s="29"/>
      <c r="C1347" s="29"/>
      <c r="D1347" s="30"/>
      <c r="E1347" s="30"/>
      <c r="F1347" s="35"/>
      <c r="G1347" s="35"/>
      <c r="H1347" s="35" t="str">
        <f t="shared" si="20"/>
        <v/>
      </c>
      <c r="I1347" s="29"/>
    </row>
    <row r="1348" spans="1:9">
      <c r="A1348" s="33"/>
      <c r="B1348" s="29"/>
      <c r="C1348" s="29"/>
      <c r="D1348" s="30"/>
      <c r="E1348" s="30"/>
      <c r="F1348" s="35"/>
      <c r="G1348" s="35"/>
      <c r="H1348" s="35" t="str">
        <f t="shared" ref="H1348:H1411" si="21">IF(F1348="","",F1348-G1348)</f>
        <v/>
      </c>
      <c r="I1348" s="29"/>
    </row>
    <row r="1349" spans="1:9">
      <c r="A1349" s="33"/>
      <c r="B1349" s="29"/>
      <c r="C1349" s="29"/>
      <c r="D1349" s="30"/>
      <c r="E1349" s="30"/>
      <c r="F1349" s="35"/>
      <c r="G1349" s="35"/>
      <c r="H1349" s="35" t="str">
        <f t="shared" si="21"/>
        <v/>
      </c>
      <c r="I1349" s="29"/>
    </row>
    <row r="1350" spans="1:9">
      <c r="A1350" s="33"/>
      <c r="B1350" s="29"/>
      <c r="C1350" s="29"/>
      <c r="D1350" s="30"/>
      <c r="E1350" s="30"/>
      <c r="F1350" s="35"/>
      <c r="G1350" s="35"/>
      <c r="H1350" s="35" t="str">
        <f t="shared" si="21"/>
        <v/>
      </c>
      <c r="I1350" s="29"/>
    </row>
    <row r="1351" spans="1:9">
      <c r="A1351" s="33"/>
      <c r="B1351" s="29"/>
      <c r="C1351" s="29"/>
      <c r="D1351" s="30"/>
      <c r="E1351" s="30"/>
      <c r="F1351" s="35"/>
      <c r="G1351" s="35"/>
      <c r="H1351" s="35" t="str">
        <f t="shared" si="21"/>
        <v/>
      </c>
      <c r="I1351" s="29"/>
    </row>
    <row r="1352" spans="1:9">
      <c r="A1352" s="33"/>
      <c r="B1352" s="29"/>
      <c r="C1352" s="29"/>
      <c r="D1352" s="30"/>
      <c r="E1352" s="30"/>
      <c r="F1352" s="35"/>
      <c r="G1352" s="35"/>
      <c r="H1352" s="35" t="str">
        <f t="shared" si="21"/>
        <v/>
      </c>
      <c r="I1352" s="29"/>
    </row>
    <row r="1353" spans="1:9">
      <c r="A1353" s="33"/>
      <c r="B1353" s="29"/>
      <c r="C1353" s="29"/>
      <c r="D1353" s="30"/>
      <c r="E1353" s="30"/>
      <c r="F1353" s="35"/>
      <c r="G1353" s="35"/>
      <c r="H1353" s="35" t="str">
        <f t="shared" si="21"/>
        <v/>
      </c>
      <c r="I1353" s="29"/>
    </row>
    <row r="1354" spans="1:9">
      <c r="A1354" s="33"/>
      <c r="B1354" s="29"/>
      <c r="C1354" s="29"/>
      <c r="D1354" s="30"/>
      <c r="E1354" s="30"/>
      <c r="F1354" s="35"/>
      <c r="G1354" s="35"/>
      <c r="H1354" s="35" t="str">
        <f t="shared" si="21"/>
        <v/>
      </c>
      <c r="I1354" s="29"/>
    </row>
    <row r="1355" spans="1:9">
      <c r="A1355" s="33"/>
      <c r="B1355" s="29"/>
      <c r="C1355" s="29"/>
      <c r="D1355" s="30"/>
      <c r="E1355" s="30"/>
      <c r="F1355" s="35"/>
      <c r="G1355" s="35"/>
      <c r="H1355" s="35" t="str">
        <f t="shared" si="21"/>
        <v/>
      </c>
      <c r="I1355" s="29"/>
    </row>
    <row r="1356" spans="1:9">
      <c r="A1356" s="33"/>
      <c r="B1356" s="29"/>
      <c r="C1356" s="29"/>
      <c r="D1356" s="30"/>
      <c r="E1356" s="30"/>
      <c r="F1356" s="35"/>
      <c r="G1356" s="35"/>
      <c r="H1356" s="35" t="str">
        <f t="shared" si="21"/>
        <v/>
      </c>
      <c r="I1356" s="29"/>
    </row>
    <row r="1357" spans="1:9">
      <c r="A1357" s="33"/>
      <c r="B1357" s="29"/>
      <c r="C1357" s="29"/>
      <c r="D1357" s="30"/>
      <c r="E1357" s="30"/>
      <c r="F1357" s="35"/>
      <c r="G1357" s="35"/>
      <c r="H1357" s="35" t="str">
        <f t="shared" si="21"/>
        <v/>
      </c>
      <c r="I1357" s="29"/>
    </row>
    <row r="1358" spans="1:9">
      <c r="A1358" s="33"/>
      <c r="B1358" s="29"/>
      <c r="C1358" s="29"/>
      <c r="D1358" s="30"/>
      <c r="E1358" s="30"/>
      <c r="F1358" s="35"/>
      <c r="G1358" s="35"/>
      <c r="H1358" s="35" t="str">
        <f t="shared" si="21"/>
        <v/>
      </c>
      <c r="I1358" s="29"/>
    </row>
    <row r="1359" spans="1:9">
      <c r="A1359" s="33"/>
      <c r="B1359" s="29"/>
      <c r="C1359" s="29"/>
      <c r="D1359" s="30"/>
      <c r="E1359" s="30"/>
      <c r="F1359" s="35"/>
      <c r="G1359" s="35"/>
      <c r="H1359" s="35" t="str">
        <f t="shared" si="21"/>
        <v/>
      </c>
      <c r="I1359" s="29"/>
    </row>
    <row r="1360" spans="1:9">
      <c r="A1360" s="33"/>
      <c r="B1360" s="29"/>
      <c r="C1360" s="29"/>
      <c r="D1360" s="30"/>
      <c r="E1360" s="30"/>
      <c r="F1360" s="35"/>
      <c r="G1360" s="35"/>
      <c r="H1360" s="35" t="str">
        <f t="shared" si="21"/>
        <v/>
      </c>
      <c r="I1360" s="29"/>
    </row>
    <row r="1361" spans="1:9">
      <c r="A1361" s="33"/>
      <c r="B1361" s="29"/>
      <c r="C1361" s="29"/>
      <c r="D1361" s="30"/>
      <c r="E1361" s="30"/>
      <c r="F1361" s="35"/>
      <c r="G1361" s="35"/>
      <c r="H1361" s="35" t="str">
        <f t="shared" si="21"/>
        <v/>
      </c>
      <c r="I1361" s="29"/>
    </row>
    <row r="1362" spans="1:9">
      <c r="A1362" s="33"/>
      <c r="B1362" s="29"/>
      <c r="C1362" s="29"/>
      <c r="D1362" s="30"/>
      <c r="E1362" s="30"/>
      <c r="F1362" s="35"/>
      <c r="G1362" s="35"/>
      <c r="H1362" s="35" t="str">
        <f t="shared" si="21"/>
        <v/>
      </c>
      <c r="I1362" s="29"/>
    </row>
    <row r="1363" spans="1:9">
      <c r="A1363" s="33"/>
      <c r="B1363" s="29"/>
      <c r="C1363" s="29"/>
      <c r="D1363" s="30"/>
      <c r="E1363" s="30"/>
      <c r="F1363" s="35"/>
      <c r="G1363" s="35"/>
      <c r="H1363" s="35" t="str">
        <f t="shared" si="21"/>
        <v/>
      </c>
      <c r="I1363" s="29"/>
    </row>
    <row r="1364" spans="1:9">
      <c r="A1364" s="33"/>
      <c r="B1364" s="29"/>
      <c r="C1364" s="29"/>
      <c r="D1364" s="30"/>
      <c r="E1364" s="30"/>
      <c r="F1364" s="35"/>
      <c r="G1364" s="35"/>
      <c r="H1364" s="35" t="str">
        <f t="shared" si="21"/>
        <v/>
      </c>
      <c r="I1364" s="29"/>
    </row>
    <row r="1365" spans="1:9">
      <c r="A1365" s="33"/>
      <c r="B1365" s="29"/>
      <c r="C1365" s="29"/>
      <c r="D1365" s="30"/>
      <c r="E1365" s="30"/>
      <c r="F1365" s="35"/>
      <c r="G1365" s="35"/>
      <c r="H1365" s="35" t="str">
        <f t="shared" si="21"/>
        <v/>
      </c>
      <c r="I1365" s="29"/>
    </row>
    <row r="1366" spans="1:9">
      <c r="A1366" s="33"/>
      <c r="B1366" s="29"/>
      <c r="C1366" s="29"/>
      <c r="D1366" s="30"/>
      <c r="E1366" s="30"/>
      <c r="F1366" s="35"/>
      <c r="G1366" s="35"/>
      <c r="H1366" s="35" t="str">
        <f t="shared" si="21"/>
        <v/>
      </c>
      <c r="I1366" s="29"/>
    </row>
    <row r="1367" spans="1:9">
      <c r="A1367" s="33"/>
      <c r="B1367" s="29"/>
      <c r="C1367" s="29"/>
      <c r="D1367" s="30"/>
      <c r="E1367" s="30"/>
      <c r="F1367" s="35"/>
      <c r="G1367" s="35"/>
      <c r="H1367" s="35" t="str">
        <f t="shared" si="21"/>
        <v/>
      </c>
      <c r="I1367" s="29"/>
    </row>
    <row r="1368" spans="1:9">
      <c r="A1368" s="33"/>
      <c r="B1368" s="29"/>
      <c r="C1368" s="29"/>
      <c r="D1368" s="30"/>
      <c r="E1368" s="30"/>
      <c r="F1368" s="35"/>
      <c r="G1368" s="35"/>
      <c r="H1368" s="35" t="str">
        <f t="shared" si="21"/>
        <v/>
      </c>
      <c r="I1368" s="29"/>
    </row>
    <row r="1369" spans="1:9">
      <c r="A1369" s="33"/>
      <c r="B1369" s="29"/>
      <c r="C1369" s="29"/>
      <c r="D1369" s="30"/>
      <c r="E1369" s="30"/>
      <c r="F1369" s="35"/>
      <c r="G1369" s="35"/>
      <c r="H1369" s="35" t="str">
        <f t="shared" si="21"/>
        <v/>
      </c>
      <c r="I1369" s="29"/>
    </row>
    <row r="1370" spans="1:9">
      <c r="A1370" s="33"/>
      <c r="B1370" s="29"/>
      <c r="C1370" s="29"/>
      <c r="D1370" s="30"/>
      <c r="E1370" s="30"/>
      <c r="F1370" s="35"/>
      <c r="G1370" s="35"/>
      <c r="H1370" s="35" t="str">
        <f t="shared" si="21"/>
        <v/>
      </c>
      <c r="I1370" s="29"/>
    </row>
    <row r="1371" spans="1:9">
      <c r="A1371" s="33"/>
      <c r="B1371" s="29"/>
      <c r="C1371" s="29"/>
      <c r="D1371" s="30"/>
      <c r="E1371" s="30"/>
      <c r="F1371" s="35"/>
      <c r="G1371" s="35"/>
      <c r="H1371" s="35" t="str">
        <f t="shared" si="21"/>
        <v/>
      </c>
      <c r="I1371" s="29"/>
    </row>
    <row r="1372" spans="1:9">
      <c r="A1372" s="33"/>
      <c r="B1372" s="29"/>
      <c r="C1372" s="29"/>
      <c r="D1372" s="30"/>
      <c r="E1372" s="30"/>
      <c r="F1372" s="35"/>
      <c r="G1372" s="35"/>
      <c r="H1372" s="35" t="str">
        <f t="shared" si="21"/>
        <v/>
      </c>
      <c r="I1372" s="29"/>
    </row>
    <row r="1373" spans="1:9">
      <c r="A1373" s="33"/>
      <c r="B1373" s="29"/>
      <c r="C1373" s="29"/>
      <c r="D1373" s="30"/>
      <c r="E1373" s="30"/>
      <c r="F1373" s="35"/>
      <c r="G1373" s="35"/>
      <c r="H1373" s="35" t="str">
        <f t="shared" si="21"/>
        <v/>
      </c>
      <c r="I1373" s="29"/>
    </row>
    <row r="1374" spans="1:9">
      <c r="A1374" s="33"/>
      <c r="B1374" s="29"/>
      <c r="C1374" s="29"/>
      <c r="D1374" s="30"/>
      <c r="E1374" s="30"/>
      <c r="F1374" s="35"/>
      <c r="G1374" s="35"/>
      <c r="H1374" s="35" t="str">
        <f t="shared" si="21"/>
        <v/>
      </c>
      <c r="I1374" s="29"/>
    </row>
    <row r="1375" spans="1:9">
      <c r="A1375" s="33"/>
      <c r="B1375" s="29"/>
      <c r="C1375" s="29"/>
      <c r="D1375" s="30"/>
      <c r="E1375" s="30"/>
      <c r="F1375" s="35"/>
      <c r="G1375" s="35"/>
      <c r="H1375" s="35" t="str">
        <f t="shared" si="21"/>
        <v/>
      </c>
      <c r="I1375" s="29"/>
    </row>
    <row r="1376" spans="1:9">
      <c r="A1376" s="33"/>
      <c r="B1376" s="29"/>
      <c r="C1376" s="29"/>
      <c r="D1376" s="30"/>
      <c r="E1376" s="30"/>
      <c r="F1376" s="35"/>
      <c r="G1376" s="35"/>
      <c r="H1376" s="35" t="str">
        <f t="shared" si="21"/>
        <v/>
      </c>
      <c r="I1376" s="29"/>
    </row>
    <row r="1377" spans="1:9">
      <c r="A1377" s="33"/>
      <c r="B1377" s="29"/>
      <c r="C1377" s="29"/>
      <c r="D1377" s="30"/>
      <c r="E1377" s="30"/>
      <c r="F1377" s="35"/>
      <c r="G1377" s="35"/>
      <c r="H1377" s="35" t="str">
        <f t="shared" si="21"/>
        <v/>
      </c>
      <c r="I1377" s="29"/>
    </row>
    <row r="1378" spans="1:9">
      <c r="A1378" s="33"/>
      <c r="B1378" s="29"/>
      <c r="C1378" s="29"/>
      <c r="D1378" s="30"/>
      <c r="E1378" s="30"/>
      <c r="F1378" s="35"/>
      <c r="G1378" s="35"/>
      <c r="H1378" s="35" t="str">
        <f t="shared" si="21"/>
        <v/>
      </c>
      <c r="I1378" s="29"/>
    </row>
    <row r="1379" spans="1:9">
      <c r="A1379" s="33"/>
      <c r="B1379" s="29"/>
      <c r="C1379" s="29"/>
      <c r="D1379" s="30"/>
      <c r="E1379" s="30"/>
      <c r="F1379" s="35"/>
      <c r="G1379" s="35"/>
      <c r="H1379" s="35" t="str">
        <f t="shared" si="21"/>
        <v/>
      </c>
      <c r="I1379" s="29"/>
    </row>
    <row r="1380" spans="1:9">
      <c r="A1380" s="33"/>
      <c r="B1380" s="29"/>
      <c r="C1380" s="29"/>
      <c r="D1380" s="30"/>
      <c r="E1380" s="30"/>
      <c r="F1380" s="35"/>
      <c r="G1380" s="35"/>
      <c r="H1380" s="35" t="str">
        <f t="shared" si="21"/>
        <v/>
      </c>
      <c r="I1380" s="29"/>
    </row>
    <row r="1381" spans="1:9">
      <c r="A1381" s="33"/>
      <c r="B1381" s="29"/>
      <c r="C1381" s="29"/>
      <c r="D1381" s="30"/>
      <c r="E1381" s="30"/>
      <c r="F1381" s="35"/>
      <c r="G1381" s="35"/>
      <c r="H1381" s="35" t="str">
        <f t="shared" si="21"/>
        <v/>
      </c>
      <c r="I1381" s="29"/>
    </row>
    <row r="1382" spans="1:9">
      <c r="A1382" s="33"/>
      <c r="B1382" s="29"/>
      <c r="C1382" s="29"/>
      <c r="D1382" s="30"/>
      <c r="E1382" s="30"/>
      <c r="F1382" s="35"/>
      <c r="G1382" s="35"/>
      <c r="H1382" s="35" t="str">
        <f t="shared" si="21"/>
        <v/>
      </c>
      <c r="I1382" s="29"/>
    </row>
    <row r="1383" spans="1:9">
      <c r="A1383" s="33"/>
      <c r="B1383" s="29"/>
      <c r="C1383" s="29"/>
      <c r="D1383" s="30"/>
      <c r="E1383" s="30"/>
      <c r="F1383" s="35"/>
      <c r="G1383" s="35"/>
      <c r="H1383" s="35" t="str">
        <f t="shared" si="21"/>
        <v/>
      </c>
      <c r="I1383" s="29"/>
    </row>
    <row r="1384" spans="1:9">
      <c r="A1384" s="33"/>
      <c r="B1384" s="29"/>
      <c r="C1384" s="29"/>
      <c r="D1384" s="30"/>
      <c r="E1384" s="30"/>
      <c r="F1384" s="35"/>
      <c r="G1384" s="35"/>
      <c r="H1384" s="35" t="str">
        <f t="shared" si="21"/>
        <v/>
      </c>
      <c r="I1384" s="29"/>
    </row>
    <row r="1385" spans="1:9">
      <c r="A1385" s="33"/>
      <c r="B1385" s="29"/>
      <c r="C1385" s="29"/>
      <c r="D1385" s="30"/>
      <c r="E1385" s="30"/>
      <c r="F1385" s="35"/>
      <c r="G1385" s="35"/>
      <c r="H1385" s="35" t="str">
        <f t="shared" si="21"/>
        <v/>
      </c>
      <c r="I1385" s="29"/>
    </row>
    <row r="1386" spans="1:9">
      <c r="A1386" s="33"/>
      <c r="B1386" s="29"/>
      <c r="C1386" s="29"/>
      <c r="D1386" s="30"/>
      <c r="E1386" s="30"/>
      <c r="F1386" s="35"/>
      <c r="G1386" s="35"/>
      <c r="H1386" s="35" t="str">
        <f t="shared" si="21"/>
        <v/>
      </c>
      <c r="I1386" s="29"/>
    </row>
    <row r="1387" spans="1:9">
      <c r="A1387" s="33"/>
      <c r="B1387" s="29"/>
      <c r="C1387" s="29"/>
      <c r="D1387" s="30"/>
      <c r="E1387" s="30"/>
      <c r="F1387" s="35"/>
      <c r="G1387" s="35"/>
      <c r="H1387" s="35" t="str">
        <f t="shared" si="21"/>
        <v/>
      </c>
      <c r="I1387" s="29"/>
    </row>
    <row r="1388" spans="1:9">
      <c r="A1388" s="33"/>
      <c r="B1388" s="29"/>
      <c r="C1388" s="29"/>
      <c r="D1388" s="30"/>
      <c r="E1388" s="30"/>
      <c r="F1388" s="35"/>
      <c r="G1388" s="35"/>
      <c r="H1388" s="35" t="str">
        <f t="shared" si="21"/>
        <v/>
      </c>
      <c r="I1388" s="29"/>
    </row>
    <row r="1389" spans="1:9">
      <c r="A1389" s="33"/>
      <c r="B1389" s="29"/>
      <c r="C1389" s="29"/>
      <c r="D1389" s="30"/>
      <c r="E1389" s="30"/>
      <c r="F1389" s="35"/>
      <c r="G1389" s="35"/>
      <c r="H1389" s="35" t="str">
        <f t="shared" si="21"/>
        <v/>
      </c>
      <c r="I1389" s="29"/>
    </row>
    <row r="1390" spans="1:9">
      <c r="A1390" s="33"/>
      <c r="B1390" s="29"/>
      <c r="C1390" s="29"/>
      <c r="D1390" s="30"/>
      <c r="E1390" s="30"/>
      <c r="F1390" s="35"/>
      <c r="G1390" s="35"/>
      <c r="H1390" s="35" t="str">
        <f t="shared" si="21"/>
        <v/>
      </c>
      <c r="I1390" s="29"/>
    </row>
    <row r="1391" spans="1:9">
      <c r="A1391" s="33"/>
      <c r="B1391" s="29"/>
      <c r="C1391" s="29"/>
      <c r="D1391" s="30"/>
      <c r="E1391" s="30"/>
      <c r="F1391" s="35"/>
      <c r="G1391" s="35"/>
      <c r="H1391" s="35" t="str">
        <f t="shared" si="21"/>
        <v/>
      </c>
      <c r="I1391" s="29"/>
    </row>
    <row r="1392" spans="1:9">
      <c r="A1392" s="33"/>
      <c r="B1392" s="29"/>
      <c r="C1392" s="29"/>
      <c r="D1392" s="30"/>
      <c r="E1392" s="30"/>
      <c r="F1392" s="35"/>
      <c r="G1392" s="35"/>
      <c r="H1392" s="35" t="str">
        <f t="shared" si="21"/>
        <v/>
      </c>
      <c r="I1392" s="29"/>
    </row>
    <row r="1393" spans="1:9">
      <c r="A1393" s="33"/>
      <c r="B1393" s="29"/>
      <c r="C1393" s="29"/>
      <c r="D1393" s="30"/>
      <c r="E1393" s="30"/>
      <c r="F1393" s="35"/>
      <c r="G1393" s="35"/>
      <c r="H1393" s="35" t="str">
        <f t="shared" si="21"/>
        <v/>
      </c>
      <c r="I1393" s="29"/>
    </row>
    <row r="1394" spans="1:9">
      <c r="A1394" s="33"/>
      <c r="B1394" s="29"/>
      <c r="C1394" s="29"/>
      <c r="D1394" s="30"/>
      <c r="E1394" s="30"/>
      <c r="F1394" s="35"/>
      <c r="G1394" s="35"/>
      <c r="H1394" s="35" t="str">
        <f t="shared" si="21"/>
        <v/>
      </c>
      <c r="I1394" s="29"/>
    </row>
    <row r="1395" spans="1:9">
      <c r="A1395" s="33"/>
      <c r="B1395" s="29"/>
      <c r="C1395" s="29"/>
      <c r="D1395" s="30"/>
      <c r="E1395" s="30"/>
      <c r="F1395" s="35"/>
      <c r="G1395" s="35"/>
      <c r="H1395" s="35" t="str">
        <f t="shared" si="21"/>
        <v/>
      </c>
      <c r="I1395" s="29"/>
    </row>
    <row r="1396" spans="1:9">
      <c r="A1396" s="33"/>
      <c r="B1396" s="29"/>
      <c r="C1396" s="29"/>
      <c r="D1396" s="30"/>
      <c r="E1396" s="30"/>
      <c r="F1396" s="35"/>
      <c r="G1396" s="35"/>
      <c r="H1396" s="35" t="str">
        <f t="shared" si="21"/>
        <v/>
      </c>
      <c r="I1396" s="29"/>
    </row>
    <row r="1397" spans="1:9">
      <c r="A1397" s="33"/>
      <c r="B1397" s="29"/>
      <c r="C1397" s="29"/>
      <c r="D1397" s="30"/>
      <c r="E1397" s="30"/>
      <c r="F1397" s="35"/>
      <c r="G1397" s="35"/>
      <c r="H1397" s="35" t="str">
        <f t="shared" si="21"/>
        <v/>
      </c>
      <c r="I1397" s="29"/>
    </row>
    <row r="1398" spans="1:9">
      <c r="A1398" s="33"/>
      <c r="B1398" s="29"/>
      <c r="C1398" s="29"/>
      <c r="D1398" s="30"/>
      <c r="E1398" s="30"/>
      <c r="F1398" s="35"/>
      <c r="G1398" s="35"/>
      <c r="H1398" s="35" t="str">
        <f t="shared" si="21"/>
        <v/>
      </c>
      <c r="I1398" s="29"/>
    </row>
    <row r="1399" spans="1:9">
      <c r="A1399" s="33"/>
      <c r="B1399" s="29"/>
      <c r="C1399" s="29"/>
      <c r="D1399" s="30"/>
      <c r="E1399" s="30"/>
      <c r="F1399" s="35"/>
      <c r="G1399" s="35"/>
      <c r="H1399" s="35" t="str">
        <f t="shared" si="21"/>
        <v/>
      </c>
      <c r="I1399" s="29"/>
    </row>
    <row r="1400" spans="1:9">
      <c r="A1400" s="33"/>
      <c r="B1400" s="29"/>
      <c r="C1400" s="29"/>
      <c r="D1400" s="30"/>
      <c r="E1400" s="30"/>
      <c r="F1400" s="35"/>
      <c r="G1400" s="35"/>
      <c r="H1400" s="35" t="str">
        <f t="shared" si="21"/>
        <v/>
      </c>
      <c r="I1400" s="29"/>
    </row>
    <row r="1401" spans="1:9">
      <c r="A1401" s="33"/>
      <c r="B1401" s="29"/>
      <c r="C1401" s="29"/>
      <c r="D1401" s="30"/>
      <c r="E1401" s="30"/>
      <c r="F1401" s="35"/>
      <c r="G1401" s="35"/>
      <c r="H1401" s="35" t="str">
        <f t="shared" si="21"/>
        <v/>
      </c>
      <c r="I1401" s="29"/>
    </row>
    <row r="1402" spans="1:9">
      <c r="A1402" s="33"/>
      <c r="B1402" s="29"/>
      <c r="C1402" s="29"/>
      <c r="D1402" s="30"/>
      <c r="E1402" s="30"/>
      <c r="F1402" s="35"/>
      <c r="G1402" s="35"/>
      <c r="H1402" s="35" t="str">
        <f t="shared" si="21"/>
        <v/>
      </c>
      <c r="I1402" s="29"/>
    </row>
    <row r="1403" spans="1:9">
      <c r="A1403" s="33"/>
      <c r="B1403" s="29"/>
      <c r="C1403" s="29"/>
      <c r="D1403" s="30"/>
      <c r="E1403" s="30"/>
      <c r="F1403" s="35"/>
      <c r="G1403" s="35"/>
      <c r="H1403" s="35" t="str">
        <f t="shared" si="21"/>
        <v/>
      </c>
      <c r="I1403" s="29"/>
    </row>
    <row r="1404" spans="1:9">
      <c r="A1404" s="33"/>
      <c r="B1404" s="29"/>
      <c r="C1404" s="29"/>
      <c r="D1404" s="30"/>
      <c r="E1404" s="30"/>
      <c r="F1404" s="35"/>
      <c r="G1404" s="35"/>
      <c r="H1404" s="35" t="str">
        <f t="shared" si="21"/>
        <v/>
      </c>
      <c r="I1404" s="29"/>
    </row>
    <row r="1405" spans="1:9">
      <c r="A1405" s="33"/>
      <c r="B1405" s="29"/>
      <c r="C1405" s="29"/>
      <c r="D1405" s="30"/>
      <c r="E1405" s="30"/>
      <c r="F1405" s="35"/>
      <c r="G1405" s="35"/>
      <c r="H1405" s="35" t="str">
        <f t="shared" si="21"/>
        <v/>
      </c>
      <c r="I1405" s="29"/>
    </row>
    <row r="1406" spans="1:9">
      <c r="A1406" s="33"/>
      <c r="B1406" s="29"/>
      <c r="C1406" s="29"/>
      <c r="D1406" s="30"/>
      <c r="E1406" s="30"/>
      <c r="F1406" s="35"/>
      <c r="G1406" s="35"/>
      <c r="H1406" s="35" t="str">
        <f t="shared" si="21"/>
        <v/>
      </c>
      <c r="I1406" s="29"/>
    </row>
    <row r="1407" spans="1:9">
      <c r="A1407" s="33"/>
      <c r="B1407" s="29"/>
      <c r="C1407" s="29"/>
      <c r="D1407" s="30"/>
      <c r="E1407" s="30"/>
      <c r="F1407" s="35"/>
      <c r="G1407" s="35"/>
      <c r="H1407" s="35" t="str">
        <f t="shared" si="21"/>
        <v/>
      </c>
      <c r="I1407" s="29"/>
    </row>
    <row r="1408" spans="1:9">
      <c r="A1408" s="33"/>
      <c r="B1408" s="29"/>
      <c r="C1408" s="29"/>
      <c r="D1408" s="30"/>
      <c r="E1408" s="30"/>
      <c r="F1408" s="35"/>
      <c r="G1408" s="35"/>
      <c r="H1408" s="35" t="str">
        <f t="shared" si="21"/>
        <v/>
      </c>
      <c r="I1408" s="29"/>
    </row>
    <row r="1409" spans="1:9">
      <c r="A1409" s="33"/>
      <c r="B1409" s="29"/>
      <c r="C1409" s="29"/>
      <c r="D1409" s="30"/>
      <c r="E1409" s="30"/>
      <c r="F1409" s="35"/>
      <c r="G1409" s="35"/>
      <c r="H1409" s="35" t="str">
        <f t="shared" si="21"/>
        <v/>
      </c>
      <c r="I1409" s="29"/>
    </row>
    <row r="1410" spans="1:9">
      <c r="A1410" s="33"/>
      <c r="B1410" s="29"/>
      <c r="C1410" s="29"/>
      <c r="D1410" s="30"/>
      <c r="E1410" s="30"/>
      <c r="F1410" s="35"/>
      <c r="G1410" s="35"/>
      <c r="H1410" s="35" t="str">
        <f t="shared" si="21"/>
        <v/>
      </c>
      <c r="I1410" s="29"/>
    </row>
    <row r="1411" spans="1:9">
      <c r="A1411" s="33"/>
      <c r="B1411" s="29"/>
      <c r="C1411" s="29"/>
      <c r="D1411" s="30"/>
      <c r="E1411" s="30"/>
      <c r="F1411" s="35"/>
      <c r="G1411" s="35"/>
      <c r="H1411" s="35" t="str">
        <f t="shared" si="21"/>
        <v/>
      </c>
      <c r="I1411" s="29"/>
    </row>
    <row r="1412" spans="1:9">
      <c r="A1412" s="33"/>
      <c r="B1412" s="29"/>
      <c r="C1412" s="29"/>
      <c r="D1412" s="30"/>
      <c r="E1412" s="30"/>
      <c r="F1412" s="35"/>
      <c r="G1412" s="35"/>
      <c r="H1412" s="35" t="str">
        <f t="shared" ref="H1412:H1475" si="22">IF(F1412="","",F1412-G1412)</f>
        <v/>
      </c>
      <c r="I1412" s="29"/>
    </row>
    <row r="1413" spans="1:9">
      <c r="A1413" s="33"/>
      <c r="B1413" s="29"/>
      <c r="C1413" s="29"/>
      <c r="D1413" s="30"/>
      <c r="E1413" s="30"/>
      <c r="F1413" s="35"/>
      <c r="G1413" s="35"/>
      <c r="H1413" s="35" t="str">
        <f t="shared" si="22"/>
        <v/>
      </c>
      <c r="I1413" s="29"/>
    </row>
    <row r="1414" spans="1:9">
      <c r="A1414" s="33"/>
      <c r="B1414" s="29"/>
      <c r="C1414" s="29"/>
      <c r="D1414" s="30"/>
      <c r="E1414" s="30"/>
      <c r="F1414" s="35"/>
      <c r="G1414" s="35"/>
      <c r="H1414" s="35" t="str">
        <f t="shared" si="22"/>
        <v/>
      </c>
      <c r="I1414" s="29"/>
    </row>
    <row r="1415" spans="1:9">
      <c r="A1415" s="33"/>
      <c r="B1415" s="29"/>
      <c r="C1415" s="29"/>
      <c r="D1415" s="30"/>
      <c r="E1415" s="30"/>
      <c r="F1415" s="35"/>
      <c r="G1415" s="35"/>
      <c r="H1415" s="35" t="str">
        <f t="shared" si="22"/>
        <v/>
      </c>
      <c r="I1415" s="29"/>
    </row>
    <row r="1416" spans="1:9">
      <c r="A1416" s="33"/>
      <c r="B1416" s="29"/>
      <c r="C1416" s="29"/>
      <c r="D1416" s="30"/>
      <c r="E1416" s="30"/>
      <c r="F1416" s="35"/>
      <c r="G1416" s="35"/>
      <c r="H1416" s="35" t="str">
        <f t="shared" si="22"/>
        <v/>
      </c>
      <c r="I1416" s="29"/>
    </row>
    <row r="1417" spans="1:9">
      <c r="A1417" s="33"/>
      <c r="B1417" s="29"/>
      <c r="C1417" s="29"/>
      <c r="D1417" s="30"/>
      <c r="E1417" s="30"/>
      <c r="F1417" s="35"/>
      <c r="G1417" s="35"/>
      <c r="H1417" s="35" t="str">
        <f t="shared" si="22"/>
        <v/>
      </c>
      <c r="I1417" s="29"/>
    </row>
    <row r="1418" spans="1:9">
      <c r="A1418" s="33"/>
      <c r="B1418" s="29"/>
      <c r="C1418" s="29"/>
      <c r="D1418" s="30"/>
      <c r="E1418" s="30"/>
      <c r="F1418" s="35"/>
      <c r="G1418" s="35"/>
      <c r="H1418" s="35" t="str">
        <f t="shared" si="22"/>
        <v/>
      </c>
      <c r="I1418" s="29"/>
    </row>
    <row r="1419" spans="1:9">
      <c r="A1419" s="33"/>
      <c r="B1419" s="29"/>
      <c r="C1419" s="29"/>
      <c r="D1419" s="30"/>
      <c r="E1419" s="30"/>
      <c r="F1419" s="35"/>
      <c r="G1419" s="35"/>
      <c r="H1419" s="35" t="str">
        <f t="shared" si="22"/>
        <v/>
      </c>
      <c r="I1419" s="29"/>
    </row>
    <row r="1420" spans="1:9">
      <c r="A1420" s="33"/>
      <c r="B1420" s="29"/>
      <c r="C1420" s="29"/>
      <c r="D1420" s="30"/>
      <c r="E1420" s="30"/>
      <c r="F1420" s="35"/>
      <c r="G1420" s="35"/>
      <c r="H1420" s="35" t="str">
        <f t="shared" si="22"/>
        <v/>
      </c>
      <c r="I1420" s="29"/>
    </row>
    <row r="1421" spans="1:9">
      <c r="A1421" s="33"/>
      <c r="B1421" s="29"/>
      <c r="C1421" s="29"/>
      <c r="D1421" s="30"/>
      <c r="E1421" s="30"/>
      <c r="F1421" s="35"/>
      <c r="G1421" s="35"/>
      <c r="H1421" s="35" t="str">
        <f t="shared" si="22"/>
        <v/>
      </c>
      <c r="I1421" s="29"/>
    </row>
    <row r="1422" spans="1:9">
      <c r="A1422" s="33"/>
      <c r="B1422" s="29"/>
      <c r="C1422" s="29"/>
      <c r="D1422" s="30"/>
      <c r="E1422" s="30"/>
      <c r="F1422" s="35"/>
      <c r="G1422" s="35"/>
      <c r="H1422" s="35" t="str">
        <f t="shared" si="22"/>
        <v/>
      </c>
      <c r="I1422" s="29"/>
    </row>
    <row r="1423" spans="1:9">
      <c r="A1423" s="33"/>
      <c r="B1423" s="29"/>
      <c r="C1423" s="29"/>
      <c r="D1423" s="30"/>
      <c r="E1423" s="30"/>
      <c r="F1423" s="35"/>
      <c r="G1423" s="35"/>
      <c r="H1423" s="35" t="str">
        <f t="shared" si="22"/>
        <v/>
      </c>
      <c r="I1423" s="29"/>
    </row>
    <row r="1424" spans="1:9">
      <c r="A1424" s="33"/>
      <c r="B1424" s="29"/>
      <c r="C1424" s="29"/>
      <c r="D1424" s="30"/>
      <c r="E1424" s="30"/>
      <c r="F1424" s="35"/>
      <c r="G1424" s="35"/>
      <c r="H1424" s="35" t="str">
        <f t="shared" si="22"/>
        <v/>
      </c>
      <c r="I1424" s="29"/>
    </row>
    <row r="1425" spans="1:9">
      <c r="A1425" s="33"/>
      <c r="B1425" s="29"/>
      <c r="C1425" s="29"/>
      <c r="D1425" s="30"/>
      <c r="E1425" s="30"/>
      <c r="F1425" s="35"/>
      <c r="G1425" s="35"/>
      <c r="H1425" s="35" t="str">
        <f t="shared" si="22"/>
        <v/>
      </c>
      <c r="I1425" s="29"/>
    </row>
    <row r="1426" spans="1:9">
      <c r="A1426" s="33"/>
      <c r="B1426" s="29"/>
      <c r="C1426" s="29"/>
      <c r="D1426" s="30"/>
      <c r="E1426" s="30"/>
      <c r="F1426" s="35"/>
      <c r="G1426" s="35"/>
      <c r="H1426" s="35" t="str">
        <f t="shared" si="22"/>
        <v/>
      </c>
      <c r="I1426" s="29"/>
    </row>
    <row r="1427" spans="1:9">
      <c r="A1427" s="33"/>
      <c r="B1427" s="29"/>
      <c r="C1427" s="29"/>
      <c r="D1427" s="30"/>
      <c r="E1427" s="30"/>
      <c r="F1427" s="35"/>
      <c r="G1427" s="35"/>
      <c r="H1427" s="35" t="str">
        <f t="shared" si="22"/>
        <v/>
      </c>
      <c r="I1427" s="29"/>
    </row>
    <row r="1428" spans="1:9">
      <c r="A1428" s="33"/>
      <c r="B1428" s="29"/>
      <c r="C1428" s="29"/>
      <c r="D1428" s="30"/>
      <c r="E1428" s="30"/>
      <c r="F1428" s="35"/>
      <c r="G1428" s="35"/>
      <c r="H1428" s="35" t="str">
        <f t="shared" si="22"/>
        <v/>
      </c>
      <c r="I1428" s="29"/>
    </row>
    <row r="1429" spans="1:9">
      <c r="A1429" s="33"/>
      <c r="B1429" s="29"/>
      <c r="C1429" s="29"/>
      <c r="D1429" s="30"/>
      <c r="E1429" s="30"/>
      <c r="F1429" s="35"/>
      <c r="G1429" s="35"/>
      <c r="H1429" s="35" t="str">
        <f t="shared" si="22"/>
        <v/>
      </c>
      <c r="I1429" s="29"/>
    </row>
    <row r="1430" spans="1:9">
      <c r="A1430" s="33"/>
      <c r="B1430" s="29"/>
      <c r="C1430" s="29"/>
      <c r="D1430" s="30"/>
      <c r="E1430" s="30"/>
      <c r="F1430" s="35"/>
      <c r="G1430" s="35"/>
      <c r="H1430" s="35" t="str">
        <f t="shared" si="22"/>
        <v/>
      </c>
      <c r="I1430" s="29"/>
    </row>
    <row r="1431" spans="1:9">
      <c r="A1431" s="33"/>
      <c r="B1431" s="29"/>
      <c r="C1431" s="29"/>
      <c r="D1431" s="30"/>
      <c r="E1431" s="30"/>
      <c r="F1431" s="35"/>
      <c r="G1431" s="35"/>
      <c r="H1431" s="35" t="str">
        <f t="shared" si="22"/>
        <v/>
      </c>
      <c r="I1431" s="29"/>
    </row>
    <row r="1432" spans="1:9">
      <c r="A1432" s="33"/>
      <c r="B1432" s="29"/>
      <c r="C1432" s="29"/>
      <c r="D1432" s="30"/>
      <c r="E1432" s="30"/>
      <c r="F1432" s="35"/>
      <c r="G1432" s="35"/>
      <c r="H1432" s="35" t="str">
        <f t="shared" si="22"/>
        <v/>
      </c>
      <c r="I1432" s="29"/>
    </row>
    <row r="1433" spans="1:9">
      <c r="A1433" s="33"/>
      <c r="B1433" s="29"/>
      <c r="C1433" s="29"/>
      <c r="D1433" s="30"/>
      <c r="E1433" s="30"/>
      <c r="F1433" s="35"/>
      <c r="G1433" s="35"/>
      <c r="H1433" s="35" t="str">
        <f t="shared" si="22"/>
        <v/>
      </c>
      <c r="I1433" s="29"/>
    </row>
    <row r="1434" spans="1:9">
      <c r="A1434" s="33"/>
      <c r="B1434" s="29"/>
      <c r="C1434" s="29"/>
      <c r="D1434" s="30"/>
      <c r="E1434" s="30"/>
      <c r="F1434" s="35"/>
      <c r="G1434" s="35"/>
      <c r="H1434" s="35" t="str">
        <f t="shared" si="22"/>
        <v/>
      </c>
      <c r="I1434" s="29"/>
    </row>
    <row r="1435" spans="1:9">
      <c r="A1435" s="33"/>
      <c r="B1435" s="29"/>
      <c r="C1435" s="29"/>
      <c r="D1435" s="30"/>
      <c r="E1435" s="30"/>
      <c r="F1435" s="35"/>
      <c r="G1435" s="35"/>
      <c r="H1435" s="35" t="str">
        <f t="shared" si="22"/>
        <v/>
      </c>
      <c r="I1435" s="29"/>
    </row>
    <row r="1436" spans="1:9">
      <c r="A1436" s="33"/>
      <c r="B1436" s="29"/>
      <c r="C1436" s="29"/>
      <c r="D1436" s="30"/>
      <c r="E1436" s="30"/>
      <c r="F1436" s="35"/>
      <c r="G1436" s="35"/>
      <c r="H1436" s="35" t="str">
        <f t="shared" si="22"/>
        <v/>
      </c>
      <c r="I1436" s="29"/>
    </row>
    <row r="1437" spans="1:9">
      <c r="A1437" s="33"/>
      <c r="B1437" s="29"/>
      <c r="C1437" s="29"/>
      <c r="D1437" s="30"/>
      <c r="E1437" s="30"/>
      <c r="F1437" s="35"/>
      <c r="G1437" s="35"/>
      <c r="H1437" s="35" t="str">
        <f t="shared" si="22"/>
        <v/>
      </c>
      <c r="I1437" s="29"/>
    </row>
    <row r="1438" spans="1:9">
      <c r="A1438" s="33"/>
      <c r="B1438" s="29"/>
      <c r="C1438" s="29"/>
      <c r="D1438" s="30"/>
      <c r="E1438" s="30"/>
      <c r="F1438" s="35"/>
      <c r="G1438" s="35"/>
      <c r="H1438" s="35" t="str">
        <f t="shared" si="22"/>
        <v/>
      </c>
      <c r="I1438" s="29"/>
    </row>
    <row r="1439" spans="1:9">
      <c r="A1439" s="33"/>
      <c r="B1439" s="29"/>
      <c r="C1439" s="29"/>
      <c r="D1439" s="30"/>
      <c r="E1439" s="30"/>
      <c r="F1439" s="35"/>
      <c r="G1439" s="35"/>
      <c r="H1439" s="35" t="str">
        <f t="shared" si="22"/>
        <v/>
      </c>
      <c r="I1439" s="29"/>
    </row>
    <row r="1440" spans="1:9">
      <c r="A1440" s="33"/>
      <c r="B1440" s="29"/>
      <c r="C1440" s="29"/>
      <c r="D1440" s="30"/>
      <c r="E1440" s="30"/>
      <c r="F1440" s="35"/>
      <c r="G1440" s="35"/>
      <c r="H1440" s="35" t="str">
        <f t="shared" si="22"/>
        <v/>
      </c>
      <c r="I1440" s="29"/>
    </row>
    <row r="1441" spans="1:9">
      <c r="A1441" s="33"/>
      <c r="B1441" s="29"/>
      <c r="C1441" s="29"/>
      <c r="D1441" s="30"/>
      <c r="E1441" s="30"/>
      <c r="F1441" s="35"/>
      <c r="G1441" s="35"/>
      <c r="H1441" s="35" t="str">
        <f t="shared" si="22"/>
        <v/>
      </c>
      <c r="I1441" s="29"/>
    </row>
    <row r="1442" spans="1:9">
      <c r="A1442" s="33"/>
      <c r="B1442" s="29"/>
      <c r="C1442" s="29"/>
      <c r="D1442" s="30"/>
      <c r="E1442" s="30"/>
      <c r="F1442" s="35"/>
      <c r="G1442" s="35"/>
      <c r="H1442" s="35" t="str">
        <f t="shared" si="22"/>
        <v/>
      </c>
      <c r="I1442" s="29"/>
    </row>
    <row r="1443" spans="1:9">
      <c r="A1443" s="33"/>
      <c r="B1443" s="29"/>
      <c r="C1443" s="29"/>
      <c r="D1443" s="30"/>
      <c r="E1443" s="30"/>
      <c r="F1443" s="35"/>
      <c r="G1443" s="35"/>
      <c r="H1443" s="35" t="str">
        <f t="shared" si="22"/>
        <v/>
      </c>
      <c r="I1443" s="29"/>
    </row>
    <row r="1444" spans="1:9">
      <c r="A1444" s="33"/>
      <c r="B1444" s="29"/>
      <c r="C1444" s="29"/>
      <c r="D1444" s="30"/>
      <c r="E1444" s="30"/>
      <c r="F1444" s="35"/>
      <c r="G1444" s="35"/>
      <c r="H1444" s="35" t="str">
        <f t="shared" si="22"/>
        <v/>
      </c>
      <c r="I1444" s="29"/>
    </row>
    <row r="1445" spans="1:9">
      <c r="A1445" s="33"/>
      <c r="B1445" s="29"/>
      <c r="C1445" s="29"/>
      <c r="D1445" s="30"/>
      <c r="E1445" s="30"/>
      <c r="F1445" s="35"/>
      <c r="G1445" s="35"/>
      <c r="H1445" s="35" t="str">
        <f t="shared" si="22"/>
        <v/>
      </c>
      <c r="I1445" s="29"/>
    </row>
    <row r="1446" spans="1:9">
      <c r="A1446" s="33"/>
      <c r="B1446" s="29"/>
      <c r="C1446" s="29"/>
      <c r="D1446" s="30"/>
      <c r="E1446" s="30"/>
      <c r="F1446" s="35"/>
      <c r="G1446" s="35"/>
      <c r="H1446" s="35" t="str">
        <f t="shared" si="22"/>
        <v/>
      </c>
      <c r="I1446" s="29"/>
    </row>
    <row r="1447" spans="1:9">
      <c r="A1447" s="33"/>
      <c r="B1447" s="29"/>
      <c r="C1447" s="29"/>
      <c r="D1447" s="30"/>
      <c r="E1447" s="30"/>
      <c r="F1447" s="35"/>
      <c r="G1447" s="35"/>
      <c r="H1447" s="35" t="str">
        <f t="shared" si="22"/>
        <v/>
      </c>
      <c r="I1447" s="29"/>
    </row>
    <row r="1448" spans="1:9">
      <c r="A1448" s="33"/>
      <c r="B1448" s="29"/>
      <c r="C1448" s="29"/>
      <c r="D1448" s="30"/>
      <c r="E1448" s="30"/>
      <c r="F1448" s="35"/>
      <c r="G1448" s="35"/>
      <c r="H1448" s="35" t="str">
        <f t="shared" si="22"/>
        <v/>
      </c>
      <c r="I1448" s="29"/>
    </row>
    <row r="1449" spans="1:9">
      <c r="A1449" s="33"/>
      <c r="B1449" s="29"/>
      <c r="C1449" s="29"/>
      <c r="D1449" s="30"/>
      <c r="E1449" s="30"/>
      <c r="F1449" s="35"/>
      <c r="G1449" s="35"/>
      <c r="H1449" s="35" t="str">
        <f t="shared" si="22"/>
        <v/>
      </c>
      <c r="I1449" s="29"/>
    </row>
    <row r="1450" spans="1:9">
      <c r="A1450" s="33"/>
      <c r="B1450" s="29"/>
      <c r="C1450" s="29"/>
      <c r="D1450" s="30"/>
      <c r="E1450" s="30"/>
      <c r="F1450" s="35"/>
      <c r="G1450" s="35"/>
      <c r="H1450" s="35" t="str">
        <f t="shared" si="22"/>
        <v/>
      </c>
      <c r="I1450" s="29"/>
    </row>
    <row r="1451" spans="1:9">
      <c r="A1451" s="33"/>
      <c r="B1451" s="29"/>
      <c r="C1451" s="29"/>
      <c r="D1451" s="30"/>
      <c r="E1451" s="30"/>
      <c r="F1451" s="35"/>
      <c r="G1451" s="35"/>
      <c r="H1451" s="35" t="str">
        <f t="shared" si="22"/>
        <v/>
      </c>
      <c r="I1451" s="29"/>
    </row>
    <row r="1452" spans="1:9">
      <c r="A1452" s="33"/>
      <c r="B1452" s="29"/>
      <c r="C1452" s="29"/>
      <c r="D1452" s="30"/>
      <c r="E1452" s="30"/>
      <c r="F1452" s="35"/>
      <c r="G1452" s="35"/>
      <c r="H1452" s="35" t="str">
        <f t="shared" si="22"/>
        <v/>
      </c>
      <c r="I1452" s="29"/>
    </row>
    <row r="1453" spans="1:9">
      <c r="A1453" s="33"/>
      <c r="B1453" s="29"/>
      <c r="C1453" s="29"/>
      <c r="D1453" s="30"/>
      <c r="E1453" s="30"/>
      <c r="F1453" s="35"/>
      <c r="G1453" s="35"/>
      <c r="H1453" s="35" t="str">
        <f t="shared" si="22"/>
        <v/>
      </c>
      <c r="I1453" s="29"/>
    </row>
    <row r="1454" spans="1:9">
      <c r="A1454" s="33"/>
      <c r="B1454" s="29"/>
      <c r="C1454" s="29"/>
      <c r="D1454" s="30"/>
      <c r="E1454" s="30"/>
      <c r="F1454" s="35"/>
      <c r="G1454" s="35"/>
      <c r="H1454" s="35" t="str">
        <f t="shared" si="22"/>
        <v/>
      </c>
      <c r="I1454" s="29"/>
    </row>
    <row r="1455" spans="1:9">
      <c r="A1455" s="33"/>
      <c r="B1455" s="29"/>
      <c r="C1455" s="29"/>
      <c r="D1455" s="30"/>
      <c r="E1455" s="30"/>
      <c r="F1455" s="35"/>
      <c r="G1455" s="35"/>
      <c r="H1455" s="35" t="str">
        <f t="shared" si="22"/>
        <v/>
      </c>
      <c r="I1455" s="29"/>
    </row>
    <row r="1456" spans="1:9">
      <c r="A1456" s="33"/>
      <c r="B1456" s="29"/>
      <c r="C1456" s="29"/>
      <c r="D1456" s="30"/>
      <c r="E1456" s="30"/>
      <c r="F1456" s="35"/>
      <c r="G1456" s="35"/>
      <c r="H1456" s="35" t="str">
        <f t="shared" si="22"/>
        <v/>
      </c>
      <c r="I1456" s="29"/>
    </row>
    <row r="1457" spans="1:9">
      <c r="A1457" s="33"/>
      <c r="B1457" s="29"/>
      <c r="C1457" s="29"/>
      <c r="D1457" s="30"/>
      <c r="E1457" s="30"/>
      <c r="F1457" s="35"/>
      <c r="G1457" s="35"/>
      <c r="H1457" s="35" t="str">
        <f t="shared" si="22"/>
        <v/>
      </c>
      <c r="I1457" s="29"/>
    </row>
    <row r="1458" spans="1:9">
      <c r="A1458" s="33"/>
      <c r="B1458" s="29"/>
      <c r="C1458" s="29"/>
      <c r="D1458" s="30"/>
      <c r="E1458" s="30"/>
      <c r="F1458" s="35"/>
      <c r="G1458" s="35"/>
      <c r="H1458" s="35" t="str">
        <f t="shared" si="22"/>
        <v/>
      </c>
      <c r="I1458" s="29"/>
    </row>
    <row r="1459" spans="1:9">
      <c r="A1459" s="33"/>
      <c r="B1459" s="29"/>
      <c r="C1459" s="29"/>
      <c r="D1459" s="30"/>
      <c r="E1459" s="30"/>
      <c r="F1459" s="35"/>
      <c r="G1459" s="35"/>
      <c r="H1459" s="35" t="str">
        <f t="shared" si="22"/>
        <v/>
      </c>
      <c r="I1459" s="29"/>
    </row>
    <row r="1460" spans="1:9">
      <c r="A1460" s="33"/>
      <c r="B1460" s="29"/>
      <c r="C1460" s="29"/>
      <c r="D1460" s="30"/>
      <c r="E1460" s="30"/>
      <c r="F1460" s="35"/>
      <c r="G1460" s="35"/>
      <c r="H1460" s="35" t="str">
        <f t="shared" si="22"/>
        <v/>
      </c>
      <c r="I1460" s="29"/>
    </row>
    <row r="1461" spans="1:9">
      <c r="A1461" s="33"/>
      <c r="B1461" s="29"/>
      <c r="C1461" s="29"/>
      <c r="D1461" s="30"/>
      <c r="E1461" s="30"/>
      <c r="F1461" s="35"/>
      <c r="G1461" s="35"/>
      <c r="H1461" s="35" t="str">
        <f t="shared" si="22"/>
        <v/>
      </c>
      <c r="I1461" s="29"/>
    </row>
    <row r="1462" spans="1:9">
      <c r="A1462" s="33"/>
      <c r="B1462" s="29"/>
      <c r="C1462" s="29"/>
      <c r="D1462" s="30"/>
      <c r="E1462" s="30"/>
      <c r="F1462" s="35"/>
      <c r="G1462" s="35"/>
      <c r="H1462" s="35" t="str">
        <f t="shared" si="22"/>
        <v/>
      </c>
      <c r="I1462" s="29"/>
    </row>
    <row r="1463" spans="1:9">
      <c r="A1463" s="33"/>
      <c r="B1463" s="29"/>
      <c r="C1463" s="29"/>
      <c r="D1463" s="30"/>
      <c r="E1463" s="30"/>
      <c r="F1463" s="35"/>
      <c r="G1463" s="35"/>
      <c r="H1463" s="35" t="str">
        <f t="shared" si="22"/>
        <v/>
      </c>
      <c r="I1463" s="29"/>
    </row>
    <row r="1464" spans="1:9">
      <c r="A1464" s="33"/>
      <c r="B1464" s="29"/>
      <c r="C1464" s="29"/>
      <c r="D1464" s="30"/>
      <c r="E1464" s="30"/>
      <c r="F1464" s="35"/>
      <c r="G1464" s="35"/>
      <c r="H1464" s="35" t="str">
        <f t="shared" si="22"/>
        <v/>
      </c>
      <c r="I1464" s="29"/>
    </row>
    <row r="1465" spans="1:9">
      <c r="A1465" s="33"/>
      <c r="B1465" s="29"/>
      <c r="C1465" s="29"/>
      <c r="D1465" s="30"/>
      <c r="E1465" s="30"/>
      <c r="F1465" s="35"/>
      <c r="G1465" s="35"/>
      <c r="H1465" s="35" t="str">
        <f t="shared" si="22"/>
        <v/>
      </c>
      <c r="I1465" s="29"/>
    </row>
    <row r="1466" spans="1:9">
      <c r="A1466" s="33"/>
      <c r="B1466" s="29"/>
      <c r="C1466" s="29"/>
      <c r="D1466" s="30"/>
      <c r="E1466" s="30"/>
      <c r="F1466" s="35"/>
      <c r="G1466" s="35"/>
      <c r="H1466" s="35" t="str">
        <f t="shared" si="22"/>
        <v/>
      </c>
      <c r="I1466" s="29"/>
    </row>
    <row r="1467" spans="1:9">
      <c r="A1467" s="33"/>
      <c r="B1467" s="29"/>
      <c r="C1467" s="29"/>
      <c r="D1467" s="30"/>
      <c r="E1467" s="30"/>
      <c r="F1467" s="35"/>
      <c r="G1467" s="35"/>
      <c r="H1467" s="35" t="str">
        <f t="shared" si="22"/>
        <v/>
      </c>
      <c r="I1467" s="29"/>
    </row>
    <row r="1468" spans="1:9">
      <c r="A1468" s="33"/>
      <c r="B1468" s="29"/>
      <c r="C1468" s="29"/>
      <c r="D1468" s="30"/>
      <c r="E1468" s="30"/>
      <c r="F1468" s="35"/>
      <c r="G1468" s="35"/>
      <c r="H1468" s="35" t="str">
        <f t="shared" si="22"/>
        <v/>
      </c>
      <c r="I1468" s="29"/>
    </row>
    <row r="1469" spans="1:9">
      <c r="A1469" s="33"/>
      <c r="B1469" s="29"/>
      <c r="C1469" s="29"/>
      <c r="D1469" s="30"/>
      <c r="E1469" s="30"/>
      <c r="F1469" s="35"/>
      <c r="G1469" s="35"/>
      <c r="H1469" s="35" t="str">
        <f t="shared" si="22"/>
        <v/>
      </c>
      <c r="I1469" s="29"/>
    </row>
    <row r="1470" spans="1:9">
      <c r="A1470" s="33"/>
      <c r="B1470" s="29"/>
      <c r="C1470" s="29"/>
      <c r="D1470" s="30"/>
      <c r="E1470" s="30"/>
      <c r="F1470" s="35"/>
      <c r="G1470" s="35"/>
      <c r="H1470" s="35" t="str">
        <f t="shared" si="22"/>
        <v/>
      </c>
      <c r="I1470" s="29"/>
    </row>
    <row r="1471" spans="1:9">
      <c r="A1471" s="33"/>
      <c r="B1471" s="29"/>
      <c r="C1471" s="29"/>
      <c r="D1471" s="30"/>
      <c r="E1471" s="30"/>
      <c r="F1471" s="35"/>
      <c r="G1471" s="35"/>
      <c r="H1471" s="35" t="str">
        <f t="shared" si="22"/>
        <v/>
      </c>
      <c r="I1471" s="29"/>
    </row>
    <row r="1472" spans="1:9">
      <c r="A1472" s="33"/>
      <c r="B1472" s="29"/>
      <c r="C1472" s="29"/>
      <c r="D1472" s="30"/>
      <c r="E1472" s="30"/>
      <c r="F1472" s="35"/>
      <c r="G1472" s="35"/>
      <c r="H1472" s="35" t="str">
        <f t="shared" si="22"/>
        <v/>
      </c>
      <c r="I1472" s="29"/>
    </row>
    <row r="1473" spans="1:9">
      <c r="A1473" s="33"/>
      <c r="B1473" s="29"/>
      <c r="C1473" s="29"/>
      <c r="D1473" s="30"/>
      <c r="E1473" s="30"/>
      <c r="F1473" s="35"/>
      <c r="G1473" s="35"/>
      <c r="H1473" s="35" t="str">
        <f t="shared" si="22"/>
        <v/>
      </c>
      <c r="I1473" s="29"/>
    </row>
    <row r="1474" spans="1:9">
      <c r="A1474" s="33"/>
      <c r="B1474" s="29"/>
      <c r="C1474" s="29"/>
      <c r="D1474" s="30"/>
      <c r="E1474" s="30"/>
      <c r="F1474" s="35"/>
      <c r="G1474" s="35"/>
      <c r="H1474" s="35" t="str">
        <f t="shared" si="22"/>
        <v/>
      </c>
      <c r="I1474" s="29"/>
    </row>
    <row r="1475" spans="1:9">
      <c r="A1475" s="33"/>
      <c r="B1475" s="29"/>
      <c r="C1475" s="29"/>
      <c r="D1475" s="30"/>
      <c r="E1475" s="30"/>
      <c r="F1475" s="35"/>
      <c r="G1475" s="35"/>
      <c r="H1475" s="35" t="str">
        <f t="shared" si="22"/>
        <v/>
      </c>
      <c r="I1475" s="29"/>
    </row>
    <row r="1476" spans="1:9">
      <c r="A1476" s="33"/>
      <c r="B1476" s="29"/>
      <c r="C1476" s="29"/>
      <c r="D1476" s="30"/>
      <c r="E1476" s="30"/>
      <c r="F1476" s="35"/>
      <c r="G1476" s="35"/>
      <c r="H1476" s="35" t="str">
        <f t="shared" ref="H1476:H1539" si="23">IF(F1476="","",F1476-G1476)</f>
        <v/>
      </c>
      <c r="I1476" s="29"/>
    </row>
    <row r="1477" spans="1:9">
      <c r="A1477" s="33"/>
      <c r="B1477" s="29"/>
      <c r="C1477" s="29"/>
      <c r="D1477" s="30"/>
      <c r="E1477" s="30"/>
      <c r="F1477" s="35"/>
      <c r="G1477" s="35"/>
      <c r="H1477" s="35" t="str">
        <f t="shared" si="23"/>
        <v/>
      </c>
      <c r="I1477" s="29"/>
    </row>
    <row r="1478" spans="1:9">
      <c r="A1478" s="33"/>
      <c r="B1478" s="29"/>
      <c r="C1478" s="29"/>
      <c r="D1478" s="30"/>
      <c r="E1478" s="30"/>
      <c r="F1478" s="35"/>
      <c r="G1478" s="35"/>
      <c r="H1478" s="35" t="str">
        <f t="shared" si="23"/>
        <v/>
      </c>
      <c r="I1478" s="29"/>
    </row>
    <row r="1479" spans="1:9">
      <c r="A1479" s="33"/>
      <c r="B1479" s="29"/>
      <c r="C1479" s="29"/>
      <c r="D1479" s="30"/>
      <c r="E1479" s="30"/>
      <c r="F1479" s="35"/>
      <c r="G1479" s="35"/>
      <c r="H1479" s="35" t="str">
        <f t="shared" si="23"/>
        <v/>
      </c>
      <c r="I1479" s="29"/>
    </row>
    <row r="1480" spans="1:9">
      <c r="A1480" s="33"/>
      <c r="B1480" s="29"/>
      <c r="C1480" s="29"/>
      <c r="D1480" s="30"/>
      <c r="E1480" s="30"/>
      <c r="F1480" s="35"/>
      <c r="G1480" s="35"/>
      <c r="H1480" s="35" t="str">
        <f t="shared" si="23"/>
        <v/>
      </c>
      <c r="I1480" s="29"/>
    </row>
    <row r="1481" spans="1:9">
      <c r="A1481" s="33"/>
      <c r="B1481" s="29"/>
      <c r="C1481" s="29"/>
      <c r="D1481" s="30"/>
      <c r="E1481" s="30"/>
      <c r="F1481" s="35"/>
      <c r="G1481" s="35"/>
      <c r="H1481" s="35" t="str">
        <f t="shared" si="23"/>
        <v/>
      </c>
      <c r="I1481" s="29"/>
    </row>
    <row r="1482" spans="1:9">
      <c r="A1482" s="33"/>
      <c r="B1482" s="29"/>
      <c r="C1482" s="29"/>
      <c r="D1482" s="30"/>
      <c r="E1482" s="30"/>
      <c r="F1482" s="35"/>
      <c r="G1482" s="35"/>
      <c r="H1482" s="35" t="str">
        <f t="shared" si="23"/>
        <v/>
      </c>
      <c r="I1482" s="29"/>
    </row>
    <row r="1483" spans="1:9">
      <c r="A1483" s="33"/>
      <c r="B1483" s="29"/>
      <c r="C1483" s="29"/>
      <c r="D1483" s="30"/>
      <c r="E1483" s="30"/>
      <c r="F1483" s="35"/>
      <c r="G1483" s="35"/>
      <c r="H1483" s="35" t="str">
        <f t="shared" si="23"/>
        <v/>
      </c>
      <c r="I1483" s="29"/>
    </row>
    <row r="1484" spans="1:9">
      <c r="A1484" s="33"/>
      <c r="B1484" s="29"/>
      <c r="C1484" s="29"/>
      <c r="D1484" s="30"/>
      <c r="E1484" s="30"/>
      <c r="F1484" s="35"/>
      <c r="G1484" s="35"/>
      <c r="H1484" s="35" t="str">
        <f t="shared" si="23"/>
        <v/>
      </c>
      <c r="I1484" s="29"/>
    </row>
    <row r="1485" spans="1:9">
      <c r="A1485" s="33"/>
      <c r="B1485" s="29"/>
      <c r="C1485" s="29"/>
      <c r="D1485" s="30"/>
      <c r="E1485" s="30"/>
      <c r="F1485" s="35"/>
      <c r="G1485" s="35"/>
      <c r="H1485" s="35" t="str">
        <f t="shared" si="23"/>
        <v/>
      </c>
      <c r="I1485" s="29"/>
    </row>
    <row r="1486" spans="1:9">
      <c r="A1486" s="33"/>
      <c r="B1486" s="29"/>
      <c r="C1486" s="29"/>
      <c r="D1486" s="30"/>
      <c r="E1486" s="30"/>
      <c r="F1486" s="35"/>
      <c r="G1486" s="35"/>
      <c r="H1486" s="35" t="str">
        <f t="shared" si="23"/>
        <v/>
      </c>
      <c r="I1486" s="29"/>
    </row>
    <row r="1487" spans="1:9">
      <c r="A1487" s="33"/>
      <c r="B1487" s="29"/>
      <c r="C1487" s="29"/>
      <c r="D1487" s="30"/>
      <c r="E1487" s="30"/>
      <c r="F1487" s="35"/>
      <c r="G1487" s="35"/>
      <c r="H1487" s="35" t="str">
        <f t="shared" si="23"/>
        <v/>
      </c>
      <c r="I1487" s="29"/>
    </row>
    <row r="1488" spans="1:9">
      <c r="A1488" s="33"/>
      <c r="B1488" s="29"/>
      <c r="C1488" s="29"/>
      <c r="D1488" s="30"/>
      <c r="E1488" s="30"/>
      <c r="F1488" s="35"/>
      <c r="G1488" s="35"/>
      <c r="H1488" s="35" t="str">
        <f t="shared" si="23"/>
        <v/>
      </c>
      <c r="I1488" s="29"/>
    </row>
    <row r="1489" spans="1:9">
      <c r="A1489" s="33"/>
      <c r="B1489" s="29"/>
      <c r="C1489" s="29"/>
      <c r="D1489" s="30"/>
      <c r="E1489" s="30"/>
      <c r="F1489" s="35"/>
      <c r="G1489" s="35"/>
      <c r="H1489" s="35" t="str">
        <f t="shared" si="23"/>
        <v/>
      </c>
      <c r="I1489" s="29"/>
    </row>
    <row r="1490" spans="1:9">
      <c r="A1490" s="33"/>
      <c r="B1490" s="29"/>
      <c r="C1490" s="29"/>
      <c r="D1490" s="30"/>
      <c r="E1490" s="30"/>
      <c r="F1490" s="35"/>
      <c r="G1490" s="35"/>
      <c r="H1490" s="35" t="str">
        <f t="shared" si="23"/>
        <v/>
      </c>
      <c r="I1490" s="29"/>
    </row>
    <row r="1491" spans="1:9">
      <c r="A1491" s="33"/>
      <c r="B1491" s="29"/>
      <c r="C1491" s="29"/>
      <c r="D1491" s="30"/>
      <c r="E1491" s="30"/>
      <c r="F1491" s="35"/>
      <c r="G1491" s="35"/>
      <c r="H1491" s="35" t="str">
        <f t="shared" si="23"/>
        <v/>
      </c>
      <c r="I1491" s="29"/>
    </row>
    <row r="1492" spans="1:9">
      <c r="A1492" s="33"/>
      <c r="B1492" s="29"/>
      <c r="C1492" s="29"/>
      <c r="D1492" s="30"/>
      <c r="E1492" s="30"/>
      <c r="F1492" s="35"/>
      <c r="G1492" s="35"/>
      <c r="H1492" s="35" t="str">
        <f t="shared" si="23"/>
        <v/>
      </c>
      <c r="I1492" s="29"/>
    </row>
    <row r="1493" spans="1:9">
      <c r="A1493" s="33"/>
      <c r="B1493" s="29"/>
      <c r="C1493" s="29"/>
      <c r="D1493" s="30"/>
      <c r="E1493" s="30"/>
      <c r="F1493" s="35"/>
      <c r="G1493" s="35"/>
      <c r="H1493" s="35" t="str">
        <f t="shared" si="23"/>
        <v/>
      </c>
      <c r="I1493" s="29"/>
    </row>
    <row r="1494" spans="1:9">
      <c r="A1494" s="33"/>
      <c r="B1494" s="29"/>
      <c r="C1494" s="29"/>
      <c r="D1494" s="30"/>
      <c r="E1494" s="30"/>
      <c r="F1494" s="35"/>
      <c r="G1494" s="35"/>
      <c r="H1494" s="35" t="str">
        <f t="shared" si="23"/>
        <v/>
      </c>
      <c r="I1494" s="29"/>
    </row>
    <row r="1495" spans="1:9">
      <c r="A1495" s="33"/>
      <c r="B1495" s="29"/>
      <c r="C1495" s="29"/>
      <c r="D1495" s="30"/>
      <c r="E1495" s="30"/>
      <c r="F1495" s="35"/>
      <c r="G1495" s="35"/>
      <c r="H1495" s="35" t="str">
        <f t="shared" si="23"/>
        <v/>
      </c>
      <c r="I1495" s="29"/>
    </row>
    <row r="1496" spans="1:9">
      <c r="A1496" s="33"/>
      <c r="B1496" s="29"/>
      <c r="C1496" s="29"/>
      <c r="D1496" s="30"/>
      <c r="E1496" s="30"/>
      <c r="F1496" s="35"/>
      <c r="G1496" s="35"/>
      <c r="H1496" s="35" t="str">
        <f t="shared" si="23"/>
        <v/>
      </c>
      <c r="I1496" s="29"/>
    </row>
    <row r="1497" spans="1:9">
      <c r="A1497" s="33"/>
      <c r="B1497" s="29"/>
      <c r="C1497" s="29"/>
      <c r="D1497" s="30"/>
      <c r="E1497" s="30"/>
      <c r="F1497" s="35"/>
      <c r="G1497" s="35"/>
      <c r="H1497" s="35" t="str">
        <f t="shared" si="23"/>
        <v/>
      </c>
      <c r="I1497" s="29"/>
    </row>
    <row r="1498" spans="1:9">
      <c r="A1498" s="33"/>
      <c r="B1498" s="29"/>
      <c r="C1498" s="29"/>
      <c r="D1498" s="30"/>
      <c r="E1498" s="30"/>
      <c r="F1498" s="35"/>
      <c r="G1498" s="35"/>
      <c r="H1498" s="35" t="str">
        <f t="shared" si="23"/>
        <v/>
      </c>
      <c r="I1498" s="29"/>
    </row>
    <row r="1499" spans="1:9">
      <c r="A1499" s="33"/>
      <c r="B1499" s="29"/>
      <c r="C1499" s="29"/>
      <c r="D1499" s="30"/>
      <c r="E1499" s="30"/>
      <c r="F1499" s="35"/>
      <c r="G1499" s="35"/>
      <c r="H1499" s="35" t="str">
        <f t="shared" si="23"/>
        <v/>
      </c>
      <c r="I1499" s="29"/>
    </row>
    <row r="1500" spans="1:9">
      <c r="A1500" s="33"/>
      <c r="B1500" s="29"/>
      <c r="C1500" s="29"/>
      <c r="D1500" s="30"/>
      <c r="E1500" s="30"/>
      <c r="F1500" s="35"/>
      <c r="G1500" s="35"/>
      <c r="H1500" s="35" t="str">
        <f t="shared" si="23"/>
        <v/>
      </c>
      <c r="I1500" s="29"/>
    </row>
    <row r="1501" spans="1:9">
      <c r="A1501" s="33"/>
      <c r="B1501" s="29"/>
      <c r="C1501" s="29"/>
      <c r="D1501" s="30"/>
      <c r="E1501" s="30"/>
      <c r="F1501" s="35"/>
      <c r="G1501" s="35"/>
      <c r="H1501" s="35" t="str">
        <f t="shared" si="23"/>
        <v/>
      </c>
      <c r="I1501" s="29"/>
    </row>
    <row r="1502" spans="1:9">
      <c r="A1502" s="33"/>
      <c r="B1502" s="29"/>
      <c r="C1502" s="29"/>
      <c r="D1502" s="30"/>
      <c r="E1502" s="30"/>
      <c r="F1502" s="35"/>
      <c r="G1502" s="35"/>
      <c r="H1502" s="35" t="str">
        <f t="shared" si="23"/>
        <v/>
      </c>
      <c r="I1502" s="29"/>
    </row>
    <row r="1503" spans="1:9">
      <c r="A1503" s="33"/>
      <c r="B1503" s="29"/>
      <c r="C1503" s="29"/>
      <c r="D1503" s="30"/>
      <c r="E1503" s="30"/>
      <c r="F1503" s="35"/>
      <c r="G1503" s="35"/>
      <c r="H1503" s="35" t="str">
        <f t="shared" si="23"/>
        <v/>
      </c>
      <c r="I1503" s="29"/>
    </row>
    <row r="1504" spans="1:9">
      <c r="A1504" s="33"/>
      <c r="B1504" s="29"/>
      <c r="C1504" s="29"/>
      <c r="D1504" s="30"/>
      <c r="E1504" s="30"/>
      <c r="F1504" s="35"/>
      <c r="G1504" s="35"/>
      <c r="H1504" s="35" t="str">
        <f t="shared" si="23"/>
        <v/>
      </c>
      <c r="I1504" s="29"/>
    </row>
    <row r="1505" spans="1:9">
      <c r="A1505" s="33"/>
      <c r="B1505" s="29"/>
      <c r="C1505" s="29"/>
      <c r="D1505" s="30"/>
      <c r="E1505" s="30"/>
      <c r="F1505" s="35"/>
      <c r="G1505" s="35"/>
      <c r="H1505" s="35" t="str">
        <f t="shared" si="23"/>
        <v/>
      </c>
      <c r="I1505" s="29"/>
    </row>
    <row r="1506" spans="1:9">
      <c r="A1506" s="33"/>
      <c r="B1506" s="29"/>
      <c r="C1506" s="29"/>
      <c r="D1506" s="30"/>
      <c r="E1506" s="30"/>
      <c r="F1506" s="35"/>
      <c r="G1506" s="35"/>
      <c r="H1506" s="35" t="str">
        <f t="shared" si="23"/>
        <v/>
      </c>
      <c r="I1506" s="29"/>
    </row>
    <row r="1507" spans="1:9">
      <c r="A1507" s="33"/>
      <c r="B1507" s="29"/>
      <c r="C1507" s="29"/>
      <c r="D1507" s="30"/>
      <c r="E1507" s="30"/>
      <c r="F1507" s="35"/>
      <c r="G1507" s="35"/>
      <c r="H1507" s="35" t="str">
        <f t="shared" si="23"/>
        <v/>
      </c>
      <c r="I1507" s="29"/>
    </row>
    <row r="1508" spans="1:9">
      <c r="A1508" s="33"/>
      <c r="B1508" s="29"/>
      <c r="C1508" s="29"/>
      <c r="D1508" s="30"/>
      <c r="E1508" s="30"/>
      <c r="F1508" s="35"/>
      <c r="G1508" s="35"/>
      <c r="H1508" s="35" t="str">
        <f t="shared" si="23"/>
        <v/>
      </c>
      <c r="I1508" s="29"/>
    </row>
    <row r="1509" spans="1:9">
      <c r="A1509" s="33"/>
      <c r="B1509" s="29"/>
      <c r="C1509" s="29"/>
      <c r="D1509" s="30"/>
      <c r="E1509" s="30"/>
      <c r="F1509" s="35"/>
      <c r="G1509" s="35"/>
      <c r="H1509" s="35" t="str">
        <f t="shared" si="23"/>
        <v/>
      </c>
      <c r="I1509" s="29"/>
    </row>
    <row r="1510" spans="1:9">
      <c r="A1510" s="33"/>
      <c r="B1510" s="29"/>
      <c r="C1510" s="29"/>
      <c r="D1510" s="30"/>
      <c r="E1510" s="30"/>
      <c r="F1510" s="35"/>
      <c r="G1510" s="35"/>
      <c r="H1510" s="35" t="str">
        <f t="shared" si="23"/>
        <v/>
      </c>
      <c r="I1510" s="29"/>
    </row>
    <row r="1511" spans="1:9">
      <c r="A1511" s="33"/>
      <c r="B1511" s="29"/>
      <c r="C1511" s="29"/>
      <c r="D1511" s="30"/>
      <c r="E1511" s="30"/>
      <c r="F1511" s="35"/>
      <c r="G1511" s="35"/>
      <c r="H1511" s="35" t="str">
        <f t="shared" si="23"/>
        <v/>
      </c>
      <c r="I1511" s="29"/>
    </row>
    <row r="1512" spans="1:9">
      <c r="A1512" s="33"/>
      <c r="B1512" s="29"/>
      <c r="C1512" s="29"/>
      <c r="D1512" s="30"/>
      <c r="E1512" s="30"/>
      <c r="F1512" s="35"/>
      <c r="G1512" s="35"/>
      <c r="H1512" s="35" t="str">
        <f t="shared" si="23"/>
        <v/>
      </c>
      <c r="I1512" s="29"/>
    </row>
    <row r="1513" spans="1:9">
      <c r="A1513" s="33"/>
      <c r="B1513" s="29"/>
      <c r="C1513" s="29"/>
      <c r="D1513" s="30"/>
      <c r="E1513" s="30"/>
      <c r="F1513" s="35"/>
      <c r="G1513" s="35"/>
      <c r="H1513" s="35" t="str">
        <f t="shared" si="23"/>
        <v/>
      </c>
      <c r="I1513" s="29"/>
    </row>
    <row r="1514" spans="1:9">
      <c r="A1514" s="33"/>
      <c r="B1514" s="29"/>
      <c r="C1514" s="29"/>
      <c r="D1514" s="30"/>
      <c r="E1514" s="30"/>
      <c r="F1514" s="35"/>
      <c r="G1514" s="35"/>
      <c r="H1514" s="35" t="str">
        <f t="shared" si="23"/>
        <v/>
      </c>
      <c r="I1514" s="29"/>
    </row>
    <row r="1515" spans="1:9">
      <c r="A1515" s="33"/>
      <c r="B1515" s="29"/>
      <c r="C1515" s="29"/>
      <c r="D1515" s="30"/>
      <c r="E1515" s="30"/>
      <c r="F1515" s="35"/>
      <c r="G1515" s="35"/>
      <c r="H1515" s="35" t="str">
        <f t="shared" si="23"/>
        <v/>
      </c>
      <c r="I1515" s="29"/>
    </row>
    <row r="1516" spans="1:9">
      <c r="A1516" s="33"/>
      <c r="B1516" s="29"/>
      <c r="C1516" s="29"/>
      <c r="D1516" s="30"/>
      <c r="E1516" s="30"/>
      <c r="F1516" s="35"/>
      <c r="G1516" s="35"/>
      <c r="H1516" s="35" t="str">
        <f t="shared" si="23"/>
        <v/>
      </c>
      <c r="I1516" s="29"/>
    </row>
    <row r="1517" spans="1:9">
      <c r="A1517" s="33"/>
      <c r="B1517" s="29"/>
      <c r="C1517" s="29"/>
      <c r="D1517" s="30"/>
      <c r="E1517" s="30"/>
      <c r="F1517" s="35"/>
      <c r="G1517" s="35"/>
      <c r="H1517" s="35" t="str">
        <f t="shared" si="23"/>
        <v/>
      </c>
      <c r="I1517" s="29"/>
    </row>
    <row r="1518" spans="1:9">
      <c r="A1518" s="33"/>
      <c r="B1518" s="29"/>
      <c r="C1518" s="29"/>
      <c r="D1518" s="30"/>
      <c r="E1518" s="30"/>
      <c r="F1518" s="35"/>
      <c r="G1518" s="35"/>
      <c r="H1518" s="35" t="str">
        <f t="shared" si="23"/>
        <v/>
      </c>
      <c r="I1518" s="29"/>
    </row>
    <row r="1519" spans="1:9">
      <c r="A1519" s="33"/>
      <c r="B1519" s="29"/>
      <c r="C1519" s="29"/>
      <c r="D1519" s="30"/>
      <c r="E1519" s="30"/>
      <c r="F1519" s="35"/>
      <c r="G1519" s="35"/>
      <c r="H1519" s="35" t="str">
        <f t="shared" si="23"/>
        <v/>
      </c>
      <c r="I1519" s="29"/>
    </row>
    <row r="1520" spans="1:9">
      <c r="A1520" s="33"/>
      <c r="B1520" s="29"/>
      <c r="C1520" s="29"/>
      <c r="D1520" s="30"/>
      <c r="E1520" s="30"/>
      <c r="F1520" s="35"/>
      <c r="G1520" s="35"/>
      <c r="H1520" s="35" t="str">
        <f t="shared" si="23"/>
        <v/>
      </c>
      <c r="I1520" s="29"/>
    </row>
    <row r="1521" spans="1:9">
      <c r="A1521" s="33"/>
      <c r="B1521" s="29"/>
      <c r="C1521" s="29"/>
      <c r="D1521" s="30"/>
      <c r="E1521" s="30"/>
      <c r="F1521" s="35"/>
      <c r="G1521" s="35"/>
      <c r="H1521" s="35" t="str">
        <f t="shared" si="23"/>
        <v/>
      </c>
      <c r="I1521" s="29"/>
    </row>
    <row r="1522" spans="1:9">
      <c r="A1522" s="33"/>
      <c r="B1522" s="29"/>
      <c r="C1522" s="29"/>
      <c r="D1522" s="30"/>
      <c r="E1522" s="30"/>
      <c r="F1522" s="35"/>
      <c r="G1522" s="35"/>
      <c r="H1522" s="35" t="str">
        <f t="shared" si="23"/>
        <v/>
      </c>
      <c r="I1522" s="29"/>
    </row>
    <row r="1523" spans="1:9">
      <c r="A1523" s="33"/>
      <c r="B1523" s="29"/>
      <c r="C1523" s="29"/>
      <c r="D1523" s="30"/>
      <c r="E1523" s="30"/>
      <c r="F1523" s="35"/>
      <c r="G1523" s="35"/>
      <c r="H1523" s="35" t="str">
        <f t="shared" si="23"/>
        <v/>
      </c>
      <c r="I1523" s="29"/>
    </row>
    <row r="1524" spans="1:9">
      <c r="A1524" s="33"/>
      <c r="B1524" s="29"/>
      <c r="C1524" s="29"/>
      <c r="D1524" s="30"/>
      <c r="E1524" s="30"/>
      <c r="F1524" s="35"/>
      <c r="G1524" s="35"/>
      <c r="H1524" s="35" t="str">
        <f t="shared" si="23"/>
        <v/>
      </c>
      <c r="I1524" s="29"/>
    </row>
    <row r="1525" spans="1:9">
      <c r="A1525" s="33"/>
      <c r="B1525" s="29"/>
      <c r="C1525" s="29"/>
      <c r="D1525" s="30"/>
      <c r="E1525" s="30"/>
      <c r="F1525" s="35"/>
      <c r="G1525" s="35"/>
      <c r="H1525" s="35" t="str">
        <f t="shared" si="23"/>
        <v/>
      </c>
      <c r="I1525" s="29"/>
    </row>
    <row r="1526" spans="1:9">
      <c r="A1526" s="33"/>
      <c r="B1526" s="29"/>
      <c r="C1526" s="29"/>
      <c r="D1526" s="30"/>
      <c r="E1526" s="30"/>
      <c r="F1526" s="35"/>
      <c r="G1526" s="35"/>
      <c r="H1526" s="35" t="str">
        <f t="shared" si="23"/>
        <v/>
      </c>
      <c r="I1526" s="29"/>
    </row>
    <row r="1527" spans="1:9">
      <c r="A1527" s="33"/>
      <c r="B1527" s="29"/>
      <c r="C1527" s="29"/>
      <c r="D1527" s="30"/>
      <c r="E1527" s="30"/>
      <c r="F1527" s="35"/>
      <c r="G1527" s="35"/>
      <c r="H1527" s="35" t="str">
        <f t="shared" si="23"/>
        <v/>
      </c>
      <c r="I1527" s="29"/>
    </row>
    <row r="1528" spans="1:9">
      <c r="A1528" s="33"/>
      <c r="B1528" s="29"/>
      <c r="C1528" s="29"/>
      <c r="D1528" s="30"/>
      <c r="E1528" s="30"/>
      <c r="F1528" s="35"/>
      <c r="G1528" s="35"/>
      <c r="H1528" s="35" t="str">
        <f t="shared" si="23"/>
        <v/>
      </c>
      <c r="I1528" s="29"/>
    </row>
    <row r="1529" spans="1:9">
      <c r="A1529" s="33"/>
      <c r="B1529" s="29"/>
      <c r="C1529" s="29"/>
      <c r="D1529" s="30"/>
      <c r="E1529" s="30"/>
      <c r="F1529" s="35"/>
      <c r="G1529" s="35"/>
      <c r="H1529" s="35" t="str">
        <f t="shared" si="23"/>
        <v/>
      </c>
      <c r="I1529" s="29"/>
    </row>
    <row r="1530" spans="1:9">
      <c r="A1530" s="33"/>
      <c r="B1530" s="29"/>
      <c r="C1530" s="29"/>
      <c r="D1530" s="30"/>
      <c r="E1530" s="30"/>
      <c r="F1530" s="35"/>
      <c r="G1530" s="35"/>
      <c r="H1530" s="35" t="str">
        <f t="shared" si="23"/>
        <v/>
      </c>
      <c r="I1530" s="29"/>
    </row>
    <row r="1531" spans="1:9">
      <c r="A1531" s="33"/>
      <c r="B1531" s="29"/>
      <c r="C1531" s="29"/>
      <c r="D1531" s="30"/>
      <c r="E1531" s="30"/>
      <c r="F1531" s="35"/>
      <c r="G1531" s="35"/>
      <c r="H1531" s="35" t="str">
        <f t="shared" si="23"/>
        <v/>
      </c>
      <c r="I1531" s="29"/>
    </row>
    <row r="1532" spans="1:9">
      <c r="A1532" s="33"/>
      <c r="B1532" s="29"/>
      <c r="C1532" s="29"/>
      <c r="D1532" s="30"/>
      <c r="E1532" s="30"/>
      <c r="F1532" s="35"/>
      <c r="G1532" s="35"/>
      <c r="H1532" s="35" t="str">
        <f t="shared" si="23"/>
        <v/>
      </c>
      <c r="I1532" s="29"/>
    </row>
    <row r="1533" spans="1:9">
      <c r="A1533" s="33"/>
      <c r="B1533" s="29"/>
      <c r="C1533" s="29"/>
      <c r="D1533" s="30"/>
      <c r="E1533" s="30"/>
      <c r="F1533" s="35"/>
      <c r="G1533" s="35"/>
      <c r="H1533" s="35" t="str">
        <f t="shared" si="23"/>
        <v/>
      </c>
      <c r="I1533" s="29"/>
    </row>
    <row r="1534" spans="1:9">
      <c r="A1534" s="33"/>
      <c r="B1534" s="29"/>
      <c r="C1534" s="29"/>
      <c r="D1534" s="30"/>
      <c r="E1534" s="30"/>
      <c r="F1534" s="35"/>
      <c r="G1534" s="35"/>
      <c r="H1534" s="35" t="str">
        <f t="shared" si="23"/>
        <v/>
      </c>
      <c r="I1534" s="29"/>
    </row>
    <row r="1535" spans="1:9">
      <c r="A1535" s="33"/>
      <c r="B1535" s="29"/>
      <c r="C1535" s="29"/>
      <c r="D1535" s="30"/>
      <c r="E1535" s="30"/>
      <c r="F1535" s="35"/>
      <c r="G1535" s="35"/>
      <c r="H1535" s="35" t="str">
        <f t="shared" si="23"/>
        <v/>
      </c>
      <c r="I1535" s="29"/>
    </row>
    <row r="1536" spans="1:9">
      <c r="A1536" s="33"/>
      <c r="B1536" s="29"/>
      <c r="C1536" s="29"/>
      <c r="D1536" s="30"/>
      <c r="E1536" s="30"/>
      <c r="F1536" s="35"/>
      <c r="G1536" s="35"/>
      <c r="H1536" s="35" t="str">
        <f t="shared" si="23"/>
        <v/>
      </c>
      <c r="I1536" s="29"/>
    </row>
    <row r="1537" spans="1:9">
      <c r="A1537" s="33"/>
      <c r="B1537" s="29"/>
      <c r="C1537" s="29"/>
      <c r="D1537" s="30"/>
      <c r="E1537" s="30"/>
      <c r="F1537" s="35"/>
      <c r="G1537" s="35"/>
      <c r="H1537" s="35" t="str">
        <f t="shared" si="23"/>
        <v/>
      </c>
      <c r="I1537" s="29"/>
    </row>
    <row r="1538" spans="1:9">
      <c r="A1538" s="33"/>
      <c r="B1538" s="29"/>
      <c r="C1538" s="29"/>
      <c r="D1538" s="30"/>
      <c r="E1538" s="30"/>
      <c r="F1538" s="35"/>
      <c r="G1538" s="35"/>
      <c r="H1538" s="35" t="str">
        <f t="shared" si="23"/>
        <v/>
      </c>
      <c r="I1538" s="29"/>
    </row>
    <row r="1539" spans="1:9">
      <c r="A1539" s="33"/>
      <c r="B1539" s="29"/>
      <c r="C1539" s="29"/>
      <c r="D1539" s="30"/>
      <c r="E1539" s="30"/>
      <c r="F1539" s="35"/>
      <c r="G1539" s="35"/>
      <c r="H1539" s="35" t="str">
        <f t="shared" si="23"/>
        <v/>
      </c>
      <c r="I1539" s="29"/>
    </row>
    <row r="1540" spans="1:9">
      <c r="A1540" s="33"/>
      <c r="B1540" s="29"/>
      <c r="C1540" s="29"/>
      <c r="D1540" s="30"/>
      <c r="E1540" s="30"/>
      <c r="F1540" s="35"/>
      <c r="G1540" s="35"/>
      <c r="H1540" s="35" t="str">
        <f t="shared" ref="H1540:H1603" si="24">IF(F1540="","",F1540-G1540)</f>
        <v/>
      </c>
      <c r="I1540" s="29"/>
    </row>
    <row r="1541" spans="1:9">
      <c r="A1541" s="33"/>
      <c r="B1541" s="29"/>
      <c r="C1541" s="29"/>
      <c r="D1541" s="30"/>
      <c r="E1541" s="30"/>
      <c r="F1541" s="35"/>
      <c r="G1541" s="35"/>
      <c r="H1541" s="35" t="str">
        <f t="shared" si="24"/>
        <v/>
      </c>
      <c r="I1541" s="29"/>
    </row>
    <row r="1542" spans="1:9">
      <c r="A1542" s="33"/>
      <c r="B1542" s="29"/>
      <c r="C1542" s="29"/>
      <c r="D1542" s="30"/>
      <c r="E1542" s="30"/>
      <c r="F1542" s="35"/>
      <c r="G1542" s="35"/>
      <c r="H1542" s="35" t="str">
        <f t="shared" si="24"/>
        <v/>
      </c>
      <c r="I1542" s="29"/>
    </row>
    <row r="1543" spans="1:9">
      <c r="A1543" s="33"/>
      <c r="B1543" s="29"/>
      <c r="C1543" s="29"/>
      <c r="D1543" s="30"/>
      <c r="E1543" s="30"/>
      <c r="F1543" s="35"/>
      <c r="G1543" s="35"/>
      <c r="H1543" s="35" t="str">
        <f t="shared" si="24"/>
        <v/>
      </c>
      <c r="I1543" s="29"/>
    </row>
    <row r="1544" spans="1:9">
      <c r="A1544" s="33"/>
      <c r="B1544" s="29"/>
      <c r="C1544" s="29"/>
      <c r="D1544" s="30"/>
      <c r="E1544" s="30"/>
      <c r="F1544" s="35"/>
      <c r="G1544" s="35"/>
      <c r="H1544" s="35" t="str">
        <f t="shared" si="24"/>
        <v/>
      </c>
      <c r="I1544" s="29"/>
    </row>
    <row r="1545" spans="1:9">
      <c r="A1545" s="33"/>
      <c r="B1545" s="29"/>
      <c r="C1545" s="29"/>
      <c r="D1545" s="30"/>
      <c r="E1545" s="30"/>
      <c r="F1545" s="35"/>
      <c r="G1545" s="35"/>
      <c r="H1545" s="35" t="str">
        <f t="shared" si="24"/>
        <v/>
      </c>
      <c r="I1545" s="29"/>
    </row>
    <row r="1546" spans="1:9">
      <c r="A1546" s="33"/>
      <c r="B1546" s="29"/>
      <c r="C1546" s="29"/>
      <c r="D1546" s="30"/>
      <c r="E1546" s="30"/>
      <c r="F1546" s="35"/>
      <c r="G1546" s="35"/>
      <c r="H1546" s="35" t="str">
        <f t="shared" si="24"/>
        <v/>
      </c>
      <c r="I1546" s="29"/>
    </row>
    <row r="1547" spans="1:9">
      <c r="A1547" s="33"/>
      <c r="B1547" s="29"/>
      <c r="C1547" s="29"/>
      <c r="D1547" s="30"/>
      <c r="E1547" s="30"/>
      <c r="F1547" s="35"/>
      <c r="G1547" s="35"/>
      <c r="H1547" s="35" t="str">
        <f t="shared" si="24"/>
        <v/>
      </c>
      <c r="I1547" s="29"/>
    </row>
    <row r="1548" spans="1:9">
      <c r="A1548" s="33"/>
      <c r="B1548" s="29"/>
      <c r="C1548" s="29"/>
      <c r="D1548" s="30"/>
      <c r="E1548" s="30"/>
      <c r="F1548" s="35"/>
      <c r="G1548" s="35"/>
      <c r="H1548" s="35" t="str">
        <f t="shared" si="24"/>
        <v/>
      </c>
      <c r="I1548" s="29"/>
    </row>
    <row r="1549" spans="1:9">
      <c r="A1549" s="33"/>
      <c r="B1549" s="29"/>
      <c r="C1549" s="29"/>
      <c r="D1549" s="30"/>
      <c r="E1549" s="30"/>
      <c r="F1549" s="35"/>
      <c r="G1549" s="35"/>
      <c r="H1549" s="35" t="str">
        <f t="shared" si="24"/>
        <v/>
      </c>
      <c r="I1549" s="29"/>
    </row>
    <row r="1550" spans="1:9">
      <c r="A1550" s="33"/>
      <c r="B1550" s="29"/>
      <c r="C1550" s="29"/>
      <c r="D1550" s="30"/>
      <c r="E1550" s="30"/>
      <c r="F1550" s="35"/>
      <c r="G1550" s="35"/>
      <c r="H1550" s="35" t="str">
        <f t="shared" si="24"/>
        <v/>
      </c>
      <c r="I1550" s="29"/>
    </row>
    <row r="1551" spans="1:9">
      <c r="A1551" s="33"/>
      <c r="B1551" s="29"/>
      <c r="C1551" s="29"/>
      <c r="D1551" s="30"/>
      <c r="E1551" s="30"/>
      <c r="F1551" s="35"/>
      <c r="G1551" s="35"/>
      <c r="H1551" s="35" t="str">
        <f t="shared" si="24"/>
        <v/>
      </c>
      <c r="I1551" s="29"/>
    </row>
    <row r="1552" spans="1:9">
      <c r="A1552" s="33"/>
      <c r="B1552" s="29"/>
      <c r="C1552" s="29"/>
      <c r="D1552" s="30"/>
      <c r="E1552" s="30"/>
      <c r="F1552" s="35"/>
      <c r="G1552" s="35"/>
      <c r="H1552" s="35" t="str">
        <f t="shared" si="24"/>
        <v/>
      </c>
      <c r="I1552" s="29"/>
    </row>
    <row r="1553" spans="1:9">
      <c r="A1553" s="33"/>
      <c r="B1553" s="29"/>
      <c r="C1553" s="29"/>
      <c r="D1553" s="30"/>
      <c r="E1553" s="30"/>
      <c r="F1553" s="35"/>
      <c r="G1553" s="35"/>
      <c r="H1553" s="35" t="str">
        <f t="shared" si="24"/>
        <v/>
      </c>
      <c r="I1553" s="29"/>
    </row>
    <row r="1554" spans="1:9">
      <c r="A1554" s="33"/>
      <c r="B1554" s="29"/>
      <c r="C1554" s="29"/>
      <c r="D1554" s="30"/>
      <c r="E1554" s="30"/>
      <c r="F1554" s="35"/>
      <c r="G1554" s="35"/>
      <c r="H1554" s="35" t="str">
        <f t="shared" si="24"/>
        <v/>
      </c>
      <c r="I1554" s="29"/>
    </row>
    <row r="1555" spans="1:9">
      <c r="A1555" s="33"/>
      <c r="B1555" s="29"/>
      <c r="C1555" s="29"/>
      <c r="D1555" s="30"/>
      <c r="E1555" s="30"/>
      <c r="F1555" s="35"/>
      <c r="G1555" s="35"/>
      <c r="H1555" s="35" t="str">
        <f t="shared" si="24"/>
        <v/>
      </c>
      <c r="I1555" s="29"/>
    </row>
    <row r="1556" spans="1:9">
      <c r="A1556" s="33"/>
      <c r="B1556" s="29"/>
      <c r="C1556" s="29"/>
      <c r="D1556" s="30"/>
      <c r="E1556" s="30"/>
      <c r="F1556" s="35"/>
      <c r="G1556" s="35"/>
      <c r="H1556" s="35" t="str">
        <f t="shared" si="24"/>
        <v/>
      </c>
      <c r="I1556" s="29"/>
    </row>
    <row r="1557" spans="1:9">
      <c r="A1557" s="33"/>
      <c r="B1557" s="29"/>
      <c r="C1557" s="29"/>
      <c r="D1557" s="30"/>
      <c r="E1557" s="30"/>
      <c r="F1557" s="35"/>
      <c r="G1557" s="35"/>
      <c r="H1557" s="35" t="str">
        <f t="shared" si="24"/>
        <v/>
      </c>
      <c r="I1557" s="29"/>
    </row>
    <row r="1558" spans="1:9">
      <c r="A1558" s="33"/>
      <c r="B1558" s="29"/>
      <c r="C1558" s="29"/>
      <c r="D1558" s="30"/>
      <c r="E1558" s="30"/>
      <c r="F1558" s="35"/>
      <c r="G1558" s="35"/>
      <c r="H1558" s="35" t="str">
        <f t="shared" si="24"/>
        <v/>
      </c>
      <c r="I1558" s="29"/>
    </row>
    <row r="1559" spans="1:9">
      <c r="A1559" s="33"/>
      <c r="B1559" s="29"/>
      <c r="C1559" s="29"/>
      <c r="D1559" s="30"/>
      <c r="E1559" s="30"/>
      <c r="F1559" s="35"/>
      <c r="G1559" s="35"/>
      <c r="H1559" s="35" t="str">
        <f t="shared" si="24"/>
        <v/>
      </c>
      <c r="I1559" s="29"/>
    </row>
    <row r="1560" spans="1:9">
      <c r="A1560" s="33"/>
      <c r="B1560" s="29"/>
      <c r="C1560" s="29"/>
      <c r="D1560" s="30"/>
      <c r="E1560" s="30"/>
      <c r="F1560" s="35"/>
      <c r="G1560" s="35"/>
      <c r="H1560" s="35" t="str">
        <f t="shared" si="24"/>
        <v/>
      </c>
      <c r="I1560" s="29"/>
    </row>
    <row r="1561" spans="1:9">
      <c r="A1561" s="33"/>
      <c r="B1561" s="29"/>
      <c r="C1561" s="29"/>
      <c r="D1561" s="30"/>
      <c r="E1561" s="30"/>
      <c r="F1561" s="35"/>
      <c r="G1561" s="35"/>
      <c r="H1561" s="35" t="str">
        <f t="shared" si="24"/>
        <v/>
      </c>
      <c r="I1561" s="29"/>
    </row>
    <row r="1562" spans="1:9">
      <c r="A1562" s="33"/>
      <c r="B1562" s="29"/>
      <c r="C1562" s="29"/>
      <c r="D1562" s="30"/>
      <c r="E1562" s="30"/>
      <c r="F1562" s="35"/>
      <c r="G1562" s="35"/>
      <c r="H1562" s="35" t="str">
        <f t="shared" si="24"/>
        <v/>
      </c>
      <c r="I1562" s="29"/>
    </row>
    <row r="1563" spans="1:9">
      <c r="A1563" s="33"/>
      <c r="B1563" s="29"/>
      <c r="C1563" s="29"/>
      <c r="D1563" s="30"/>
      <c r="E1563" s="30"/>
      <c r="F1563" s="35"/>
      <c r="G1563" s="35"/>
      <c r="H1563" s="35" t="str">
        <f t="shared" si="24"/>
        <v/>
      </c>
      <c r="I1563" s="29"/>
    </row>
    <row r="1564" spans="1:9">
      <c r="A1564" s="33"/>
      <c r="B1564" s="29"/>
      <c r="C1564" s="29"/>
      <c r="D1564" s="30"/>
      <c r="E1564" s="30"/>
      <c r="F1564" s="35"/>
      <c r="G1564" s="35"/>
      <c r="H1564" s="35" t="str">
        <f t="shared" si="24"/>
        <v/>
      </c>
      <c r="I1564" s="29"/>
    </row>
    <row r="1565" spans="1:9">
      <c r="A1565" s="33"/>
      <c r="B1565" s="29"/>
      <c r="C1565" s="29"/>
      <c r="D1565" s="30"/>
      <c r="E1565" s="30"/>
      <c r="F1565" s="35"/>
      <c r="G1565" s="35"/>
      <c r="H1565" s="35" t="str">
        <f t="shared" si="24"/>
        <v/>
      </c>
      <c r="I1565" s="29"/>
    </row>
    <row r="1566" spans="1:9">
      <c r="A1566" s="33"/>
      <c r="B1566" s="29"/>
      <c r="C1566" s="29"/>
      <c r="D1566" s="30"/>
      <c r="E1566" s="30"/>
      <c r="F1566" s="35"/>
      <c r="G1566" s="35"/>
      <c r="H1566" s="35" t="str">
        <f t="shared" si="24"/>
        <v/>
      </c>
      <c r="I1566" s="29"/>
    </row>
    <row r="1567" spans="1:9">
      <c r="A1567" s="33"/>
      <c r="B1567" s="29"/>
      <c r="C1567" s="29"/>
      <c r="D1567" s="30"/>
      <c r="E1567" s="30"/>
      <c r="F1567" s="35"/>
      <c r="G1567" s="35"/>
      <c r="H1567" s="35" t="str">
        <f t="shared" si="24"/>
        <v/>
      </c>
      <c r="I1567" s="29"/>
    </row>
    <row r="1568" spans="1:9">
      <c r="A1568" s="33"/>
      <c r="B1568" s="29"/>
      <c r="C1568" s="29"/>
      <c r="D1568" s="30"/>
      <c r="E1568" s="30"/>
      <c r="F1568" s="35"/>
      <c r="G1568" s="35"/>
      <c r="H1568" s="35" t="str">
        <f t="shared" si="24"/>
        <v/>
      </c>
      <c r="I1568" s="29"/>
    </row>
    <row r="1569" spans="1:9">
      <c r="A1569" s="33"/>
      <c r="B1569" s="29"/>
      <c r="C1569" s="29"/>
      <c r="D1569" s="30"/>
      <c r="E1569" s="30"/>
      <c r="F1569" s="35"/>
      <c r="G1569" s="35"/>
      <c r="H1569" s="35" t="str">
        <f t="shared" si="24"/>
        <v/>
      </c>
      <c r="I1569" s="29"/>
    </row>
    <row r="1570" spans="1:9">
      <c r="A1570" s="33"/>
      <c r="B1570" s="29"/>
      <c r="C1570" s="29"/>
      <c r="D1570" s="30"/>
      <c r="E1570" s="30"/>
      <c r="F1570" s="35"/>
      <c r="G1570" s="35"/>
      <c r="H1570" s="35" t="str">
        <f t="shared" si="24"/>
        <v/>
      </c>
      <c r="I1570" s="29"/>
    </row>
    <row r="1571" spans="1:9">
      <c r="A1571" s="33"/>
      <c r="B1571" s="29"/>
      <c r="C1571" s="29"/>
      <c r="D1571" s="30"/>
      <c r="E1571" s="30"/>
      <c r="F1571" s="35"/>
      <c r="G1571" s="35"/>
      <c r="H1571" s="35" t="str">
        <f t="shared" si="24"/>
        <v/>
      </c>
      <c r="I1571" s="29"/>
    </row>
    <row r="1572" spans="1:9">
      <c r="A1572" s="33"/>
      <c r="B1572" s="29"/>
      <c r="C1572" s="29"/>
      <c r="D1572" s="30"/>
      <c r="E1572" s="30"/>
      <c r="F1572" s="35"/>
      <c r="G1572" s="35"/>
      <c r="H1572" s="35" t="str">
        <f t="shared" si="24"/>
        <v/>
      </c>
      <c r="I1572" s="29"/>
    </row>
    <row r="1573" spans="1:9">
      <c r="A1573" s="33"/>
      <c r="B1573" s="29"/>
      <c r="C1573" s="29"/>
      <c r="D1573" s="30"/>
      <c r="E1573" s="30"/>
      <c r="F1573" s="35"/>
      <c r="G1573" s="35"/>
      <c r="H1573" s="35" t="str">
        <f t="shared" si="24"/>
        <v/>
      </c>
      <c r="I1573" s="29"/>
    </row>
    <row r="1574" spans="1:9">
      <c r="A1574" s="33"/>
      <c r="B1574" s="29"/>
      <c r="C1574" s="29"/>
      <c r="D1574" s="30"/>
      <c r="E1574" s="30"/>
      <c r="F1574" s="35"/>
      <c r="G1574" s="35"/>
      <c r="H1574" s="35" t="str">
        <f t="shared" si="24"/>
        <v/>
      </c>
      <c r="I1574" s="29"/>
    </row>
    <row r="1575" spans="1:9">
      <c r="A1575" s="33"/>
      <c r="B1575" s="29"/>
      <c r="C1575" s="29"/>
      <c r="D1575" s="30"/>
      <c r="E1575" s="30"/>
      <c r="F1575" s="35"/>
      <c r="G1575" s="35"/>
      <c r="H1575" s="35" t="str">
        <f t="shared" si="24"/>
        <v/>
      </c>
      <c r="I1575" s="29"/>
    </row>
    <row r="1576" spans="1:9">
      <c r="A1576" s="33"/>
      <c r="B1576" s="29"/>
      <c r="C1576" s="29"/>
      <c r="D1576" s="30"/>
      <c r="E1576" s="30"/>
      <c r="F1576" s="35"/>
      <c r="G1576" s="35"/>
      <c r="H1576" s="35" t="str">
        <f t="shared" si="24"/>
        <v/>
      </c>
      <c r="I1576" s="29"/>
    </row>
    <row r="1577" spans="1:9">
      <c r="A1577" s="33"/>
      <c r="B1577" s="29"/>
      <c r="C1577" s="29"/>
      <c r="D1577" s="30"/>
      <c r="E1577" s="30"/>
      <c r="F1577" s="35"/>
      <c r="G1577" s="35"/>
      <c r="H1577" s="35" t="str">
        <f t="shared" si="24"/>
        <v/>
      </c>
      <c r="I1577" s="29"/>
    </row>
    <row r="1578" spans="1:9">
      <c r="A1578" s="33"/>
      <c r="B1578" s="29"/>
      <c r="C1578" s="29"/>
      <c r="D1578" s="30"/>
      <c r="E1578" s="30"/>
      <c r="F1578" s="35"/>
      <c r="G1578" s="35"/>
      <c r="H1578" s="35" t="str">
        <f t="shared" si="24"/>
        <v/>
      </c>
      <c r="I1578" s="29"/>
    </row>
    <row r="1579" spans="1:9">
      <c r="A1579" s="33"/>
      <c r="B1579" s="29"/>
      <c r="C1579" s="29"/>
      <c r="D1579" s="30"/>
      <c r="E1579" s="30"/>
      <c r="F1579" s="35"/>
      <c r="G1579" s="35"/>
      <c r="H1579" s="35" t="str">
        <f t="shared" si="24"/>
        <v/>
      </c>
      <c r="I1579" s="29"/>
    </row>
    <row r="1580" spans="1:9">
      <c r="A1580" s="33"/>
      <c r="B1580" s="29"/>
      <c r="C1580" s="29"/>
      <c r="D1580" s="30"/>
      <c r="E1580" s="30"/>
      <c r="F1580" s="35"/>
      <c r="G1580" s="35"/>
      <c r="H1580" s="35" t="str">
        <f t="shared" si="24"/>
        <v/>
      </c>
      <c r="I1580" s="29"/>
    </row>
    <row r="1581" spans="1:9">
      <c r="A1581" s="33"/>
      <c r="B1581" s="29"/>
      <c r="C1581" s="29"/>
      <c r="D1581" s="30"/>
      <c r="E1581" s="30"/>
      <c r="F1581" s="35"/>
      <c r="G1581" s="35"/>
      <c r="H1581" s="35" t="str">
        <f t="shared" si="24"/>
        <v/>
      </c>
      <c r="I1581" s="29"/>
    </row>
    <row r="1582" spans="1:9">
      <c r="A1582" s="33"/>
      <c r="B1582" s="29"/>
      <c r="C1582" s="29"/>
      <c r="D1582" s="30"/>
      <c r="E1582" s="30"/>
      <c r="F1582" s="35"/>
      <c r="G1582" s="35"/>
      <c r="H1582" s="35" t="str">
        <f t="shared" si="24"/>
        <v/>
      </c>
      <c r="I1582" s="29"/>
    </row>
    <row r="1583" spans="1:9">
      <c r="A1583" s="33"/>
      <c r="B1583" s="29"/>
      <c r="C1583" s="29"/>
      <c r="D1583" s="30"/>
      <c r="E1583" s="30"/>
      <c r="F1583" s="35"/>
      <c r="G1583" s="35"/>
      <c r="H1583" s="35" t="str">
        <f t="shared" si="24"/>
        <v/>
      </c>
      <c r="I1583" s="29"/>
    </row>
    <row r="1584" spans="1:9">
      <c r="A1584" s="33"/>
      <c r="B1584" s="29"/>
      <c r="C1584" s="29"/>
      <c r="D1584" s="30"/>
      <c r="E1584" s="30"/>
      <c r="F1584" s="35"/>
      <c r="G1584" s="35"/>
      <c r="H1584" s="35" t="str">
        <f t="shared" si="24"/>
        <v/>
      </c>
      <c r="I1584" s="29"/>
    </row>
    <row r="1585" spans="1:9">
      <c r="A1585" s="33"/>
      <c r="B1585" s="29"/>
      <c r="C1585" s="29"/>
      <c r="D1585" s="30"/>
      <c r="E1585" s="30"/>
      <c r="F1585" s="35"/>
      <c r="G1585" s="35"/>
      <c r="H1585" s="35" t="str">
        <f t="shared" si="24"/>
        <v/>
      </c>
      <c r="I1585" s="29"/>
    </row>
    <row r="1586" spans="1:9">
      <c r="A1586" s="33"/>
      <c r="B1586" s="29"/>
      <c r="C1586" s="29"/>
      <c r="D1586" s="30"/>
      <c r="E1586" s="30"/>
      <c r="F1586" s="35"/>
      <c r="G1586" s="35"/>
      <c r="H1586" s="35" t="str">
        <f t="shared" si="24"/>
        <v/>
      </c>
      <c r="I1586" s="29"/>
    </row>
    <row r="1587" spans="1:9">
      <c r="A1587" s="33"/>
      <c r="B1587" s="29"/>
      <c r="C1587" s="29"/>
      <c r="D1587" s="30"/>
      <c r="E1587" s="30"/>
      <c r="F1587" s="35"/>
      <c r="G1587" s="35"/>
      <c r="H1587" s="35" t="str">
        <f t="shared" si="24"/>
        <v/>
      </c>
      <c r="I1587" s="29"/>
    </row>
    <row r="1588" spans="1:9">
      <c r="A1588" s="33"/>
      <c r="B1588" s="29"/>
      <c r="C1588" s="29"/>
      <c r="D1588" s="30"/>
      <c r="E1588" s="30"/>
      <c r="F1588" s="35"/>
      <c r="G1588" s="35"/>
      <c r="H1588" s="35" t="str">
        <f t="shared" si="24"/>
        <v/>
      </c>
      <c r="I1588" s="29"/>
    </row>
    <row r="1589" spans="1:9">
      <c r="A1589" s="33"/>
      <c r="B1589" s="29"/>
      <c r="C1589" s="29"/>
      <c r="D1589" s="30"/>
      <c r="E1589" s="30"/>
      <c r="F1589" s="35"/>
      <c r="G1589" s="35"/>
      <c r="H1589" s="35" t="str">
        <f t="shared" si="24"/>
        <v/>
      </c>
      <c r="I1589" s="29"/>
    </row>
    <row r="1590" spans="1:9">
      <c r="A1590" s="33"/>
      <c r="B1590" s="29"/>
      <c r="C1590" s="29"/>
      <c r="D1590" s="30"/>
      <c r="E1590" s="30"/>
      <c r="F1590" s="35"/>
      <c r="G1590" s="35"/>
      <c r="H1590" s="35" t="str">
        <f t="shared" si="24"/>
        <v/>
      </c>
      <c r="I1590" s="29"/>
    </row>
    <row r="1591" spans="1:9">
      <c r="A1591" s="33"/>
      <c r="B1591" s="29"/>
      <c r="C1591" s="29"/>
      <c r="D1591" s="30"/>
      <c r="E1591" s="30"/>
      <c r="F1591" s="35"/>
      <c r="G1591" s="35"/>
      <c r="H1591" s="35" t="str">
        <f t="shared" si="24"/>
        <v/>
      </c>
      <c r="I1591" s="29"/>
    </row>
    <row r="1592" spans="1:9">
      <c r="A1592" s="33"/>
      <c r="B1592" s="29"/>
      <c r="C1592" s="29"/>
      <c r="D1592" s="30"/>
      <c r="E1592" s="30"/>
      <c r="F1592" s="35"/>
      <c r="G1592" s="35"/>
      <c r="H1592" s="35" t="str">
        <f t="shared" si="24"/>
        <v/>
      </c>
      <c r="I1592" s="29"/>
    </row>
    <row r="1593" spans="1:9">
      <c r="A1593" s="33"/>
      <c r="B1593" s="29"/>
      <c r="C1593" s="29"/>
      <c r="D1593" s="30"/>
      <c r="E1593" s="30"/>
      <c r="F1593" s="35"/>
      <c r="G1593" s="35"/>
      <c r="H1593" s="35" t="str">
        <f t="shared" si="24"/>
        <v/>
      </c>
      <c r="I1593" s="29"/>
    </row>
    <row r="1594" spans="1:9">
      <c r="A1594" s="33"/>
      <c r="B1594" s="29"/>
      <c r="C1594" s="29"/>
      <c r="D1594" s="30"/>
      <c r="E1594" s="30"/>
      <c r="F1594" s="35"/>
      <c r="G1594" s="35"/>
      <c r="H1594" s="35" t="str">
        <f t="shared" si="24"/>
        <v/>
      </c>
      <c r="I1594" s="29"/>
    </row>
    <row r="1595" spans="1:9">
      <c r="A1595" s="33"/>
      <c r="B1595" s="29"/>
      <c r="C1595" s="29"/>
      <c r="D1595" s="30"/>
      <c r="E1595" s="30"/>
      <c r="F1595" s="35"/>
      <c r="G1595" s="35"/>
      <c r="H1595" s="35" t="str">
        <f t="shared" si="24"/>
        <v/>
      </c>
      <c r="I1595" s="29"/>
    </row>
    <row r="1596" spans="1:9">
      <c r="A1596" s="33"/>
      <c r="B1596" s="29"/>
      <c r="C1596" s="29"/>
      <c r="D1596" s="30"/>
      <c r="E1596" s="30"/>
      <c r="F1596" s="35"/>
      <c r="G1596" s="35"/>
      <c r="H1596" s="35" t="str">
        <f t="shared" si="24"/>
        <v/>
      </c>
      <c r="I1596" s="29"/>
    </row>
    <row r="1597" spans="1:9">
      <c r="A1597" s="33"/>
      <c r="B1597" s="29"/>
      <c r="C1597" s="29"/>
      <c r="D1597" s="30"/>
      <c r="E1597" s="30"/>
      <c r="F1597" s="35"/>
      <c r="G1597" s="35"/>
      <c r="H1597" s="35" t="str">
        <f t="shared" si="24"/>
        <v/>
      </c>
      <c r="I1597" s="29"/>
    </row>
    <row r="1598" spans="1:9">
      <c r="A1598" s="33"/>
      <c r="B1598" s="29"/>
      <c r="C1598" s="29"/>
      <c r="D1598" s="30"/>
      <c r="E1598" s="30"/>
      <c r="F1598" s="35"/>
      <c r="G1598" s="35"/>
      <c r="H1598" s="35" t="str">
        <f t="shared" si="24"/>
        <v/>
      </c>
      <c r="I1598" s="29"/>
    </row>
    <row r="1599" spans="1:9">
      <c r="A1599" s="33"/>
      <c r="B1599" s="29"/>
      <c r="C1599" s="29"/>
      <c r="D1599" s="30"/>
      <c r="E1599" s="30"/>
      <c r="F1599" s="35"/>
      <c r="G1599" s="35"/>
      <c r="H1599" s="35" t="str">
        <f t="shared" si="24"/>
        <v/>
      </c>
      <c r="I1599" s="29"/>
    </row>
    <row r="1600" spans="1:9">
      <c r="A1600" s="33"/>
      <c r="B1600" s="29"/>
      <c r="C1600" s="29"/>
      <c r="D1600" s="30"/>
      <c r="E1600" s="30"/>
      <c r="F1600" s="35"/>
      <c r="G1600" s="35"/>
      <c r="H1600" s="35" t="str">
        <f t="shared" si="24"/>
        <v/>
      </c>
      <c r="I1600" s="29"/>
    </row>
    <row r="1601" spans="1:9">
      <c r="A1601" s="33"/>
      <c r="B1601" s="29"/>
      <c r="C1601" s="29"/>
      <c r="D1601" s="30"/>
      <c r="E1601" s="30"/>
      <c r="F1601" s="35"/>
      <c r="G1601" s="35"/>
      <c r="H1601" s="35" t="str">
        <f t="shared" si="24"/>
        <v/>
      </c>
      <c r="I1601" s="29"/>
    </row>
    <row r="1602" spans="1:9">
      <c r="A1602" s="33"/>
      <c r="B1602" s="29"/>
      <c r="C1602" s="29"/>
      <c r="D1602" s="30"/>
      <c r="E1602" s="30"/>
      <c r="F1602" s="35"/>
      <c r="G1602" s="35"/>
      <c r="H1602" s="35" t="str">
        <f t="shared" si="24"/>
        <v/>
      </c>
      <c r="I1602" s="29"/>
    </row>
    <row r="1603" spans="1:9">
      <c r="A1603" s="33"/>
      <c r="B1603" s="29"/>
      <c r="C1603" s="29"/>
      <c r="D1603" s="30"/>
      <c r="E1603" s="30"/>
      <c r="F1603" s="35"/>
      <c r="G1603" s="35"/>
      <c r="H1603" s="35" t="str">
        <f t="shared" si="24"/>
        <v/>
      </c>
      <c r="I1603" s="29"/>
    </row>
    <row r="1604" spans="1:9">
      <c r="A1604" s="33"/>
      <c r="B1604" s="29"/>
      <c r="C1604" s="29"/>
      <c r="D1604" s="30"/>
      <c r="E1604" s="30"/>
      <c r="F1604" s="35"/>
      <c r="G1604" s="35"/>
      <c r="H1604" s="35" t="str">
        <f t="shared" ref="H1604:H1667" si="25">IF(F1604="","",F1604-G1604)</f>
        <v/>
      </c>
      <c r="I1604" s="29"/>
    </row>
    <row r="1605" spans="1:9">
      <c r="A1605" s="33"/>
      <c r="B1605" s="29"/>
      <c r="C1605" s="29"/>
      <c r="D1605" s="30"/>
      <c r="E1605" s="30"/>
      <c r="F1605" s="35"/>
      <c r="G1605" s="35"/>
      <c r="H1605" s="35" t="str">
        <f t="shared" si="25"/>
        <v/>
      </c>
      <c r="I1605" s="29"/>
    </row>
    <row r="1606" spans="1:9">
      <c r="A1606" s="33"/>
      <c r="B1606" s="29"/>
      <c r="C1606" s="29"/>
      <c r="D1606" s="30"/>
      <c r="E1606" s="30"/>
      <c r="F1606" s="35"/>
      <c r="G1606" s="35"/>
      <c r="H1606" s="35" t="str">
        <f t="shared" si="25"/>
        <v/>
      </c>
      <c r="I1606" s="29"/>
    </row>
    <row r="1607" spans="1:9">
      <c r="A1607" s="33"/>
      <c r="B1607" s="29"/>
      <c r="C1607" s="29"/>
      <c r="D1607" s="30"/>
      <c r="E1607" s="30"/>
      <c r="F1607" s="35"/>
      <c r="G1607" s="35"/>
      <c r="H1607" s="35" t="str">
        <f t="shared" si="25"/>
        <v/>
      </c>
      <c r="I1607" s="29"/>
    </row>
    <row r="1608" spans="1:9">
      <c r="A1608" s="33"/>
      <c r="B1608" s="29"/>
      <c r="C1608" s="29"/>
      <c r="D1608" s="30"/>
      <c r="E1608" s="30"/>
      <c r="F1608" s="35"/>
      <c r="G1608" s="35"/>
      <c r="H1608" s="35" t="str">
        <f t="shared" si="25"/>
        <v/>
      </c>
      <c r="I1608" s="29"/>
    </row>
    <row r="1609" spans="1:9">
      <c r="A1609" s="33"/>
      <c r="B1609" s="29"/>
      <c r="C1609" s="29"/>
      <c r="D1609" s="30"/>
      <c r="E1609" s="30"/>
      <c r="F1609" s="35"/>
      <c r="G1609" s="35"/>
      <c r="H1609" s="35" t="str">
        <f t="shared" si="25"/>
        <v/>
      </c>
      <c r="I1609" s="29"/>
    </row>
    <row r="1610" spans="1:9">
      <c r="A1610" s="33"/>
      <c r="B1610" s="29"/>
      <c r="C1610" s="29"/>
      <c r="D1610" s="30"/>
      <c r="E1610" s="30"/>
      <c r="F1610" s="35"/>
      <c r="G1610" s="35"/>
      <c r="H1610" s="35" t="str">
        <f t="shared" si="25"/>
        <v/>
      </c>
      <c r="I1610" s="29"/>
    </row>
    <row r="1611" spans="1:9">
      <c r="A1611" s="33"/>
      <c r="B1611" s="29"/>
      <c r="C1611" s="29"/>
      <c r="D1611" s="30"/>
      <c r="E1611" s="30"/>
      <c r="F1611" s="35"/>
      <c r="G1611" s="35"/>
      <c r="H1611" s="35" t="str">
        <f t="shared" si="25"/>
        <v/>
      </c>
      <c r="I1611" s="29"/>
    </row>
    <row r="1612" spans="1:9">
      <c r="A1612" s="33"/>
      <c r="B1612" s="29"/>
      <c r="C1612" s="29"/>
      <c r="D1612" s="30"/>
      <c r="E1612" s="30"/>
      <c r="F1612" s="35"/>
      <c r="G1612" s="35"/>
      <c r="H1612" s="35" t="str">
        <f t="shared" si="25"/>
        <v/>
      </c>
      <c r="I1612" s="29"/>
    </row>
    <row r="1613" spans="1:9">
      <c r="A1613" s="33"/>
      <c r="B1613" s="29"/>
      <c r="C1613" s="29"/>
      <c r="D1613" s="30"/>
      <c r="E1613" s="30"/>
      <c r="F1613" s="35"/>
      <c r="G1613" s="35"/>
      <c r="H1613" s="35" t="str">
        <f t="shared" si="25"/>
        <v/>
      </c>
      <c r="I1613" s="29"/>
    </row>
    <row r="1614" spans="1:9">
      <c r="A1614" s="33"/>
      <c r="B1614" s="29"/>
      <c r="C1614" s="29"/>
      <c r="D1614" s="30"/>
      <c r="E1614" s="30"/>
      <c r="F1614" s="35"/>
      <c r="G1614" s="35"/>
      <c r="H1614" s="35" t="str">
        <f t="shared" si="25"/>
        <v/>
      </c>
      <c r="I1614" s="29"/>
    </row>
    <row r="1615" spans="1:9">
      <c r="A1615" s="33"/>
      <c r="B1615" s="29"/>
      <c r="C1615" s="29"/>
      <c r="D1615" s="30"/>
      <c r="E1615" s="30"/>
      <c r="F1615" s="35"/>
      <c r="G1615" s="35"/>
      <c r="H1615" s="35" t="str">
        <f t="shared" si="25"/>
        <v/>
      </c>
      <c r="I1615" s="29"/>
    </row>
    <row r="1616" spans="1:9">
      <c r="A1616" s="33"/>
      <c r="B1616" s="29"/>
      <c r="C1616" s="29"/>
      <c r="D1616" s="30"/>
      <c r="E1616" s="30"/>
      <c r="F1616" s="35"/>
      <c r="G1616" s="35"/>
      <c r="H1616" s="35" t="str">
        <f t="shared" si="25"/>
        <v/>
      </c>
      <c r="I1616" s="29"/>
    </row>
    <row r="1617" spans="1:9">
      <c r="A1617" s="33"/>
      <c r="B1617" s="29"/>
      <c r="C1617" s="29"/>
      <c r="D1617" s="30"/>
      <c r="E1617" s="30"/>
      <c r="F1617" s="35"/>
      <c r="G1617" s="35"/>
      <c r="H1617" s="35" t="str">
        <f t="shared" si="25"/>
        <v/>
      </c>
      <c r="I1617" s="29"/>
    </row>
    <row r="1618" spans="1:9">
      <c r="A1618" s="33"/>
      <c r="B1618" s="29"/>
      <c r="C1618" s="29"/>
      <c r="D1618" s="30"/>
      <c r="E1618" s="30"/>
      <c r="F1618" s="35"/>
      <c r="G1618" s="35"/>
      <c r="H1618" s="35" t="str">
        <f t="shared" si="25"/>
        <v/>
      </c>
      <c r="I1618" s="29"/>
    </row>
    <row r="1619" spans="1:9">
      <c r="A1619" s="33"/>
      <c r="B1619" s="29"/>
      <c r="C1619" s="29"/>
      <c r="D1619" s="30"/>
      <c r="E1619" s="30"/>
      <c r="F1619" s="35"/>
      <c r="G1619" s="35"/>
      <c r="H1619" s="35" t="str">
        <f t="shared" si="25"/>
        <v/>
      </c>
      <c r="I1619" s="29"/>
    </row>
    <row r="1620" spans="1:9">
      <c r="A1620" s="33"/>
      <c r="B1620" s="29"/>
      <c r="C1620" s="29"/>
      <c r="D1620" s="30"/>
      <c r="E1620" s="30"/>
      <c r="F1620" s="35"/>
      <c r="G1620" s="35"/>
      <c r="H1620" s="35" t="str">
        <f t="shared" si="25"/>
        <v/>
      </c>
      <c r="I1620" s="29"/>
    </row>
    <row r="1621" spans="1:9">
      <c r="A1621" s="33"/>
      <c r="B1621" s="29"/>
      <c r="C1621" s="29"/>
      <c r="D1621" s="30"/>
      <c r="E1621" s="30"/>
      <c r="F1621" s="35"/>
      <c r="G1621" s="35"/>
      <c r="H1621" s="35" t="str">
        <f t="shared" si="25"/>
        <v/>
      </c>
      <c r="I1621" s="29"/>
    </row>
    <row r="1622" spans="1:9">
      <c r="A1622" s="33"/>
      <c r="B1622" s="29"/>
      <c r="C1622" s="29"/>
      <c r="D1622" s="30"/>
      <c r="E1622" s="30"/>
      <c r="F1622" s="35"/>
      <c r="G1622" s="35"/>
      <c r="H1622" s="35" t="str">
        <f t="shared" si="25"/>
        <v/>
      </c>
      <c r="I1622" s="29"/>
    </row>
    <row r="1623" spans="1:9">
      <c r="A1623" s="33"/>
      <c r="B1623" s="29"/>
      <c r="C1623" s="29"/>
      <c r="D1623" s="30"/>
      <c r="E1623" s="30"/>
      <c r="F1623" s="35"/>
      <c r="G1623" s="35"/>
      <c r="H1623" s="35" t="str">
        <f t="shared" si="25"/>
        <v/>
      </c>
      <c r="I1623" s="29"/>
    </row>
    <row r="1624" spans="1:9">
      <c r="A1624" s="33"/>
      <c r="B1624" s="29"/>
      <c r="C1624" s="29"/>
      <c r="D1624" s="30"/>
      <c r="E1624" s="30"/>
      <c r="F1624" s="35"/>
      <c r="G1624" s="35"/>
      <c r="H1624" s="35" t="str">
        <f t="shared" si="25"/>
        <v/>
      </c>
      <c r="I1624" s="29"/>
    </row>
    <row r="1625" spans="1:9">
      <c r="A1625" s="33"/>
      <c r="B1625" s="29"/>
      <c r="C1625" s="29"/>
      <c r="D1625" s="30"/>
      <c r="E1625" s="30"/>
      <c r="F1625" s="35"/>
      <c r="G1625" s="35"/>
      <c r="H1625" s="35" t="str">
        <f t="shared" si="25"/>
        <v/>
      </c>
      <c r="I1625" s="29"/>
    </row>
    <row r="1626" spans="1:9">
      <c r="A1626" s="33"/>
      <c r="B1626" s="29"/>
      <c r="C1626" s="29"/>
      <c r="D1626" s="30"/>
      <c r="E1626" s="30"/>
      <c r="F1626" s="35"/>
      <c r="G1626" s="35"/>
      <c r="H1626" s="35" t="str">
        <f t="shared" si="25"/>
        <v/>
      </c>
      <c r="I1626" s="29"/>
    </row>
    <row r="1627" spans="1:9">
      <c r="A1627" s="33"/>
      <c r="B1627" s="29"/>
      <c r="C1627" s="29"/>
      <c r="D1627" s="30"/>
      <c r="E1627" s="30"/>
      <c r="F1627" s="35"/>
      <c r="G1627" s="35"/>
      <c r="H1627" s="35" t="str">
        <f t="shared" si="25"/>
        <v/>
      </c>
      <c r="I1627" s="29"/>
    </row>
    <row r="1628" spans="1:9">
      <c r="A1628" s="33"/>
      <c r="B1628" s="29"/>
      <c r="C1628" s="29"/>
      <c r="D1628" s="30"/>
      <c r="E1628" s="30"/>
      <c r="F1628" s="35"/>
      <c r="G1628" s="35"/>
      <c r="H1628" s="35" t="str">
        <f t="shared" si="25"/>
        <v/>
      </c>
      <c r="I1628" s="29"/>
    </row>
    <row r="1629" spans="1:9">
      <c r="A1629" s="33"/>
      <c r="B1629" s="29"/>
      <c r="C1629" s="29"/>
      <c r="D1629" s="30"/>
      <c r="E1629" s="30"/>
      <c r="F1629" s="35"/>
      <c r="G1629" s="35"/>
      <c r="H1629" s="35" t="str">
        <f t="shared" si="25"/>
        <v/>
      </c>
      <c r="I1629" s="29"/>
    </row>
    <row r="1630" spans="1:9">
      <c r="A1630" s="33"/>
      <c r="B1630" s="29"/>
      <c r="C1630" s="29"/>
      <c r="D1630" s="30"/>
      <c r="E1630" s="30"/>
      <c r="F1630" s="35"/>
      <c r="G1630" s="35"/>
      <c r="H1630" s="35" t="str">
        <f t="shared" si="25"/>
        <v/>
      </c>
      <c r="I1630" s="29"/>
    </row>
    <row r="1631" spans="1:9">
      <c r="A1631" s="33"/>
      <c r="B1631" s="29"/>
      <c r="C1631" s="29"/>
      <c r="D1631" s="30"/>
      <c r="E1631" s="30"/>
      <c r="F1631" s="35"/>
      <c r="G1631" s="35"/>
      <c r="H1631" s="35" t="str">
        <f t="shared" si="25"/>
        <v/>
      </c>
      <c r="I1631" s="29"/>
    </row>
    <row r="1632" spans="1:9">
      <c r="A1632" s="33"/>
      <c r="B1632" s="29"/>
      <c r="C1632" s="29"/>
      <c r="D1632" s="30"/>
      <c r="E1632" s="30"/>
      <c r="F1632" s="35"/>
      <c r="G1632" s="35"/>
      <c r="H1632" s="35" t="str">
        <f t="shared" si="25"/>
        <v/>
      </c>
      <c r="I1632" s="29"/>
    </row>
    <row r="1633" spans="1:9">
      <c r="A1633" s="33"/>
      <c r="B1633" s="29"/>
      <c r="C1633" s="29"/>
      <c r="D1633" s="30"/>
      <c r="E1633" s="30"/>
      <c r="F1633" s="35"/>
      <c r="G1633" s="35"/>
      <c r="H1633" s="35" t="str">
        <f t="shared" si="25"/>
        <v/>
      </c>
      <c r="I1633" s="29"/>
    </row>
    <row r="1634" spans="1:9">
      <c r="A1634" s="33"/>
      <c r="B1634" s="29"/>
      <c r="C1634" s="29"/>
      <c r="D1634" s="30"/>
      <c r="E1634" s="30"/>
      <c r="F1634" s="35"/>
      <c r="G1634" s="35"/>
      <c r="H1634" s="35" t="str">
        <f t="shared" si="25"/>
        <v/>
      </c>
      <c r="I1634" s="29"/>
    </row>
    <row r="1635" spans="1:9">
      <c r="A1635" s="33"/>
      <c r="B1635" s="29"/>
      <c r="C1635" s="29"/>
      <c r="D1635" s="30"/>
      <c r="E1635" s="30"/>
      <c r="F1635" s="35"/>
      <c r="G1635" s="35"/>
      <c r="H1635" s="35" t="str">
        <f t="shared" si="25"/>
        <v/>
      </c>
      <c r="I1635" s="29"/>
    </row>
    <row r="1636" spans="1:9">
      <c r="A1636" s="33"/>
      <c r="B1636" s="29"/>
      <c r="C1636" s="29"/>
      <c r="D1636" s="30"/>
      <c r="E1636" s="30"/>
      <c r="F1636" s="35"/>
      <c r="G1636" s="35"/>
      <c r="H1636" s="35" t="str">
        <f t="shared" si="25"/>
        <v/>
      </c>
      <c r="I1636" s="29"/>
    </row>
    <row r="1637" spans="1:9">
      <c r="A1637" s="33"/>
      <c r="B1637" s="29"/>
      <c r="C1637" s="29"/>
      <c r="D1637" s="30"/>
      <c r="E1637" s="30"/>
      <c r="F1637" s="35"/>
      <c r="G1637" s="35"/>
      <c r="H1637" s="35" t="str">
        <f t="shared" si="25"/>
        <v/>
      </c>
      <c r="I1637" s="29"/>
    </row>
    <row r="1638" spans="1:9">
      <c r="A1638" s="33"/>
      <c r="B1638" s="29"/>
      <c r="C1638" s="29"/>
      <c r="D1638" s="30"/>
      <c r="E1638" s="30"/>
      <c r="F1638" s="35"/>
      <c r="G1638" s="35"/>
      <c r="H1638" s="35" t="str">
        <f t="shared" si="25"/>
        <v/>
      </c>
      <c r="I1638" s="29"/>
    </row>
    <row r="1639" spans="1:9">
      <c r="A1639" s="33"/>
      <c r="B1639" s="29"/>
      <c r="C1639" s="29"/>
      <c r="D1639" s="30"/>
      <c r="E1639" s="30"/>
      <c r="F1639" s="35"/>
      <c r="G1639" s="35"/>
      <c r="H1639" s="35" t="str">
        <f t="shared" si="25"/>
        <v/>
      </c>
      <c r="I1639" s="29"/>
    </row>
    <row r="1640" spans="1:9">
      <c r="A1640" s="33"/>
      <c r="B1640" s="29"/>
      <c r="C1640" s="29"/>
      <c r="D1640" s="30"/>
      <c r="E1640" s="30"/>
      <c r="F1640" s="35"/>
      <c r="G1640" s="35"/>
      <c r="H1640" s="35" t="str">
        <f t="shared" si="25"/>
        <v/>
      </c>
      <c r="I1640" s="29"/>
    </row>
    <row r="1641" spans="1:9">
      <c r="A1641" s="33"/>
      <c r="B1641" s="29"/>
      <c r="C1641" s="29"/>
      <c r="D1641" s="30"/>
      <c r="E1641" s="30"/>
      <c r="F1641" s="35"/>
      <c r="G1641" s="35"/>
      <c r="H1641" s="35" t="str">
        <f t="shared" si="25"/>
        <v/>
      </c>
      <c r="I1641" s="29"/>
    </row>
    <row r="1642" spans="1:9">
      <c r="A1642" s="33"/>
      <c r="B1642" s="29"/>
      <c r="C1642" s="29"/>
      <c r="D1642" s="30"/>
      <c r="E1642" s="30"/>
      <c r="F1642" s="35"/>
      <c r="G1642" s="35"/>
      <c r="H1642" s="35" t="str">
        <f t="shared" si="25"/>
        <v/>
      </c>
      <c r="I1642" s="29"/>
    </row>
    <row r="1643" spans="1:9">
      <c r="A1643" s="33"/>
      <c r="B1643" s="29"/>
      <c r="C1643" s="29"/>
      <c r="D1643" s="30"/>
      <c r="E1643" s="30"/>
      <c r="F1643" s="35"/>
      <c r="G1643" s="35"/>
      <c r="H1643" s="35" t="str">
        <f t="shared" si="25"/>
        <v/>
      </c>
      <c r="I1643" s="29"/>
    </row>
    <row r="1644" spans="1:9">
      <c r="A1644" s="33"/>
      <c r="B1644" s="29"/>
      <c r="C1644" s="29"/>
      <c r="D1644" s="30"/>
      <c r="E1644" s="30"/>
      <c r="F1644" s="35"/>
      <c r="G1644" s="35"/>
      <c r="H1644" s="35" t="str">
        <f t="shared" si="25"/>
        <v/>
      </c>
      <c r="I1644" s="29"/>
    </row>
    <row r="1645" spans="1:9">
      <c r="A1645" s="33"/>
      <c r="B1645" s="29"/>
      <c r="C1645" s="29"/>
      <c r="D1645" s="30"/>
      <c r="E1645" s="30"/>
      <c r="F1645" s="35"/>
      <c r="G1645" s="35"/>
      <c r="H1645" s="35" t="str">
        <f t="shared" si="25"/>
        <v/>
      </c>
      <c r="I1645" s="29"/>
    </row>
    <row r="1646" spans="1:9">
      <c r="A1646" s="33"/>
      <c r="B1646" s="29"/>
      <c r="C1646" s="29"/>
      <c r="D1646" s="30"/>
      <c r="E1646" s="30"/>
      <c r="F1646" s="35"/>
      <c r="G1646" s="35"/>
      <c r="H1646" s="35" t="str">
        <f t="shared" si="25"/>
        <v/>
      </c>
      <c r="I1646" s="29"/>
    </row>
    <row r="1647" spans="1:9">
      <c r="A1647" s="33"/>
      <c r="B1647" s="29"/>
      <c r="C1647" s="29"/>
      <c r="D1647" s="30"/>
      <c r="E1647" s="30"/>
      <c r="F1647" s="35"/>
      <c r="G1647" s="35"/>
      <c r="H1647" s="35" t="str">
        <f t="shared" si="25"/>
        <v/>
      </c>
      <c r="I1647" s="29"/>
    </row>
    <row r="1648" spans="1:9">
      <c r="A1648" s="33"/>
      <c r="B1648" s="29"/>
      <c r="C1648" s="29"/>
      <c r="D1648" s="30"/>
      <c r="E1648" s="30"/>
      <c r="F1648" s="35"/>
      <c r="G1648" s="35"/>
      <c r="H1648" s="35" t="str">
        <f t="shared" si="25"/>
        <v/>
      </c>
      <c r="I1648" s="29"/>
    </row>
    <row r="1649" spans="1:9">
      <c r="A1649" s="33"/>
      <c r="B1649" s="29"/>
      <c r="C1649" s="29"/>
      <c r="D1649" s="30"/>
      <c r="E1649" s="30"/>
      <c r="F1649" s="35"/>
      <c r="G1649" s="35"/>
      <c r="H1649" s="35" t="str">
        <f t="shared" si="25"/>
        <v/>
      </c>
      <c r="I1649" s="29"/>
    </row>
    <row r="1650" spans="1:9">
      <c r="A1650" s="33"/>
      <c r="B1650" s="29"/>
      <c r="C1650" s="29"/>
      <c r="D1650" s="30"/>
      <c r="E1650" s="30"/>
      <c r="F1650" s="35"/>
      <c r="G1650" s="35"/>
      <c r="H1650" s="35" t="str">
        <f t="shared" si="25"/>
        <v/>
      </c>
      <c r="I1650" s="29"/>
    </row>
    <row r="1651" spans="1:9">
      <c r="A1651" s="33"/>
      <c r="B1651" s="29"/>
      <c r="C1651" s="29"/>
      <c r="D1651" s="30"/>
      <c r="E1651" s="30"/>
      <c r="F1651" s="35"/>
      <c r="G1651" s="35"/>
      <c r="H1651" s="35" t="str">
        <f t="shared" si="25"/>
        <v/>
      </c>
      <c r="I1651" s="29"/>
    </row>
    <row r="1652" spans="1:9">
      <c r="A1652" s="33"/>
      <c r="B1652" s="29"/>
      <c r="C1652" s="29"/>
      <c r="D1652" s="30"/>
      <c r="E1652" s="30"/>
      <c r="F1652" s="35"/>
      <c r="G1652" s="35"/>
      <c r="H1652" s="35" t="str">
        <f t="shared" si="25"/>
        <v/>
      </c>
      <c r="I1652" s="29"/>
    </row>
    <row r="1653" spans="1:9">
      <c r="A1653" s="33"/>
      <c r="B1653" s="29"/>
      <c r="C1653" s="29"/>
      <c r="D1653" s="30"/>
      <c r="E1653" s="30"/>
      <c r="F1653" s="35"/>
      <c r="G1653" s="35"/>
      <c r="H1653" s="35" t="str">
        <f t="shared" si="25"/>
        <v/>
      </c>
      <c r="I1653" s="29"/>
    </row>
    <row r="1654" spans="1:9">
      <c r="A1654" s="33"/>
      <c r="B1654" s="29"/>
      <c r="C1654" s="29"/>
      <c r="D1654" s="30"/>
      <c r="E1654" s="30"/>
      <c r="F1654" s="35"/>
      <c r="G1654" s="35"/>
      <c r="H1654" s="35" t="str">
        <f t="shared" si="25"/>
        <v/>
      </c>
      <c r="I1654" s="29"/>
    </row>
    <row r="1655" spans="1:9">
      <c r="A1655" s="33"/>
      <c r="B1655" s="29"/>
      <c r="C1655" s="29"/>
      <c r="D1655" s="30"/>
      <c r="E1655" s="30"/>
      <c r="F1655" s="35"/>
      <c r="G1655" s="35"/>
      <c r="H1655" s="35" t="str">
        <f t="shared" si="25"/>
        <v/>
      </c>
      <c r="I1655" s="29"/>
    </row>
    <row r="1656" spans="1:9">
      <c r="A1656" s="33"/>
      <c r="B1656" s="29"/>
      <c r="C1656" s="29"/>
      <c r="D1656" s="30"/>
      <c r="E1656" s="30"/>
      <c r="F1656" s="35"/>
      <c r="G1656" s="35"/>
      <c r="H1656" s="35" t="str">
        <f t="shared" si="25"/>
        <v/>
      </c>
      <c r="I1656" s="29"/>
    </row>
    <row r="1657" spans="1:9">
      <c r="A1657" s="33"/>
      <c r="B1657" s="29"/>
      <c r="C1657" s="29"/>
      <c r="D1657" s="30"/>
      <c r="E1657" s="30"/>
      <c r="F1657" s="35"/>
      <c r="G1657" s="35"/>
      <c r="H1657" s="35" t="str">
        <f t="shared" si="25"/>
        <v/>
      </c>
      <c r="I1657" s="29"/>
    </row>
    <row r="1658" spans="1:9">
      <c r="A1658" s="33"/>
      <c r="B1658" s="29"/>
      <c r="C1658" s="29"/>
      <c r="D1658" s="30"/>
      <c r="E1658" s="30"/>
      <c r="F1658" s="35"/>
      <c r="G1658" s="35"/>
      <c r="H1658" s="35" t="str">
        <f t="shared" si="25"/>
        <v/>
      </c>
      <c r="I1658" s="29"/>
    </row>
    <row r="1659" spans="1:9">
      <c r="A1659" s="33"/>
      <c r="B1659" s="29"/>
      <c r="C1659" s="29"/>
      <c r="D1659" s="30"/>
      <c r="E1659" s="30"/>
      <c r="F1659" s="35"/>
      <c r="G1659" s="35"/>
      <c r="H1659" s="35" t="str">
        <f t="shared" si="25"/>
        <v/>
      </c>
      <c r="I1659" s="29"/>
    </row>
    <row r="1660" spans="1:9">
      <c r="A1660" s="33"/>
      <c r="B1660" s="29"/>
      <c r="C1660" s="29"/>
      <c r="D1660" s="30"/>
      <c r="E1660" s="30"/>
      <c r="F1660" s="35"/>
      <c r="G1660" s="35"/>
      <c r="H1660" s="35" t="str">
        <f t="shared" si="25"/>
        <v/>
      </c>
      <c r="I1660" s="29"/>
    </row>
    <row r="1661" spans="1:9">
      <c r="A1661" s="33"/>
      <c r="B1661" s="29"/>
      <c r="C1661" s="29"/>
      <c r="D1661" s="30"/>
      <c r="E1661" s="30"/>
      <c r="F1661" s="35"/>
      <c r="G1661" s="35"/>
      <c r="H1661" s="35" t="str">
        <f t="shared" si="25"/>
        <v/>
      </c>
      <c r="I1661" s="29"/>
    </row>
    <row r="1662" spans="1:9">
      <c r="A1662" s="33"/>
      <c r="B1662" s="29"/>
      <c r="C1662" s="29"/>
      <c r="D1662" s="30"/>
      <c r="E1662" s="30"/>
      <c r="F1662" s="35"/>
      <c r="G1662" s="35"/>
      <c r="H1662" s="35" t="str">
        <f t="shared" si="25"/>
        <v/>
      </c>
      <c r="I1662" s="29"/>
    </row>
    <row r="1663" spans="1:9">
      <c r="A1663" s="33"/>
      <c r="B1663" s="29"/>
      <c r="C1663" s="29"/>
      <c r="D1663" s="30"/>
      <c r="E1663" s="30"/>
      <c r="F1663" s="35"/>
      <c r="G1663" s="35"/>
      <c r="H1663" s="35" t="str">
        <f t="shared" si="25"/>
        <v/>
      </c>
      <c r="I1663" s="29"/>
    </row>
    <row r="1664" spans="1:9">
      <c r="A1664" s="33"/>
      <c r="B1664" s="29"/>
      <c r="C1664" s="29"/>
      <c r="D1664" s="30"/>
      <c r="E1664" s="30"/>
      <c r="F1664" s="35"/>
      <c r="G1664" s="35"/>
      <c r="H1664" s="35" t="str">
        <f t="shared" si="25"/>
        <v/>
      </c>
      <c r="I1664" s="29"/>
    </row>
    <row r="1665" spans="1:9">
      <c r="A1665" s="33"/>
      <c r="B1665" s="29"/>
      <c r="C1665" s="29"/>
      <c r="D1665" s="30"/>
      <c r="E1665" s="30"/>
      <c r="F1665" s="35"/>
      <c r="G1665" s="35"/>
      <c r="H1665" s="35" t="str">
        <f t="shared" si="25"/>
        <v/>
      </c>
      <c r="I1665" s="29"/>
    </row>
    <row r="1666" spans="1:9">
      <c r="A1666" s="33"/>
      <c r="B1666" s="29"/>
      <c r="C1666" s="29"/>
      <c r="D1666" s="30"/>
      <c r="E1666" s="30"/>
      <c r="F1666" s="35"/>
      <c r="G1666" s="35"/>
      <c r="H1666" s="35" t="str">
        <f t="shared" si="25"/>
        <v/>
      </c>
      <c r="I1666" s="29"/>
    </row>
    <row r="1667" spans="1:9">
      <c r="A1667" s="33"/>
      <c r="B1667" s="29"/>
      <c r="C1667" s="29"/>
      <c r="D1667" s="30"/>
      <c r="E1667" s="30"/>
      <c r="F1667" s="35"/>
      <c r="G1667" s="35"/>
      <c r="H1667" s="35" t="str">
        <f t="shared" si="25"/>
        <v/>
      </c>
      <c r="I1667" s="29"/>
    </row>
    <row r="1668" spans="1:9">
      <c r="A1668" s="33"/>
      <c r="B1668" s="29"/>
      <c r="C1668" s="29"/>
      <c r="D1668" s="30"/>
      <c r="E1668" s="30"/>
      <c r="F1668" s="35"/>
      <c r="G1668" s="35"/>
      <c r="H1668" s="35" t="str">
        <f t="shared" ref="H1668:H1731" si="26">IF(F1668="","",F1668-G1668)</f>
        <v/>
      </c>
      <c r="I1668" s="29"/>
    </row>
    <row r="1669" spans="1:9">
      <c r="A1669" s="33"/>
      <c r="B1669" s="29"/>
      <c r="C1669" s="29"/>
      <c r="D1669" s="30"/>
      <c r="E1669" s="30"/>
      <c r="F1669" s="35"/>
      <c r="G1669" s="35"/>
      <c r="H1669" s="35" t="str">
        <f t="shared" si="26"/>
        <v/>
      </c>
      <c r="I1669" s="29"/>
    </row>
    <row r="1670" spans="1:9">
      <c r="A1670" s="33"/>
      <c r="B1670" s="29"/>
      <c r="C1670" s="29"/>
      <c r="D1670" s="30"/>
      <c r="E1670" s="30"/>
      <c r="F1670" s="35"/>
      <c r="G1670" s="35"/>
      <c r="H1670" s="35" t="str">
        <f t="shared" si="26"/>
        <v/>
      </c>
      <c r="I1670" s="29"/>
    </row>
    <row r="1671" spans="1:9">
      <c r="A1671" s="33"/>
      <c r="B1671" s="29"/>
      <c r="C1671" s="29"/>
      <c r="D1671" s="30"/>
      <c r="E1671" s="30"/>
      <c r="F1671" s="35"/>
      <c r="G1671" s="35"/>
      <c r="H1671" s="35" t="str">
        <f t="shared" si="26"/>
        <v/>
      </c>
      <c r="I1671" s="29"/>
    </row>
    <row r="1672" spans="1:9">
      <c r="A1672" s="33"/>
      <c r="B1672" s="29"/>
      <c r="C1672" s="29"/>
      <c r="D1672" s="30"/>
      <c r="E1672" s="30"/>
      <c r="F1672" s="35"/>
      <c r="G1672" s="35"/>
      <c r="H1672" s="35" t="str">
        <f t="shared" si="26"/>
        <v/>
      </c>
      <c r="I1672" s="29"/>
    </row>
    <row r="1673" spans="1:9">
      <c r="A1673" s="33"/>
      <c r="B1673" s="29"/>
      <c r="C1673" s="29"/>
      <c r="D1673" s="30"/>
      <c r="E1673" s="30"/>
      <c r="F1673" s="35"/>
      <c r="G1673" s="35"/>
      <c r="H1673" s="35" t="str">
        <f t="shared" si="26"/>
        <v/>
      </c>
      <c r="I1673" s="29"/>
    </row>
    <row r="1674" spans="1:9">
      <c r="A1674" s="33"/>
      <c r="B1674" s="29"/>
      <c r="C1674" s="29"/>
      <c r="D1674" s="30"/>
      <c r="E1674" s="30"/>
      <c r="F1674" s="35"/>
      <c r="G1674" s="35"/>
      <c r="H1674" s="35" t="str">
        <f t="shared" si="26"/>
        <v/>
      </c>
      <c r="I1674" s="29"/>
    </row>
    <row r="1675" spans="1:9">
      <c r="A1675" s="33"/>
      <c r="B1675" s="29"/>
      <c r="C1675" s="29"/>
      <c r="D1675" s="30"/>
      <c r="E1675" s="30"/>
      <c r="F1675" s="35"/>
      <c r="G1675" s="35"/>
      <c r="H1675" s="35" t="str">
        <f t="shared" si="26"/>
        <v/>
      </c>
      <c r="I1675" s="29"/>
    </row>
    <row r="1676" spans="1:9">
      <c r="A1676" s="33"/>
      <c r="B1676" s="29"/>
      <c r="C1676" s="29"/>
      <c r="D1676" s="30"/>
      <c r="E1676" s="30"/>
      <c r="F1676" s="35"/>
      <c r="G1676" s="35"/>
      <c r="H1676" s="35" t="str">
        <f t="shared" si="26"/>
        <v/>
      </c>
      <c r="I1676" s="29"/>
    </row>
    <row r="1677" spans="1:9">
      <c r="A1677" s="33"/>
      <c r="B1677" s="29"/>
      <c r="C1677" s="29"/>
      <c r="D1677" s="30"/>
      <c r="E1677" s="30"/>
      <c r="F1677" s="35"/>
      <c r="G1677" s="35"/>
      <c r="H1677" s="35" t="str">
        <f t="shared" si="26"/>
        <v/>
      </c>
      <c r="I1677" s="29"/>
    </row>
    <row r="1678" spans="1:9">
      <c r="A1678" s="33"/>
      <c r="B1678" s="29"/>
      <c r="C1678" s="29"/>
      <c r="D1678" s="30"/>
      <c r="E1678" s="30"/>
      <c r="F1678" s="35"/>
      <c r="G1678" s="35"/>
      <c r="H1678" s="35" t="str">
        <f t="shared" si="26"/>
        <v/>
      </c>
      <c r="I1678" s="29"/>
    </row>
    <row r="1679" spans="1:9">
      <c r="A1679" s="33"/>
      <c r="B1679" s="29"/>
      <c r="C1679" s="29"/>
      <c r="D1679" s="30"/>
      <c r="E1679" s="30"/>
      <c r="F1679" s="35"/>
      <c r="G1679" s="35"/>
      <c r="H1679" s="35" t="str">
        <f t="shared" si="26"/>
        <v/>
      </c>
      <c r="I1679" s="29"/>
    </row>
    <row r="1680" spans="1:9">
      <c r="A1680" s="33"/>
      <c r="B1680" s="29"/>
      <c r="C1680" s="29"/>
      <c r="D1680" s="30"/>
      <c r="E1680" s="30"/>
      <c r="F1680" s="35"/>
      <c r="G1680" s="35"/>
      <c r="H1680" s="35" t="str">
        <f t="shared" si="26"/>
        <v/>
      </c>
      <c r="I1680" s="29"/>
    </row>
    <row r="1681" spans="1:9">
      <c r="A1681" s="33"/>
      <c r="B1681" s="29"/>
      <c r="C1681" s="29"/>
      <c r="D1681" s="30"/>
      <c r="E1681" s="30"/>
      <c r="F1681" s="35"/>
      <c r="G1681" s="35"/>
      <c r="H1681" s="35" t="str">
        <f t="shared" si="26"/>
        <v/>
      </c>
      <c r="I1681" s="29"/>
    </row>
    <row r="1682" spans="1:9">
      <c r="A1682" s="33"/>
      <c r="B1682" s="29"/>
      <c r="C1682" s="29"/>
      <c r="D1682" s="30"/>
      <c r="E1682" s="30"/>
      <c r="F1682" s="35"/>
      <c r="G1682" s="35"/>
      <c r="H1682" s="35" t="str">
        <f t="shared" si="26"/>
        <v/>
      </c>
      <c r="I1682" s="29"/>
    </row>
    <row r="1683" spans="1:9">
      <c r="A1683" s="33"/>
      <c r="B1683" s="29"/>
      <c r="C1683" s="29"/>
      <c r="D1683" s="30"/>
      <c r="E1683" s="30"/>
      <c r="F1683" s="35"/>
      <c r="G1683" s="35"/>
      <c r="H1683" s="35" t="str">
        <f t="shared" si="26"/>
        <v/>
      </c>
      <c r="I1683" s="29"/>
    </row>
    <row r="1684" spans="1:9">
      <c r="A1684" s="33"/>
      <c r="B1684" s="29"/>
      <c r="C1684" s="29"/>
      <c r="D1684" s="30"/>
      <c r="E1684" s="30"/>
      <c r="F1684" s="35"/>
      <c r="G1684" s="35"/>
      <c r="H1684" s="35" t="str">
        <f t="shared" si="26"/>
        <v/>
      </c>
      <c r="I1684" s="29"/>
    </row>
    <row r="1685" spans="1:9">
      <c r="A1685" s="33"/>
      <c r="B1685" s="29"/>
      <c r="C1685" s="29"/>
      <c r="D1685" s="30"/>
      <c r="E1685" s="30"/>
      <c r="F1685" s="35"/>
      <c r="G1685" s="35"/>
      <c r="H1685" s="35" t="str">
        <f t="shared" si="26"/>
        <v/>
      </c>
      <c r="I1685" s="29"/>
    </row>
    <row r="1686" spans="1:9">
      <c r="A1686" s="33"/>
      <c r="B1686" s="29"/>
      <c r="C1686" s="29"/>
      <c r="D1686" s="30"/>
      <c r="E1686" s="30"/>
      <c r="F1686" s="35"/>
      <c r="G1686" s="35"/>
      <c r="H1686" s="35" t="str">
        <f t="shared" si="26"/>
        <v/>
      </c>
      <c r="I1686" s="29"/>
    </row>
    <row r="1687" spans="1:9">
      <c r="A1687" s="33"/>
      <c r="B1687" s="29"/>
      <c r="C1687" s="29"/>
      <c r="D1687" s="30"/>
      <c r="E1687" s="30"/>
      <c r="F1687" s="35"/>
      <c r="G1687" s="35"/>
      <c r="H1687" s="35" t="str">
        <f t="shared" si="26"/>
        <v/>
      </c>
      <c r="I1687" s="29"/>
    </row>
    <row r="1688" spans="1:9">
      <c r="A1688" s="33"/>
      <c r="B1688" s="29"/>
      <c r="C1688" s="29"/>
      <c r="D1688" s="30"/>
      <c r="E1688" s="30"/>
      <c r="F1688" s="35"/>
      <c r="G1688" s="35"/>
      <c r="H1688" s="35" t="str">
        <f t="shared" si="26"/>
        <v/>
      </c>
      <c r="I1688" s="29"/>
    </row>
    <row r="1689" spans="1:9">
      <c r="A1689" s="33"/>
      <c r="B1689" s="29"/>
      <c r="C1689" s="29"/>
      <c r="D1689" s="30"/>
      <c r="E1689" s="30"/>
      <c r="F1689" s="35"/>
      <c r="G1689" s="35"/>
      <c r="H1689" s="35" t="str">
        <f t="shared" si="26"/>
        <v/>
      </c>
      <c r="I1689" s="29"/>
    </row>
    <row r="1690" spans="1:9">
      <c r="A1690" s="33"/>
      <c r="B1690" s="29"/>
      <c r="C1690" s="29"/>
      <c r="D1690" s="30"/>
      <c r="E1690" s="30"/>
      <c r="F1690" s="35"/>
      <c r="G1690" s="35"/>
      <c r="H1690" s="35" t="str">
        <f t="shared" si="26"/>
        <v/>
      </c>
      <c r="I1690" s="29"/>
    </row>
    <row r="1691" spans="1:9">
      <c r="A1691" s="33"/>
      <c r="B1691" s="29"/>
      <c r="C1691" s="29"/>
      <c r="D1691" s="30"/>
      <c r="E1691" s="30"/>
      <c r="F1691" s="35"/>
      <c r="G1691" s="35"/>
      <c r="H1691" s="35" t="str">
        <f t="shared" si="26"/>
        <v/>
      </c>
      <c r="I1691" s="29"/>
    </row>
    <row r="1692" spans="1:9">
      <c r="A1692" s="33"/>
      <c r="B1692" s="29"/>
      <c r="C1692" s="29"/>
      <c r="D1692" s="30"/>
      <c r="E1692" s="30"/>
      <c r="F1692" s="35"/>
      <c r="G1692" s="35"/>
      <c r="H1692" s="35" t="str">
        <f t="shared" si="26"/>
        <v/>
      </c>
      <c r="I1692" s="29"/>
    </row>
    <row r="1693" spans="1:9">
      <c r="A1693" s="33"/>
      <c r="B1693" s="29"/>
      <c r="C1693" s="29"/>
      <c r="D1693" s="30"/>
      <c r="E1693" s="30"/>
      <c r="F1693" s="35"/>
      <c r="G1693" s="35"/>
      <c r="H1693" s="35" t="str">
        <f t="shared" si="26"/>
        <v/>
      </c>
      <c r="I1693" s="29"/>
    </row>
    <row r="1694" spans="1:9">
      <c r="A1694" s="33"/>
      <c r="B1694" s="29"/>
      <c r="C1694" s="29"/>
      <c r="D1694" s="30"/>
      <c r="E1694" s="30"/>
      <c r="F1694" s="35"/>
      <c r="G1694" s="35"/>
      <c r="H1694" s="35" t="str">
        <f t="shared" si="26"/>
        <v/>
      </c>
      <c r="I1694" s="29"/>
    </row>
    <row r="1695" spans="1:9">
      <c r="A1695" s="33"/>
      <c r="B1695" s="29"/>
      <c r="C1695" s="29"/>
      <c r="D1695" s="30"/>
      <c r="E1695" s="30"/>
      <c r="F1695" s="35"/>
      <c r="G1695" s="35"/>
      <c r="H1695" s="35" t="str">
        <f t="shared" si="26"/>
        <v/>
      </c>
      <c r="I1695" s="29"/>
    </row>
    <row r="1696" spans="1:9">
      <c r="A1696" s="33"/>
      <c r="B1696" s="29"/>
      <c r="C1696" s="29"/>
      <c r="D1696" s="30"/>
      <c r="E1696" s="30"/>
      <c r="F1696" s="35"/>
      <c r="G1696" s="35"/>
      <c r="H1696" s="35" t="str">
        <f t="shared" si="26"/>
        <v/>
      </c>
      <c r="I1696" s="29"/>
    </row>
    <row r="1697" spans="1:9">
      <c r="A1697" s="33"/>
      <c r="B1697" s="29"/>
      <c r="C1697" s="29"/>
      <c r="D1697" s="30"/>
      <c r="E1697" s="30"/>
      <c r="F1697" s="35"/>
      <c r="G1697" s="35"/>
      <c r="H1697" s="35" t="str">
        <f t="shared" si="26"/>
        <v/>
      </c>
      <c r="I1697" s="29"/>
    </row>
    <row r="1698" spans="1:9">
      <c r="A1698" s="33"/>
      <c r="B1698" s="29"/>
      <c r="C1698" s="29"/>
      <c r="D1698" s="30"/>
      <c r="E1698" s="30"/>
      <c r="F1698" s="35"/>
      <c r="G1698" s="35"/>
      <c r="H1698" s="35" t="str">
        <f t="shared" si="26"/>
        <v/>
      </c>
      <c r="I1698" s="29"/>
    </row>
    <row r="1699" spans="1:9">
      <c r="A1699" s="33"/>
      <c r="B1699" s="29"/>
      <c r="C1699" s="29"/>
      <c r="D1699" s="30"/>
      <c r="E1699" s="30"/>
      <c r="F1699" s="35"/>
      <c r="G1699" s="35"/>
      <c r="H1699" s="35" t="str">
        <f t="shared" si="26"/>
        <v/>
      </c>
      <c r="I1699" s="29"/>
    </row>
    <row r="1700" spans="1:9">
      <c r="A1700" s="33"/>
      <c r="B1700" s="29"/>
      <c r="C1700" s="29"/>
      <c r="D1700" s="30"/>
      <c r="E1700" s="30"/>
      <c r="F1700" s="35"/>
      <c r="G1700" s="35"/>
      <c r="H1700" s="35" t="str">
        <f t="shared" si="26"/>
        <v/>
      </c>
      <c r="I1700" s="29"/>
    </row>
    <row r="1701" spans="1:9">
      <c r="A1701" s="33"/>
      <c r="B1701" s="29"/>
      <c r="C1701" s="29"/>
      <c r="D1701" s="30"/>
      <c r="E1701" s="30"/>
      <c r="F1701" s="35"/>
      <c r="G1701" s="35"/>
      <c r="H1701" s="35" t="str">
        <f t="shared" si="26"/>
        <v/>
      </c>
      <c r="I1701" s="29"/>
    </row>
    <row r="1702" spans="1:9">
      <c r="A1702" s="33"/>
      <c r="B1702" s="29"/>
      <c r="C1702" s="29"/>
      <c r="D1702" s="30"/>
      <c r="E1702" s="30"/>
      <c r="F1702" s="35"/>
      <c r="G1702" s="35"/>
      <c r="H1702" s="35" t="str">
        <f t="shared" si="26"/>
        <v/>
      </c>
      <c r="I1702" s="29"/>
    </row>
    <row r="1703" spans="1:9">
      <c r="A1703" s="33"/>
      <c r="B1703" s="29"/>
      <c r="C1703" s="29"/>
      <c r="D1703" s="30"/>
      <c r="E1703" s="30"/>
      <c r="F1703" s="35"/>
      <c r="G1703" s="35"/>
      <c r="H1703" s="35" t="str">
        <f t="shared" si="26"/>
        <v/>
      </c>
      <c r="I1703" s="29"/>
    </row>
    <row r="1704" spans="1:9">
      <c r="A1704" s="33"/>
      <c r="B1704" s="29"/>
      <c r="C1704" s="29"/>
      <c r="D1704" s="30"/>
      <c r="E1704" s="30"/>
      <c r="F1704" s="35"/>
      <c r="G1704" s="35"/>
      <c r="H1704" s="35" t="str">
        <f t="shared" si="26"/>
        <v/>
      </c>
      <c r="I1704" s="29"/>
    </row>
    <row r="1705" spans="1:9">
      <c r="A1705" s="33"/>
      <c r="B1705" s="29"/>
      <c r="C1705" s="29"/>
      <c r="D1705" s="30"/>
      <c r="E1705" s="30"/>
      <c r="F1705" s="35"/>
      <c r="G1705" s="35"/>
      <c r="H1705" s="35" t="str">
        <f t="shared" si="26"/>
        <v/>
      </c>
      <c r="I1705" s="29"/>
    </row>
    <row r="1706" spans="1:9">
      <c r="A1706" s="33"/>
      <c r="B1706" s="29"/>
      <c r="C1706" s="29"/>
      <c r="D1706" s="30"/>
      <c r="E1706" s="30"/>
      <c r="F1706" s="35"/>
      <c r="G1706" s="35"/>
      <c r="H1706" s="35" t="str">
        <f t="shared" si="26"/>
        <v/>
      </c>
      <c r="I1706" s="29"/>
    </row>
    <row r="1707" spans="1:9">
      <c r="A1707" s="33"/>
      <c r="B1707" s="29"/>
      <c r="C1707" s="29"/>
      <c r="D1707" s="30"/>
      <c r="E1707" s="30"/>
      <c r="F1707" s="35"/>
      <c r="G1707" s="35"/>
      <c r="H1707" s="35" t="str">
        <f t="shared" si="26"/>
        <v/>
      </c>
      <c r="I1707" s="29"/>
    </row>
    <row r="1708" spans="1:9">
      <c r="A1708" s="33"/>
      <c r="B1708" s="29"/>
      <c r="C1708" s="29"/>
      <c r="D1708" s="30"/>
      <c r="E1708" s="30"/>
      <c r="F1708" s="35"/>
      <c r="G1708" s="35"/>
      <c r="H1708" s="35" t="str">
        <f t="shared" si="26"/>
        <v/>
      </c>
      <c r="I1708" s="29"/>
    </row>
    <row r="1709" spans="1:9">
      <c r="A1709" s="33"/>
      <c r="B1709" s="29"/>
      <c r="C1709" s="29"/>
      <c r="D1709" s="30"/>
      <c r="E1709" s="30"/>
      <c r="F1709" s="35"/>
      <c r="G1709" s="35"/>
      <c r="H1709" s="35" t="str">
        <f t="shared" si="26"/>
        <v/>
      </c>
      <c r="I1709" s="29"/>
    </row>
    <row r="1710" spans="1:9">
      <c r="A1710" s="33"/>
      <c r="B1710" s="29"/>
      <c r="C1710" s="29"/>
      <c r="D1710" s="30"/>
      <c r="E1710" s="30"/>
      <c r="F1710" s="35"/>
      <c r="G1710" s="35"/>
      <c r="H1710" s="35" t="str">
        <f t="shared" si="26"/>
        <v/>
      </c>
      <c r="I1710" s="29"/>
    </row>
    <row r="1711" spans="1:9">
      <c r="A1711" s="33"/>
      <c r="B1711" s="29"/>
      <c r="C1711" s="29"/>
      <c r="D1711" s="30"/>
      <c r="E1711" s="30"/>
      <c r="F1711" s="35"/>
      <c r="G1711" s="35"/>
      <c r="H1711" s="35" t="str">
        <f t="shared" si="26"/>
        <v/>
      </c>
      <c r="I1711" s="29"/>
    </row>
    <row r="1712" spans="1:9">
      <c r="A1712" s="33"/>
      <c r="B1712" s="29"/>
      <c r="C1712" s="29"/>
      <c r="D1712" s="30"/>
      <c r="E1712" s="30"/>
      <c r="F1712" s="35"/>
      <c r="G1712" s="35"/>
      <c r="H1712" s="35" t="str">
        <f t="shared" si="26"/>
        <v/>
      </c>
      <c r="I1712" s="29"/>
    </row>
    <row r="1713" spans="1:9">
      <c r="A1713" s="33"/>
      <c r="B1713" s="29"/>
      <c r="C1713" s="29"/>
      <c r="D1713" s="30"/>
      <c r="E1713" s="30"/>
      <c r="F1713" s="35"/>
      <c r="G1713" s="35"/>
      <c r="H1713" s="35" t="str">
        <f t="shared" si="26"/>
        <v/>
      </c>
      <c r="I1713" s="29"/>
    </row>
    <row r="1714" spans="1:9">
      <c r="A1714" s="33"/>
      <c r="B1714" s="29"/>
      <c r="C1714" s="29"/>
      <c r="D1714" s="30"/>
      <c r="E1714" s="30"/>
      <c r="F1714" s="35"/>
      <c r="G1714" s="35"/>
      <c r="H1714" s="35" t="str">
        <f t="shared" si="26"/>
        <v/>
      </c>
      <c r="I1714" s="29"/>
    </row>
    <row r="1715" spans="1:9">
      <c r="A1715" s="33"/>
      <c r="B1715" s="29"/>
      <c r="C1715" s="29"/>
      <c r="D1715" s="30"/>
      <c r="E1715" s="30"/>
      <c r="F1715" s="35"/>
      <c r="G1715" s="35"/>
      <c r="H1715" s="35" t="str">
        <f t="shared" si="26"/>
        <v/>
      </c>
      <c r="I1715" s="29"/>
    </row>
    <row r="1716" spans="1:9">
      <c r="A1716" s="33"/>
      <c r="B1716" s="29"/>
      <c r="C1716" s="29"/>
      <c r="D1716" s="30"/>
      <c r="E1716" s="30"/>
      <c r="F1716" s="35"/>
      <c r="G1716" s="35"/>
      <c r="H1716" s="35" t="str">
        <f t="shared" si="26"/>
        <v/>
      </c>
      <c r="I1716" s="29"/>
    </row>
    <row r="1717" spans="1:9">
      <c r="A1717" s="33"/>
      <c r="B1717" s="29"/>
      <c r="C1717" s="29"/>
      <c r="D1717" s="30"/>
      <c r="E1717" s="30"/>
      <c r="F1717" s="35"/>
      <c r="G1717" s="35"/>
      <c r="H1717" s="35" t="str">
        <f t="shared" si="26"/>
        <v/>
      </c>
      <c r="I1717" s="29"/>
    </row>
    <row r="1718" spans="1:9">
      <c r="A1718" s="33"/>
      <c r="B1718" s="29"/>
      <c r="C1718" s="29"/>
      <c r="D1718" s="30"/>
      <c r="E1718" s="30"/>
      <c r="F1718" s="35"/>
      <c r="G1718" s="35"/>
      <c r="H1718" s="35" t="str">
        <f t="shared" si="26"/>
        <v/>
      </c>
      <c r="I1718" s="29"/>
    </row>
    <row r="1719" spans="1:9">
      <c r="A1719" s="33"/>
      <c r="B1719" s="29"/>
      <c r="C1719" s="29"/>
      <c r="D1719" s="30"/>
      <c r="E1719" s="30"/>
      <c r="F1719" s="35"/>
      <c r="G1719" s="35"/>
      <c r="H1719" s="35" t="str">
        <f t="shared" si="26"/>
        <v/>
      </c>
      <c r="I1719" s="29"/>
    </row>
    <row r="1720" spans="1:9">
      <c r="A1720" s="33"/>
      <c r="B1720" s="29"/>
      <c r="C1720" s="29"/>
      <c r="D1720" s="30"/>
      <c r="E1720" s="30"/>
      <c r="F1720" s="35"/>
      <c r="G1720" s="35"/>
      <c r="H1720" s="35" t="str">
        <f t="shared" si="26"/>
        <v/>
      </c>
      <c r="I1720" s="29"/>
    </row>
    <row r="1721" spans="1:9">
      <c r="A1721" s="33"/>
      <c r="B1721" s="29"/>
      <c r="C1721" s="29"/>
      <c r="D1721" s="30"/>
      <c r="E1721" s="30"/>
      <c r="F1721" s="35"/>
      <c r="G1721" s="35"/>
      <c r="H1721" s="35" t="str">
        <f t="shared" si="26"/>
        <v/>
      </c>
      <c r="I1721" s="29"/>
    </row>
    <row r="1722" spans="1:9">
      <c r="A1722" s="33"/>
      <c r="B1722" s="29"/>
      <c r="C1722" s="29"/>
      <c r="D1722" s="30"/>
      <c r="E1722" s="30"/>
      <c r="F1722" s="35"/>
      <c r="G1722" s="35"/>
      <c r="H1722" s="35" t="str">
        <f t="shared" si="26"/>
        <v/>
      </c>
      <c r="I1722" s="29"/>
    </row>
    <row r="1723" spans="1:9">
      <c r="A1723" s="33"/>
      <c r="B1723" s="29"/>
      <c r="C1723" s="29"/>
      <c r="D1723" s="30"/>
      <c r="E1723" s="30"/>
      <c r="F1723" s="35"/>
      <c r="G1723" s="35"/>
      <c r="H1723" s="35" t="str">
        <f t="shared" si="26"/>
        <v/>
      </c>
      <c r="I1723" s="29"/>
    </row>
    <row r="1724" spans="1:9">
      <c r="A1724" s="33"/>
      <c r="B1724" s="29"/>
      <c r="C1724" s="29"/>
      <c r="D1724" s="30"/>
      <c r="E1724" s="30"/>
      <c r="F1724" s="35"/>
      <c r="G1724" s="35"/>
      <c r="H1724" s="35" t="str">
        <f t="shared" si="26"/>
        <v/>
      </c>
      <c r="I1724" s="29"/>
    </row>
    <row r="1725" spans="1:9">
      <c r="A1725" s="33"/>
      <c r="B1725" s="29"/>
      <c r="C1725" s="29"/>
      <c r="D1725" s="30"/>
      <c r="E1725" s="30"/>
      <c r="F1725" s="35"/>
      <c r="G1725" s="35"/>
      <c r="H1725" s="35" t="str">
        <f t="shared" si="26"/>
        <v/>
      </c>
      <c r="I1725" s="29"/>
    </row>
    <row r="1726" spans="1:9">
      <c r="A1726" s="33"/>
      <c r="B1726" s="29"/>
      <c r="C1726" s="29"/>
      <c r="D1726" s="30"/>
      <c r="E1726" s="30"/>
      <c r="F1726" s="35"/>
      <c r="G1726" s="35"/>
      <c r="H1726" s="35" t="str">
        <f t="shared" si="26"/>
        <v/>
      </c>
      <c r="I1726" s="29"/>
    </row>
    <row r="1727" spans="1:9">
      <c r="A1727" s="33"/>
      <c r="B1727" s="29"/>
      <c r="C1727" s="29"/>
      <c r="D1727" s="30"/>
      <c r="E1727" s="30"/>
      <c r="F1727" s="35"/>
      <c r="G1727" s="35"/>
      <c r="H1727" s="35" t="str">
        <f t="shared" si="26"/>
        <v/>
      </c>
      <c r="I1727" s="29"/>
    </row>
    <row r="1728" spans="1:9">
      <c r="A1728" s="33"/>
      <c r="B1728" s="29"/>
      <c r="C1728" s="29"/>
      <c r="D1728" s="30"/>
      <c r="E1728" s="30"/>
      <c r="F1728" s="35"/>
      <c r="G1728" s="35"/>
      <c r="H1728" s="35" t="str">
        <f t="shared" si="26"/>
        <v/>
      </c>
      <c r="I1728" s="29"/>
    </row>
    <row r="1729" spans="1:9">
      <c r="A1729" s="33"/>
      <c r="B1729" s="29"/>
      <c r="C1729" s="29"/>
      <c r="D1729" s="30"/>
      <c r="E1729" s="30"/>
      <c r="F1729" s="35"/>
      <c r="G1729" s="35"/>
      <c r="H1729" s="35" t="str">
        <f t="shared" si="26"/>
        <v/>
      </c>
      <c r="I1729" s="29"/>
    </row>
    <row r="1730" spans="1:9">
      <c r="A1730" s="33"/>
      <c r="B1730" s="29"/>
      <c r="C1730" s="29"/>
      <c r="D1730" s="30"/>
      <c r="E1730" s="30"/>
      <c r="F1730" s="35"/>
      <c r="G1730" s="35"/>
      <c r="H1730" s="35" t="str">
        <f t="shared" si="26"/>
        <v/>
      </c>
      <c r="I1730" s="29"/>
    </row>
    <row r="1731" spans="1:9">
      <c r="A1731" s="33"/>
      <c r="B1731" s="29"/>
      <c r="C1731" s="29"/>
      <c r="D1731" s="30"/>
      <c r="E1731" s="30"/>
      <c r="F1731" s="35"/>
      <c r="G1731" s="35"/>
      <c r="H1731" s="35" t="str">
        <f t="shared" si="26"/>
        <v/>
      </c>
      <c r="I1731" s="29"/>
    </row>
    <row r="1732" spans="1:9">
      <c r="A1732" s="33"/>
      <c r="B1732" s="29"/>
      <c r="C1732" s="29"/>
      <c r="D1732" s="30"/>
      <c r="E1732" s="30"/>
      <c r="F1732" s="35"/>
      <c r="G1732" s="35"/>
      <c r="H1732" s="35" t="str">
        <f t="shared" ref="H1732:H1795" si="27">IF(F1732="","",F1732-G1732)</f>
        <v/>
      </c>
      <c r="I1732" s="29"/>
    </row>
    <row r="1733" spans="1:9">
      <c r="A1733" s="33"/>
      <c r="B1733" s="29"/>
      <c r="C1733" s="29"/>
      <c r="D1733" s="30"/>
      <c r="E1733" s="30"/>
      <c r="F1733" s="35"/>
      <c r="G1733" s="35"/>
      <c r="H1733" s="35" t="str">
        <f t="shared" si="27"/>
        <v/>
      </c>
      <c r="I1733" s="29"/>
    </row>
    <row r="1734" spans="1:9">
      <c r="A1734" s="33"/>
      <c r="B1734" s="29"/>
      <c r="C1734" s="29"/>
      <c r="D1734" s="30"/>
      <c r="E1734" s="30"/>
      <c r="F1734" s="35"/>
      <c r="G1734" s="35"/>
      <c r="H1734" s="35" t="str">
        <f t="shared" si="27"/>
        <v/>
      </c>
      <c r="I1734" s="29"/>
    </row>
    <row r="1735" spans="1:9">
      <c r="A1735" s="33"/>
      <c r="B1735" s="29"/>
      <c r="C1735" s="29"/>
      <c r="D1735" s="30"/>
      <c r="E1735" s="30"/>
      <c r="F1735" s="35"/>
      <c r="G1735" s="35"/>
      <c r="H1735" s="35" t="str">
        <f t="shared" si="27"/>
        <v/>
      </c>
      <c r="I1735" s="29"/>
    </row>
    <row r="1736" spans="1:9">
      <c r="A1736" s="33"/>
      <c r="B1736" s="29"/>
      <c r="C1736" s="29"/>
      <c r="D1736" s="30"/>
      <c r="E1736" s="30"/>
      <c r="F1736" s="35"/>
      <c r="G1736" s="35"/>
      <c r="H1736" s="35" t="str">
        <f t="shared" si="27"/>
        <v/>
      </c>
      <c r="I1736" s="29"/>
    </row>
    <row r="1737" spans="1:9">
      <c r="A1737" s="33"/>
      <c r="B1737" s="29"/>
      <c r="C1737" s="29"/>
      <c r="D1737" s="30"/>
      <c r="E1737" s="30"/>
      <c r="F1737" s="35"/>
      <c r="G1737" s="35"/>
      <c r="H1737" s="35" t="str">
        <f t="shared" si="27"/>
        <v/>
      </c>
      <c r="I1737" s="29"/>
    </row>
    <row r="1738" spans="1:9">
      <c r="A1738" s="33"/>
      <c r="B1738" s="29"/>
      <c r="C1738" s="29"/>
      <c r="D1738" s="30"/>
      <c r="E1738" s="30"/>
      <c r="F1738" s="35"/>
      <c r="G1738" s="35"/>
      <c r="H1738" s="35" t="str">
        <f t="shared" si="27"/>
        <v/>
      </c>
      <c r="I1738" s="29"/>
    </row>
    <row r="1739" spans="1:9">
      <c r="A1739" s="33"/>
      <c r="B1739" s="29"/>
      <c r="C1739" s="29"/>
      <c r="D1739" s="30"/>
      <c r="E1739" s="30"/>
      <c r="F1739" s="35"/>
      <c r="G1739" s="35"/>
      <c r="H1739" s="35" t="str">
        <f t="shared" si="27"/>
        <v/>
      </c>
      <c r="I1739" s="29"/>
    </row>
    <row r="1740" spans="1:9">
      <c r="A1740" s="33"/>
      <c r="B1740" s="29"/>
      <c r="C1740" s="29"/>
      <c r="D1740" s="30"/>
      <c r="E1740" s="30"/>
      <c r="F1740" s="35"/>
      <c r="G1740" s="35"/>
      <c r="H1740" s="35" t="str">
        <f t="shared" si="27"/>
        <v/>
      </c>
      <c r="I1740" s="29"/>
    </row>
    <row r="1741" spans="1:9">
      <c r="A1741" s="33"/>
      <c r="B1741" s="29"/>
      <c r="C1741" s="29"/>
      <c r="D1741" s="30"/>
      <c r="E1741" s="30"/>
      <c r="F1741" s="35"/>
      <c r="G1741" s="35"/>
      <c r="H1741" s="35" t="str">
        <f t="shared" si="27"/>
        <v/>
      </c>
      <c r="I1741" s="29"/>
    </row>
    <row r="1742" spans="1:9">
      <c r="A1742" s="33"/>
      <c r="B1742" s="29"/>
      <c r="C1742" s="29"/>
      <c r="D1742" s="30"/>
      <c r="E1742" s="30"/>
      <c r="F1742" s="35"/>
      <c r="G1742" s="35"/>
      <c r="H1742" s="35" t="str">
        <f t="shared" si="27"/>
        <v/>
      </c>
      <c r="I1742" s="29"/>
    </row>
    <row r="1743" spans="1:9">
      <c r="A1743" s="33"/>
      <c r="B1743" s="29"/>
      <c r="C1743" s="29"/>
      <c r="D1743" s="30"/>
      <c r="E1743" s="30"/>
      <c r="F1743" s="35"/>
      <c r="G1743" s="35"/>
      <c r="H1743" s="35" t="str">
        <f t="shared" si="27"/>
        <v/>
      </c>
      <c r="I1743" s="29"/>
    </row>
    <row r="1744" spans="1:9">
      <c r="A1744" s="33"/>
      <c r="B1744" s="29"/>
      <c r="C1744" s="29"/>
      <c r="D1744" s="30"/>
      <c r="E1744" s="30"/>
      <c r="F1744" s="35"/>
      <c r="G1744" s="35"/>
      <c r="H1744" s="35" t="str">
        <f t="shared" si="27"/>
        <v/>
      </c>
      <c r="I1744" s="29"/>
    </row>
    <row r="1745" spans="1:9">
      <c r="A1745" s="33"/>
      <c r="B1745" s="29"/>
      <c r="C1745" s="29"/>
      <c r="D1745" s="30"/>
      <c r="E1745" s="30"/>
      <c r="F1745" s="35"/>
      <c r="G1745" s="35"/>
      <c r="H1745" s="35" t="str">
        <f t="shared" si="27"/>
        <v/>
      </c>
      <c r="I1745" s="29"/>
    </row>
    <row r="1746" spans="1:9">
      <c r="A1746" s="33"/>
      <c r="B1746" s="29"/>
      <c r="C1746" s="29"/>
      <c r="D1746" s="30"/>
      <c r="E1746" s="30"/>
      <c r="F1746" s="35"/>
      <c r="G1746" s="35"/>
      <c r="H1746" s="35" t="str">
        <f t="shared" si="27"/>
        <v/>
      </c>
      <c r="I1746" s="29"/>
    </row>
    <row r="1747" spans="1:9">
      <c r="A1747" s="33"/>
      <c r="B1747" s="29"/>
      <c r="C1747" s="29"/>
      <c r="D1747" s="30"/>
      <c r="E1747" s="30"/>
      <c r="F1747" s="35"/>
      <c r="G1747" s="35"/>
      <c r="H1747" s="35" t="str">
        <f t="shared" si="27"/>
        <v/>
      </c>
      <c r="I1747" s="29"/>
    </row>
    <row r="1748" spans="1:9">
      <c r="A1748" s="33"/>
      <c r="B1748" s="29"/>
      <c r="C1748" s="29"/>
      <c r="D1748" s="30"/>
      <c r="E1748" s="30"/>
      <c r="F1748" s="35"/>
      <c r="G1748" s="35"/>
      <c r="H1748" s="35" t="str">
        <f t="shared" si="27"/>
        <v/>
      </c>
      <c r="I1748" s="29"/>
    </row>
    <row r="1749" spans="1:9">
      <c r="A1749" s="33"/>
      <c r="B1749" s="29"/>
      <c r="C1749" s="29"/>
      <c r="D1749" s="30"/>
      <c r="E1749" s="30"/>
      <c r="F1749" s="35"/>
      <c r="G1749" s="35"/>
      <c r="H1749" s="35" t="str">
        <f t="shared" si="27"/>
        <v/>
      </c>
      <c r="I1749" s="29"/>
    </row>
    <row r="1750" spans="1:9">
      <c r="A1750" s="33"/>
      <c r="B1750" s="29"/>
      <c r="C1750" s="29"/>
      <c r="D1750" s="30"/>
      <c r="E1750" s="30"/>
      <c r="F1750" s="35"/>
      <c r="G1750" s="35"/>
      <c r="H1750" s="35" t="str">
        <f t="shared" si="27"/>
        <v/>
      </c>
      <c r="I1750" s="29"/>
    </row>
    <row r="1751" spans="1:9">
      <c r="A1751" s="33"/>
      <c r="B1751" s="29"/>
      <c r="C1751" s="29"/>
      <c r="D1751" s="30"/>
      <c r="E1751" s="30"/>
      <c r="F1751" s="35"/>
      <c r="G1751" s="35"/>
      <c r="H1751" s="35" t="str">
        <f t="shared" si="27"/>
        <v/>
      </c>
      <c r="I1751" s="29"/>
    </row>
    <row r="1752" spans="1:9">
      <c r="A1752" s="33"/>
      <c r="B1752" s="29"/>
      <c r="C1752" s="29"/>
      <c r="D1752" s="30"/>
      <c r="E1752" s="30"/>
      <c r="F1752" s="35"/>
      <c r="G1752" s="35"/>
      <c r="H1752" s="35" t="str">
        <f t="shared" si="27"/>
        <v/>
      </c>
      <c r="I1752" s="29"/>
    </row>
    <row r="1753" spans="1:9">
      <c r="A1753" s="33"/>
      <c r="B1753" s="29"/>
      <c r="C1753" s="29"/>
      <c r="D1753" s="30"/>
      <c r="E1753" s="30"/>
      <c r="F1753" s="35"/>
      <c r="G1753" s="35"/>
      <c r="H1753" s="35" t="str">
        <f t="shared" si="27"/>
        <v/>
      </c>
      <c r="I1753" s="29"/>
    </row>
    <row r="1754" spans="1:9">
      <c r="A1754" s="33"/>
      <c r="B1754" s="29"/>
      <c r="C1754" s="29"/>
      <c r="D1754" s="30"/>
      <c r="E1754" s="30"/>
      <c r="F1754" s="35"/>
      <c r="G1754" s="35"/>
      <c r="H1754" s="35" t="str">
        <f t="shared" si="27"/>
        <v/>
      </c>
      <c r="I1754" s="29"/>
    </row>
    <row r="1755" spans="1:9">
      <c r="A1755" s="33"/>
      <c r="B1755" s="29"/>
      <c r="C1755" s="29"/>
      <c r="D1755" s="30"/>
      <c r="E1755" s="30"/>
      <c r="F1755" s="35"/>
      <c r="G1755" s="35"/>
      <c r="H1755" s="35" t="str">
        <f t="shared" si="27"/>
        <v/>
      </c>
      <c r="I1755" s="29"/>
    </row>
    <row r="1756" spans="1:9">
      <c r="A1756" s="33"/>
      <c r="B1756" s="29"/>
      <c r="C1756" s="29"/>
      <c r="D1756" s="30"/>
      <c r="E1756" s="30"/>
      <c r="F1756" s="35"/>
      <c r="G1756" s="35"/>
      <c r="H1756" s="35" t="str">
        <f t="shared" si="27"/>
        <v/>
      </c>
      <c r="I1756" s="29"/>
    </row>
    <row r="1757" spans="1:9">
      <c r="A1757" s="33"/>
      <c r="B1757" s="29"/>
      <c r="C1757" s="29"/>
      <c r="D1757" s="30"/>
      <c r="E1757" s="30"/>
      <c r="F1757" s="35"/>
      <c r="G1757" s="35"/>
      <c r="H1757" s="35" t="str">
        <f t="shared" si="27"/>
        <v/>
      </c>
      <c r="I1757" s="29"/>
    </row>
    <row r="1758" spans="1:9">
      <c r="A1758" s="33"/>
      <c r="B1758" s="29"/>
      <c r="C1758" s="29"/>
      <c r="D1758" s="30"/>
      <c r="E1758" s="30"/>
      <c r="F1758" s="35"/>
      <c r="G1758" s="35"/>
      <c r="H1758" s="35" t="str">
        <f t="shared" si="27"/>
        <v/>
      </c>
      <c r="I1758" s="29"/>
    </row>
    <row r="1759" spans="1:9">
      <c r="A1759" s="33"/>
      <c r="B1759" s="29"/>
      <c r="C1759" s="29"/>
      <c r="D1759" s="30"/>
      <c r="E1759" s="30"/>
      <c r="F1759" s="35"/>
      <c r="G1759" s="35"/>
      <c r="H1759" s="35" t="str">
        <f t="shared" si="27"/>
        <v/>
      </c>
      <c r="I1759" s="29"/>
    </row>
    <row r="1760" spans="1:9">
      <c r="A1760" s="33"/>
      <c r="B1760" s="29"/>
      <c r="C1760" s="29"/>
      <c r="D1760" s="30"/>
      <c r="E1760" s="30"/>
      <c r="F1760" s="35"/>
      <c r="G1760" s="35"/>
      <c r="H1760" s="35" t="str">
        <f t="shared" si="27"/>
        <v/>
      </c>
      <c r="I1760" s="29"/>
    </row>
    <row r="1761" spans="1:9">
      <c r="A1761" s="33"/>
      <c r="B1761" s="29"/>
      <c r="C1761" s="29"/>
      <c r="D1761" s="30"/>
      <c r="E1761" s="30"/>
      <c r="F1761" s="35"/>
      <c r="G1761" s="35"/>
      <c r="H1761" s="35" t="str">
        <f t="shared" si="27"/>
        <v/>
      </c>
      <c r="I1761" s="29"/>
    </row>
    <row r="1762" spans="1:9">
      <c r="A1762" s="33"/>
      <c r="B1762" s="29"/>
      <c r="C1762" s="29"/>
      <c r="D1762" s="30"/>
      <c r="E1762" s="30"/>
      <c r="F1762" s="35"/>
      <c r="G1762" s="35"/>
      <c r="H1762" s="35" t="str">
        <f t="shared" si="27"/>
        <v/>
      </c>
      <c r="I1762" s="29"/>
    </row>
    <row r="1763" spans="1:9">
      <c r="A1763" s="33"/>
      <c r="B1763" s="29"/>
      <c r="C1763" s="29"/>
      <c r="D1763" s="30"/>
      <c r="E1763" s="30"/>
      <c r="F1763" s="35"/>
      <c r="G1763" s="35"/>
      <c r="H1763" s="35" t="str">
        <f t="shared" si="27"/>
        <v/>
      </c>
      <c r="I1763" s="29"/>
    </row>
    <row r="1764" spans="1:9">
      <c r="A1764" s="33"/>
      <c r="B1764" s="29"/>
      <c r="C1764" s="29"/>
      <c r="D1764" s="30"/>
      <c r="E1764" s="30"/>
      <c r="F1764" s="35"/>
      <c r="G1764" s="35"/>
      <c r="H1764" s="35" t="str">
        <f t="shared" si="27"/>
        <v/>
      </c>
      <c r="I1764" s="29"/>
    </row>
    <row r="1765" spans="1:9">
      <c r="A1765" s="33"/>
      <c r="B1765" s="29"/>
      <c r="C1765" s="29"/>
      <c r="D1765" s="30"/>
      <c r="E1765" s="30"/>
      <c r="F1765" s="35"/>
      <c r="G1765" s="35"/>
      <c r="H1765" s="35" t="str">
        <f t="shared" si="27"/>
        <v/>
      </c>
      <c r="I1765" s="29"/>
    </row>
    <row r="1766" spans="1:9">
      <c r="A1766" s="33"/>
      <c r="B1766" s="29"/>
      <c r="C1766" s="29"/>
      <c r="D1766" s="30"/>
      <c r="E1766" s="30"/>
      <c r="F1766" s="35"/>
      <c r="G1766" s="35"/>
      <c r="H1766" s="35" t="str">
        <f t="shared" si="27"/>
        <v/>
      </c>
      <c r="I1766" s="29"/>
    </row>
    <row r="1767" spans="1:9">
      <c r="A1767" s="33"/>
      <c r="B1767" s="29"/>
      <c r="C1767" s="29"/>
      <c r="D1767" s="30"/>
      <c r="E1767" s="30"/>
      <c r="F1767" s="35"/>
      <c r="G1767" s="35"/>
      <c r="H1767" s="35" t="str">
        <f t="shared" si="27"/>
        <v/>
      </c>
      <c r="I1767" s="29"/>
    </row>
    <row r="1768" spans="1:9">
      <c r="A1768" s="33"/>
      <c r="B1768" s="29"/>
      <c r="C1768" s="29"/>
      <c r="D1768" s="30"/>
      <c r="E1768" s="30"/>
      <c r="F1768" s="35"/>
      <c r="G1768" s="35"/>
      <c r="H1768" s="35" t="str">
        <f t="shared" si="27"/>
        <v/>
      </c>
      <c r="I1768" s="29"/>
    </row>
    <row r="1769" spans="1:9">
      <c r="A1769" s="33"/>
      <c r="B1769" s="29"/>
      <c r="C1769" s="29"/>
      <c r="D1769" s="30"/>
      <c r="E1769" s="30"/>
      <c r="F1769" s="35"/>
      <c r="G1769" s="35"/>
      <c r="H1769" s="35" t="str">
        <f t="shared" si="27"/>
        <v/>
      </c>
      <c r="I1769" s="29"/>
    </row>
    <row r="1770" spans="1:9">
      <c r="A1770" s="33"/>
      <c r="B1770" s="29"/>
      <c r="C1770" s="29"/>
      <c r="D1770" s="30"/>
      <c r="E1770" s="30"/>
      <c r="F1770" s="35"/>
      <c r="G1770" s="35"/>
      <c r="H1770" s="35" t="str">
        <f t="shared" si="27"/>
        <v/>
      </c>
      <c r="I1770" s="29"/>
    </row>
    <row r="1771" spans="1:9">
      <c r="A1771" s="33"/>
      <c r="B1771" s="29"/>
      <c r="C1771" s="29"/>
      <c r="D1771" s="30"/>
      <c r="E1771" s="30"/>
      <c r="F1771" s="35"/>
      <c r="G1771" s="35"/>
      <c r="H1771" s="35" t="str">
        <f t="shared" si="27"/>
        <v/>
      </c>
      <c r="I1771" s="29"/>
    </row>
    <row r="1772" spans="1:9">
      <c r="A1772" s="33"/>
      <c r="B1772" s="29"/>
      <c r="C1772" s="29"/>
      <c r="D1772" s="30"/>
      <c r="E1772" s="30"/>
      <c r="F1772" s="35"/>
      <c r="G1772" s="35"/>
      <c r="H1772" s="35" t="str">
        <f t="shared" si="27"/>
        <v/>
      </c>
      <c r="I1772" s="29"/>
    </row>
    <row r="1773" spans="1:9">
      <c r="A1773" s="33"/>
      <c r="B1773" s="29"/>
      <c r="C1773" s="29"/>
      <c r="D1773" s="30"/>
      <c r="E1773" s="30"/>
      <c r="F1773" s="35"/>
      <c r="G1773" s="35"/>
      <c r="H1773" s="35" t="str">
        <f t="shared" si="27"/>
        <v/>
      </c>
      <c r="I1773" s="29"/>
    </row>
    <row r="1774" spans="1:9">
      <c r="A1774" s="33"/>
      <c r="B1774" s="29"/>
      <c r="C1774" s="29"/>
      <c r="D1774" s="30"/>
      <c r="E1774" s="30"/>
      <c r="F1774" s="35"/>
      <c r="G1774" s="35"/>
      <c r="H1774" s="35" t="str">
        <f t="shared" si="27"/>
        <v/>
      </c>
      <c r="I1774" s="29"/>
    </row>
    <row r="1775" spans="1:9">
      <c r="A1775" s="33"/>
      <c r="B1775" s="29"/>
      <c r="C1775" s="29"/>
      <c r="D1775" s="30"/>
      <c r="E1775" s="30"/>
      <c r="F1775" s="35"/>
      <c r="G1775" s="35"/>
      <c r="H1775" s="35" t="str">
        <f t="shared" si="27"/>
        <v/>
      </c>
      <c r="I1775" s="29"/>
    </row>
    <row r="1776" spans="1:9">
      <c r="A1776" s="33"/>
      <c r="B1776" s="29"/>
      <c r="C1776" s="29"/>
      <c r="D1776" s="30"/>
      <c r="E1776" s="30"/>
      <c r="F1776" s="35"/>
      <c r="G1776" s="35"/>
      <c r="H1776" s="35" t="str">
        <f t="shared" si="27"/>
        <v/>
      </c>
      <c r="I1776" s="29"/>
    </row>
    <row r="1777" spans="1:9">
      <c r="A1777" s="33"/>
      <c r="B1777" s="29"/>
      <c r="C1777" s="29"/>
      <c r="D1777" s="30"/>
      <c r="E1777" s="30"/>
      <c r="F1777" s="35"/>
      <c r="G1777" s="35"/>
      <c r="H1777" s="35" t="str">
        <f t="shared" si="27"/>
        <v/>
      </c>
      <c r="I1777" s="29"/>
    </row>
    <row r="1778" spans="1:9">
      <c r="A1778" s="33"/>
      <c r="B1778" s="29"/>
      <c r="C1778" s="29"/>
      <c r="D1778" s="30"/>
      <c r="E1778" s="30"/>
      <c r="F1778" s="35"/>
      <c r="G1778" s="35"/>
      <c r="H1778" s="35" t="str">
        <f t="shared" si="27"/>
        <v/>
      </c>
      <c r="I1778" s="29"/>
    </row>
    <row r="1779" spans="1:9">
      <c r="A1779" s="33"/>
      <c r="B1779" s="29"/>
      <c r="C1779" s="29"/>
      <c r="D1779" s="30"/>
      <c r="E1779" s="30"/>
      <c r="F1779" s="35"/>
      <c r="G1779" s="35"/>
      <c r="H1779" s="35" t="str">
        <f t="shared" si="27"/>
        <v/>
      </c>
      <c r="I1779" s="29"/>
    </row>
    <row r="1780" spans="1:9">
      <c r="A1780" s="33"/>
      <c r="B1780" s="29"/>
      <c r="C1780" s="29"/>
      <c r="D1780" s="30"/>
      <c r="E1780" s="30"/>
      <c r="F1780" s="35"/>
      <c r="G1780" s="35"/>
      <c r="H1780" s="35" t="str">
        <f t="shared" si="27"/>
        <v/>
      </c>
      <c r="I1780" s="29"/>
    </row>
    <row r="1781" spans="1:9">
      <c r="A1781" s="33"/>
      <c r="B1781" s="29"/>
      <c r="C1781" s="29"/>
      <c r="D1781" s="30"/>
      <c r="E1781" s="30"/>
      <c r="F1781" s="35"/>
      <c r="G1781" s="35"/>
      <c r="H1781" s="35" t="str">
        <f t="shared" si="27"/>
        <v/>
      </c>
      <c r="I1781" s="29"/>
    </row>
    <row r="1782" spans="1:9">
      <c r="A1782" s="33"/>
      <c r="B1782" s="29"/>
      <c r="C1782" s="29"/>
      <c r="D1782" s="30"/>
      <c r="E1782" s="30"/>
      <c r="F1782" s="35"/>
      <c r="G1782" s="35"/>
      <c r="H1782" s="35" t="str">
        <f t="shared" si="27"/>
        <v/>
      </c>
      <c r="I1782" s="29"/>
    </row>
    <row r="1783" spans="1:9">
      <c r="A1783" s="33"/>
      <c r="B1783" s="29"/>
      <c r="C1783" s="29"/>
      <c r="D1783" s="30"/>
      <c r="E1783" s="30"/>
      <c r="F1783" s="35"/>
      <c r="G1783" s="35"/>
      <c r="H1783" s="35" t="str">
        <f t="shared" si="27"/>
        <v/>
      </c>
      <c r="I1783" s="29"/>
    </row>
    <row r="1784" spans="1:9">
      <c r="A1784" s="33"/>
      <c r="B1784" s="29"/>
      <c r="C1784" s="29"/>
      <c r="D1784" s="30"/>
      <c r="E1784" s="30"/>
      <c r="F1784" s="35"/>
      <c r="G1784" s="35"/>
      <c r="H1784" s="35" t="str">
        <f t="shared" si="27"/>
        <v/>
      </c>
      <c r="I1784" s="29"/>
    </row>
    <row r="1785" spans="1:9">
      <c r="A1785" s="33"/>
      <c r="B1785" s="29"/>
      <c r="C1785" s="29"/>
      <c r="D1785" s="30"/>
      <c r="E1785" s="30"/>
      <c r="F1785" s="35"/>
      <c r="G1785" s="35"/>
      <c r="H1785" s="35" t="str">
        <f t="shared" si="27"/>
        <v/>
      </c>
      <c r="I1785" s="29"/>
    </row>
    <row r="1786" spans="1:9">
      <c r="A1786" s="33"/>
      <c r="B1786" s="29"/>
      <c r="C1786" s="29"/>
      <c r="D1786" s="30"/>
      <c r="E1786" s="30"/>
      <c r="F1786" s="35"/>
      <c r="G1786" s="35"/>
      <c r="H1786" s="35" t="str">
        <f t="shared" si="27"/>
        <v/>
      </c>
      <c r="I1786" s="29"/>
    </row>
    <row r="1787" spans="1:9">
      <c r="A1787" s="33"/>
      <c r="B1787" s="29"/>
      <c r="C1787" s="29"/>
      <c r="D1787" s="30"/>
      <c r="E1787" s="30"/>
      <c r="F1787" s="35"/>
      <c r="G1787" s="35"/>
      <c r="H1787" s="35" t="str">
        <f t="shared" si="27"/>
        <v/>
      </c>
      <c r="I1787" s="29"/>
    </row>
    <row r="1788" spans="1:9">
      <c r="A1788" s="33"/>
      <c r="B1788" s="29"/>
      <c r="C1788" s="29"/>
      <c r="D1788" s="30"/>
      <c r="E1788" s="30"/>
      <c r="F1788" s="35"/>
      <c r="G1788" s="35"/>
      <c r="H1788" s="35" t="str">
        <f t="shared" si="27"/>
        <v/>
      </c>
      <c r="I1788" s="29"/>
    </row>
    <row r="1789" spans="1:9">
      <c r="A1789" s="33"/>
      <c r="B1789" s="29"/>
      <c r="C1789" s="29"/>
      <c r="D1789" s="30"/>
      <c r="E1789" s="30"/>
      <c r="F1789" s="35"/>
      <c r="G1789" s="35"/>
      <c r="H1789" s="35" t="str">
        <f t="shared" si="27"/>
        <v/>
      </c>
      <c r="I1789" s="29"/>
    </row>
    <row r="1790" spans="1:9">
      <c r="A1790" s="33"/>
      <c r="B1790" s="29"/>
      <c r="C1790" s="29"/>
      <c r="D1790" s="30"/>
      <c r="E1790" s="30"/>
      <c r="F1790" s="35"/>
      <c r="G1790" s="35"/>
      <c r="H1790" s="35" t="str">
        <f t="shared" si="27"/>
        <v/>
      </c>
      <c r="I1790" s="29"/>
    </row>
    <row r="1791" spans="1:9">
      <c r="A1791" s="33"/>
      <c r="B1791" s="29"/>
      <c r="C1791" s="29"/>
      <c r="D1791" s="30"/>
      <c r="E1791" s="30"/>
      <c r="F1791" s="35"/>
      <c r="G1791" s="35"/>
      <c r="H1791" s="35" t="str">
        <f t="shared" si="27"/>
        <v/>
      </c>
      <c r="I1791" s="29"/>
    </row>
    <row r="1792" spans="1:9">
      <c r="A1792" s="33"/>
      <c r="B1792" s="29"/>
      <c r="C1792" s="29"/>
      <c r="D1792" s="30"/>
      <c r="E1792" s="30"/>
      <c r="F1792" s="35"/>
      <c r="G1792" s="35"/>
      <c r="H1792" s="35" t="str">
        <f t="shared" si="27"/>
        <v/>
      </c>
      <c r="I1792" s="29"/>
    </row>
    <row r="1793" spans="1:9">
      <c r="A1793" s="33"/>
      <c r="B1793" s="29"/>
      <c r="C1793" s="29"/>
      <c r="D1793" s="30"/>
      <c r="E1793" s="30"/>
      <c r="F1793" s="35"/>
      <c r="G1793" s="35"/>
      <c r="H1793" s="35" t="str">
        <f t="shared" si="27"/>
        <v/>
      </c>
      <c r="I1793" s="29"/>
    </row>
    <row r="1794" spans="1:9">
      <c r="A1794" s="33"/>
      <c r="B1794" s="29"/>
      <c r="C1794" s="29"/>
      <c r="D1794" s="30"/>
      <c r="E1794" s="30"/>
      <c r="F1794" s="35"/>
      <c r="G1794" s="35"/>
      <c r="H1794" s="35" t="str">
        <f t="shared" si="27"/>
        <v/>
      </c>
      <c r="I1794" s="29"/>
    </row>
    <row r="1795" spans="1:9">
      <c r="A1795" s="33"/>
      <c r="B1795" s="29"/>
      <c r="C1795" s="29"/>
      <c r="D1795" s="30"/>
      <c r="E1795" s="30"/>
      <c r="F1795" s="35"/>
      <c r="G1795" s="35"/>
      <c r="H1795" s="35" t="str">
        <f t="shared" si="27"/>
        <v/>
      </c>
      <c r="I1795" s="29"/>
    </row>
    <row r="1796" spans="1:9">
      <c r="A1796" s="33"/>
      <c r="B1796" s="29"/>
      <c r="C1796" s="29"/>
      <c r="D1796" s="30"/>
      <c r="E1796" s="30"/>
      <c r="F1796" s="35"/>
      <c r="G1796" s="35"/>
      <c r="H1796" s="35" t="str">
        <f t="shared" ref="H1796:H1859" si="28">IF(F1796="","",F1796-G1796)</f>
        <v/>
      </c>
      <c r="I1796" s="29"/>
    </row>
    <row r="1797" spans="1:9">
      <c r="A1797" s="33"/>
      <c r="B1797" s="29"/>
      <c r="C1797" s="29"/>
      <c r="D1797" s="30"/>
      <c r="E1797" s="30"/>
      <c r="F1797" s="35"/>
      <c r="G1797" s="35"/>
      <c r="H1797" s="35" t="str">
        <f t="shared" si="28"/>
        <v/>
      </c>
      <c r="I1797" s="29"/>
    </row>
    <row r="1798" spans="1:9">
      <c r="A1798" s="33"/>
      <c r="B1798" s="29"/>
      <c r="C1798" s="29"/>
      <c r="D1798" s="30"/>
      <c r="E1798" s="30"/>
      <c r="F1798" s="35"/>
      <c r="G1798" s="35"/>
      <c r="H1798" s="35" t="str">
        <f t="shared" si="28"/>
        <v/>
      </c>
      <c r="I1798" s="29"/>
    </row>
    <row r="1799" spans="1:9">
      <c r="A1799" s="33"/>
      <c r="B1799" s="29"/>
      <c r="C1799" s="29"/>
      <c r="D1799" s="30"/>
      <c r="E1799" s="30"/>
      <c r="F1799" s="35"/>
      <c r="G1799" s="35"/>
      <c r="H1799" s="35" t="str">
        <f t="shared" si="28"/>
        <v/>
      </c>
      <c r="I1799" s="29"/>
    </row>
    <row r="1800" spans="1:9">
      <c r="A1800" s="33"/>
      <c r="B1800" s="29"/>
      <c r="C1800" s="29"/>
      <c r="D1800" s="30"/>
      <c r="E1800" s="30"/>
      <c r="F1800" s="35"/>
      <c r="G1800" s="35"/>
      <c r="H1800" s="35" t="str">
        <f t="shared" si="28"/>
        <v/>
      </c>
      <c r="I1800" s="29"/>
    </row>
    <row r="1801" spans="1:9">
      <c r="A1801" s="33"/>
      <c r="B1801" s="29"/>
      <c r="C1801" s="29"/>
      <c r="D1801" s="30"/>
      <c r="E1801" s="30"/>
      <c r="F1801" s="35"/>
      <c r="G1801" s="35"/>
      <c r="H1801" s="35" t="str">
        <f t="shared" si="28"/>
        <v/>
      </c>
      <c r="I1801" s="29"/>
    </row>
    <row r="1802" spans="1:9">
      <c r="A1802" s="33"/>
      <c r="B1802" s="29"/>
      <c r="C1802" s="29"/>
      <c r="D1802" s="30"/>
      <c r="E1802" s="30"/>
      <c r="F1802" s="35"/>
      <c r="G1802" s="35"/>
      <c r="H1802" s="35" t="str">
        <f t="shared" si="28"/>
        <v/>
      </c>
      <c r="I1802" s="29"/>
    </row>
    <row r="1803" spans="1:9">
      <c r="A1803" s="33"/>
      <c r="B1803" s="29"/>
      <c r="C1803" s="29"/>
      <c r="D1803" s="30"/>
      <c r="E1803" s="30"/>
      <c r="F1803" s="35"/>
      <c r="G1803" s="35"/>
      <c r="H1803" s="35" t="str">
        <f t="shared" si="28"/>
        <v/>
      </c>
      <c r="I1803" s="29"/>
    </row>
    <row r="1804" spans="1:9">
      <c r="A1804" s="33"/>
      <c r="B1804" s="29"/>
      <c r="C1804" s="29"/>
      <c r="D1804" s="30"/>
      <c r="E1804" s="30"/>
      <c r="F1804" s="35"/>
      <c r="G1804" s="35"/>
      <c r="H1804" s="35" t="str">
        <f t="shared" si="28"/>
        <v/>
      </c>
      <c r="I1804" s="29"/>
    </row>
    <row r="1805" spans="1:9">
      <c r="A1805" s="33"/>
      <c r="B1805" s="29"/>
      <c r="C1805" s="29"/>
      <c r="D1805" s="30"/>
      <c r="E1805" s="30"/>
      <c r="F1805" s="35"/>
      <c r="G1805" s="35"/>
      <c r="H1805" s="35" t="str">
        <f t="shared" si="28"/>
        <v/>
      </c>
      <c r="I1805" s="29"/>
    </row>
    <row r="1806" spans="1:9">
      <c r="A1806" s="33"/>
      <c r="B1806" s="29"/>
      <c r="C1806" s="29"/>
      <c r="D1806" s="30"/>
      <c r="E1806" s="30"/>
      <c r="F1806" s="35"/>
      <c r="G1806" s="35"/>
      <c r="H1806" s="35" t="str">
        <f t="shared" si="28"/>
        <v/>
      </c>
      <c r="I1806" s="29"/>
    </row>
    <row r="1807" spans="1:9">
      <c r="A1807" s="33"/>
      <c r="B1807" s="29"/>
      <c r="C1807" s="29"/>
      <c r="D1807" s="30"/>
      <c r="E1807" s="30"/>
      <c r="F1807" s="35"/>
      <c r="G1807" s="35"/>
      <c r="H1807" s="35" t="str">
        <f t="shared" si="28"/>
        <v/>
      </c>
      <c r="I1807" s="29"/>
    </row>
    <row r="1808" spans="1:9">
      <c r="A1808" s="33"/>
      <c r="B1808" s="29"/>
      <c r="C1808" s="29"/>
      <c r="D1808" s="30"/>
      <c r="E1808" s="30"/>
      <c r="F1808" s="35"/>
      <c r="G1808" s="35"/>
      <c r="H1808" s="35" t="str">
        <f t="shared" si="28"/>
        <v/>
      </c>
      <c r="I1808" s="29"/>
    </row>
    <row r="1809" spans="1:9">
      <c r="A1809" s="33"/>
      <c r="B1809" s="29"/>
      <c r="C1809" s="29"/>
      <c r="D1809" s="30"/>
      <c r="E1809" s="30"/>
      <c r="F1809" s="35"/>
      <c r="G1809" s="35"/>
      <c r="H1809" s="35" t="str">
        <f t="shared" si="28"/>
        <v/>
      </c>
      <c r="I1809" s="29"/>
    </row>
    <row r="1810" spans="1:9">
      <c r="A1810" s="33"/>
      <c r="B1810" s="29"/>
      <c r="C1810" s="29"/>
      <c r="D1810" s="30"/>
      <c r="E1810" s="30"/>
      <c r="F1810" s="35"/>
      <c r="G1810" s="35"/>
      <c r="H1810" s="35" t="str">
        <f t="shared" si="28"/>
        <v/>
      </c>
      <c r="I1810" s="29"/>
    </row>
    <row r="1811" spans="1:9">
      <c r="A1811" s="33"/>
      <c r="B1811" s="29"/>
      <c r="C1811" s="29"/>
      <c r="D1811" s="30"/>
      <c r="E1811" s="30"/>
      <c r="F1811" s="35"/>
      <c r="G1811" s="35"/>
      <c r="H1811" s="35" t="str">
        <f t="shared" si="28"/>
        <v/>
      </c>
      <c r="I1811" s="29"/>
    </row>
    <row r="1812" spans="1:9">
      <c r="A1812" s="33"/>
      <c r="B1812" s="29"/>
      <c r="C1812" s="29"/>
      <c r="D1812" s="30"/>
      <c r="E1812" s="30"/>
      <c r="F1812" s="35"/>
      <c r="G1812" s="35"/>
      <c r="H1812" s="35" t="str">
        <f t="shared" si="28"/>
        <v/>
      </c>
      <c r="I1812" s="29"/>
    </row>
    <row r="1813" spans="1:9">
      <c r="A1813" s="33"/>
      <c r="B1813" s="29"/>
      <c r="C1813" s="29"/>
      <c r="D1813" s="30"/>
      <c r="E1813" s="30"/>
      <c r="F1813" s="35"/>
      <c r="G1813" s="35"/>
      <c r="H1813" s="35" t="str">
        <f t="shared" si="28"/>
        <v/>
      </c>
      <c r="I1813" s="29"/>
    </row>
    <row r="1814" spans="1:9">
      <c r="A1814" s="33"/>
      <c r="B1814" s="29"/>
      <c r="C1814" s="29"/>
      <c r="D1814" s="30"/>
      <c r="E1814" s="30"/>
      <c r="F1814" s="35"/>
      <c r="G1814" s="35"/>
      <c r="H1814" s="35" t="str">
        <f t="shared" si="28"/>
        <v/>
      </c>
      <c r="I1814" s="29"/>
    </row>
    <row r="1815" spans="1:9">
      <c r="A1815" s="33"/>
      <c r="B1815" s="29"/>
      <c r="C1815" s="29"/>
      <c r="D1815" s="30"/>
      <c r="E1815" s="30"/>
      <c r="F1815" s="35"/>
      <c r="G1815" s="35"/>
      <c r="H1815" s="35" t="str">
        <f t="shared" si="28"/>
        <v/>
      </c>
      <c r="I1815" s="29"/>
    </row>
    <row r="1816" spans="1:9">
      <c r="A1816" s="33"/>
      <c r="B1816" s="29"/>
      <c r="C1816" s="29"/>
      <c r="D1816" s="30"/>
      <c r="E1816" s="30"/>
      <c r="F1816" s="35"/>
      <c r="G1816" s="35"/>
      <c r="H1816" s="35" t="str">
        <f t="shared" si="28"/>
        <v/>
      </c>
      <c r="I1816" s="29"/>
    </row>
    <row r="1817" spans="1:9">
      <c r="A1817" s="33"/>
      <c r="B1817" s="29"/>
      <c r="C1817" s="29"/>
      <c r="D1817" s="30"/>
      <c r="E1817" s="30"/>
      <c r="F1817" s="35"/>
      <c r="G1817" s="35"/>
      <c r="H1817" s="35" t="str">
        <f t="shared" si="28"/>
        <v/>
      </c>
      <c r="I1817" s="29"/>
    </row>
    <row r="1818" spans="1:9">
      <c r="A1818" s="33"/>
      <c r="B1818" s="29"/>
      <c r="C1818" s="29"/>
      <c r="D1818" s="30"/>
      <c r="E1818" s="30"/>
      <c r="F1818" s="35"/>
      <c r="G1818" s="35"/>
      <c r="H1818" s="35" t="str">
        <f t="shared" si="28"/>
        <v/>
      </c>
      <c r="I1818" s="29"/>
    </row>
    <row r="1819" spans="1:9">
      <c r="A1819" s="33"/>
      <c r="B1819" s="29"/>
      <c r="C1819" s="29"/>
      <c r="D1819" s="30"/>
      <c r="E1819" s="30"/>
      <c r="F1819" s="35"/>
      <c r="G1819" s="35"/>
      <c r="H1819" s="35" t="str">
        <f t="shared" si="28"/>
        <v/>
      </c>
      <c r="I1819" s="29"/>
    </row>
    <row r="1820" spans="1:9">
      <c r="A1820" s="33"/>
      <c r="B1820" s="29"/>
      <c r="C1820" s="29"/>
      <c r="D1820" s="30"/>
      <c r="E1820" s="30"/>
      <c r="F1820" s="35"/>
      <c r="G1820" s="35"/>
      <c r="H1820" s="35" t="str">
        <f t="shared" si="28"/>
        <v/>
      </c>
      <c r="I1820" s="29"/>
    </row>
    <row r="1821" spans="1:9">
      <c r="A1821" s="33"/>
      <c r="B1821" s="29"/>
      <c r="C1821" s="29"/>
      <c r="D1821" s="30"/>
      <c r="E1821" s="30"/>
      <c r="F1821" s="35"/>
      <c r="G1821" s="35"/>
      <c r="H1821" s="35" t="str">
        <f t="shared" si="28"/>
        <v/>
      </c>
      <c r="I1821" s="29"/>
    </row>
    <row r="1822" spans="1:9">
      <c r="A1822" s="33"/>
      <c r="B1822" s="29"/>
      <c r="C1822" s="29"/>
      <c r="D1822" s="30"/>
      <c r="E1822" s="30"/>
      <c r="F1822" s="35"/>
      <c r="G1822" s="35"/>
      <c r="H1822" s="35" t="str">
        <f t="shared" si="28"/>
        <v/>
      </c>
      <c r="I1822" s="29"/>
    </row>
    <row r="1823" spans="1:9">
      <c r="A1823" s="33"/>
      <c r="B1823" s="29"/>
      <c r="C1823" s="29"/>
      <c r="D1823" s="30"/>
      <c r="E1823" s="30"/>
      <c r="F1823" s="35"/>
      <c r="G1823" s="35"/>
      <c r="H1823" s="35" t="str">
        <f t="shared" si="28"/>
        <v/>
      </c>
      <c r="I1823" s="29"/>
    </row>
    <row r="1824" spans="1:9">
      <c r="A1824" s="33"/>
      <c r="B1824" s="29"/>
      <c r="C1824" s="29"/>
      <c r="D1824" s="30"/>
      <c r="E1824" s="30"/>
      <c r="F1824" s="35"/>
      <c r="G1824" s="35"/>
      <c r="H1824" s="35" t="str">
        <f t="shared" si="28"/>
        <v/>
      </c>
      <c r="I1824" s="29"/>
    </row>
    <row r="1825" spans="1:9">
      <c r="A1825" s="33"/>
      <c r="B1825" s="29"/>
      <c r="C1825" s="29"/>
      <c r="D1825" s="30"/>
      <c r="E1825" s="30"/>
      <c r="F1825" s="35"/>
      <c r="G1825" s="35"/>
      <c r="H1825" s="35" t="str">
        <f t="shared" si="28"/>
        <v/>
      </c>
      <c r="I1825" s="29"/>
    </row>
    <row r="1826" spans="1:9">
      <c r="A1826" s="33"/>
      <c r="B1826" s="29"/>
      <c r="C1826" s="29"/>
      <c r="D1826" s="30"/>
      <c r="E1826" s="30"/>
      <c r="F1826" s="35"/>
      <c r="G1826" s="35"/>
      <c r="H1826" s="35" t="str">
        <f t="shared" si="28"/>
        <v/>
      </c>
      <c r="I1826" s="29"/>
    </row>
    <row r="1827" spans="1:9">
      <c r="A1827" s="33"/>
      <c r="B1827" s="29"/>
      <c r="C1827" s="29"/>
      <c r="D1827" s="30"/>
      <c r="E1827" s="30"/>
      <c r="F1827" s="35"/>
      <c r="G1827" s="35"/>
      <c r="H1827" s="35" t="str">
        <f t="shared" si="28"/>
        <v/>
      </c>
      <c r="I1827" s="29"/>
    </row>
    <row r="1828" spans="1:9">
      <c r="A1828" s="33"/>
      <c r="B1828" s="29"/>
      <c r="C1828" s="29"/>
      <c r="D1828" s="30"/>
      <c r="E1828" s="30"/>
      <c r="F1828" s="35"/>
      <c r="G1828" s="35"/>
      <c r="H1828" s="35" t="str">
        <f t="shared" si="28"/>
        <v/>
      </c>
      <c r="I1828" s="29"/>
    </row>
    <row r="1829" spans="1:9">
      <c r="A1829" s="33"/>
      <c r="B1829" s="29"/>
      <c r="C1829" s="29"/>
      <c r="D1829" s="30"/>
      <c r="E1829" s="30"/>
      <c r="F1829" s="35"/>
      <c r="G1829" s="35"/>
      <c r="H1829" s="35" t="str">
        <f t="shared" si="28"/>
        <v/>
      </c>
      <c r="I1829" s="29"/>
    </row>
    <row r="1830" spans="1:9">
      <c r="A1830" s="33"/>
      <c r="B1830" s="29"/>
      <c r="C1830" s="29"/>
      <c r="D1830" s="30"/>
      <c r="E1830" s="30"/>
      <c r="F1830" s="35"/>
      <c r="G1830" s="35"/>
      <c r="H1830" s="35" t="str">
        <f t="shared" si="28"/>
        <v/>
      </c>
      <c r="I1830" s="29"/>
    </row>
    <row r="1831" spans="1:9">
      <c r="A1831" s="33"/>
      <c r="B1831" s="29"/>
      <c r="C1831" s="29"/>
      <c r="D1831" s="30"/>
      <c r="E1831" s="30"/>
      <c r="F1831" s="35"/>
      <c r="G1831" s="35"/>
      <c r="H1831" s="35" t="str">
        <f t="shared" si="28"/>
        <v/>
      </c>
      <c r="I1831" s="29"/>
    </row>
    <row r="1832" spans="1:9">
      <c r="A1832" s="33"/>
      <c r="B1832" s="29"/>
      <c r="C1832" s="29"/>
      <c r="D1832" s="30"/>
      <c r="E1832" s="30"/>
      <c r="F1832" s="35"/>
      <c r="G1832" s="35"/>
      <c r="H1832" s="35" t="str">
        <f t="shared" si="28"/>
        <v/>
      </c>
      <c r="I1832" s="29"/>
    </row>
    <row r="1833" spans="1:9">
      <c r="A1833" s="33"/>
      <c r="B1833" s="29"/>
      <c r="C1833" s="29"/>
      <c r="D1833" s="30"/>
      <c r="E1833" s="30"/>
      <c r="F1833" s="35"/>
      <c r="G1833" s="35"/>
      <c r="H1833" s="35" t="str">
        <f t="shared" si="28"/>
        <v/>
      </c>
      <c r="I1833" s="29"/>
    </row>
    <row r="1834" spans="1:9">
      <c r="A1834" s="33"/>
      <c r="B1834" s="29"/>
      <c r="C1834" s="29"/>
      <c r="D1834" s="30"/>
      <c r="E1834" s="30"/>
      <c r="F1834" s="35"/>
      <c r="G1834" s="35"/>
      <c r="H1834" s="35" t="str">
        <f t="shared" si="28"/>
        <v/>
      </c>
      <c r="I1834" s="29"/>
    </row>
    <row r="1835" spans="1:9">
      <c r="A1835" s="33"/>
      <c r="B1835" s="29"/>
      <c r="C1835" s="29"/>
      <c r="D1835" s="30"/>
      <c r="E1835" s="30"/>
      <c r="F1835" s="35"/>
      <c r="G1835" s="35"/>
      <c r="H1835" s="35" t="str">
        <f t="shared" si="28"/>
        <v/>
      </c>
      <c r="I1835" s="29"/>
    </row>
    <row r="1836" spans="1:9">
      <c r="A1836" s="33"/>
      <c r="B1836" s="29"/>
      <c r="C1836" s="29"/>
      <c r="D1836" s="30"/>
      <c r="E1836" s="30"/>
      <c r="F1836" s="35"/>
      <c r="G1836" s="35"/>
      <c r="H1836" s="35" t="str">
        <f t="shared" si="28"/>
        <v/>
      </c>
      <c r="I1836" s="29"/>
    </row>
    <row r="1837" spans="1:9">
      <c r="A1837" s="33"/>
      <c r="B1837" s="29"/>
      <c r="C1837" s="29"/>
      <c r="D1837" s="30"/>
      <c r="E1837" s="30"/>
      <c r="F1837" s="35"/>
      <c r="G1837" s="35"/>
      <c r="H1837" s="35" t="str">
        <f t="shared" si="28"/>
        <v/>
      </c>
      <c r="I1837" s="29"/>
    </row>
    <row r="1838" spans="1:9">
      <c r="A1838" s="33"/>
      <c r="B1838" s="29"/>
      <c r="C1838" s="29"/>
      <c r="D1838" s="30"/>
      <c r="E1838" s="30"/>
      <c r="F1838" s="35"/>
      <c r="G1838" s="35"/>
      <c r="H1838" s="35" t="str">
        <f t="shared" si="28"/>
        <v/>
      </c>
      <c r="I1838" s="29"/>
    </row>
    <row r="1839" spans="1:9">
      <c r="A1839" s="33"/>
      <c r="B1839" s="29"/>
      <c r="C1839" s="29"/>
      <c r="D1839" s="30"/>
      <c r="E1839" s="30"/>
      <c r="F1839" s="35"/>
      <c r="G1839" s="35"/>
      <c r="H1839" s="35" t="str">
        <f t="shared" si="28"/>
        <v/>
      </c>
      <c r="I1839" s="29"/>
    </row>
    <row r="1840" spans="1:9">
      <c r="A1840" s="33"/>
      <c r="B1840" s="29"/>
      <c r="C1840" s="29"/>
      <c r="D1840" s="30"/>
      <c r="E1840" s="30"/>
      <c r="F1840" s="35"/>
      <c r="G1840" s="35"/>
      <c r="H1840" s="35" t="str">
        <f t="shared" si="28"/>
        <v/>
      </c>
      <c r="I1840" s="29"/>
    </row>
    <row r="1841" spans="1:9">
      <c r="A1841" s="33"/>
      <c r="B1841" s="29"/>
      <c r="C1841" s="29"/>
      <c r="D1841" s="30"/>
      <c r="E1841" s="30"/>
      <c r="F1841" s="35"/>
      <c r="G1841" s="35"/>
      <c r="H1841" s="35" t="str">
        <f t="shared" si="28"/>
        <v/>
      </c>
      <c r="I1841" s="29"/>
    </row>
    <row r="1842" spans="1:9">
      <c r="A1842" s="33"/>
      <c r="B1842" s="29"/>
      <c r="C1842" s="29"/>
      <c r="D1842" s="30"/>
      <c r="E1842" s="30"/>
      <c r="F1842" s="35"/>
      <c r="G1842" s="35"/>
      <c r="H1842" s="35" t="str">
        <f t="shared" si="28"/>
        <v/>
      </c>
      <c r="I1842" s="29"/>
    </row>
    <row r="1843" spans="1:9">
      <c r="A1843" s="33"/>
      <c r="B1843" s="29"/>
      <c r="C1843" s="29"/>
      <c r="D1843" s="30"/>
      <c r="E1843" s="30"/>
      <c r="F1843" s="35"/>
      <c r="G1843" s="35"/>
      <c r="H1843" s="35" t="str">
        <f t="shared" si="28"/>
        <v/>
      </c>
      <c r="I1843" s="29"/>
    </row>
    <row r="1844" spans="1:9">
      <c r="A1844" s="33"/>
      <c r="B1844" s="29"/>
      <c r="C1844" s="29"/>
      <c r="D1844" s="30"/>
      <c r="E1844" s="30"/>
      <c r="F1844" s="35"/>
      <c r="G1844" s="35"/>
      <c r="H1844" s="35" t="str">
        <f t="shared" si="28"/>
        <v/>
      </c>
      <c r="I1844" s="29"/>
    </row>
    <row r="1845" spans="1:9">
      <c r="A1845" s="33"/>
      <c r="B1845" s="29"/>
      <c r="C1845" s="29"/>
      <c r="D1845" s="30"/>
      <c r="E1845" s="30"/>
      <c r="F1845" s="35"/>
      <c r="G1845" s="35"/>
      <c r="H1845" s="35" t="str">
        <f t="shared" si="28"/>
        <v/>
      </c>
      <c r="I1845" s="29"/>
    </row>
    <row r="1846" spans="1:9">
      <c r="A1846" s="33"/>
      <c r="B1846" s="29"/>
      <c r="C1846" s="29"/>
      <c r="D1846" s="30"/>
      <c r="E1846" s="30"/>
      <c r="F1846" s="35"/>
      <c r="G1846" s="35"/>
      <c r="H1846" s="35" t="str">
        <f t="shared" si="28"/>
        <v/>
      </c>
      <c r="I1846" s="29"/>
    </row>
    <row r="1847" spans="1:9">
      <c r="A1847" s="33"/>
      <c r="B1847" s="29"/>
      <c r="C1847" s="29"/>
      <c r="D1847" s="30"/>
      <c r="E1847" s="30"/>
      <c r="F1847" s="35"/>
      <c r="G1847" s="35"/>
      <c r="H1847" s="35" t="str">
        <f t="shared" si="28"/>
        <v/>
      </c>
      <c r="I1847" s="29"/>
    </row>
    <row r="1848" spans="1:9">
      <c r="A1848" s="33"/>
      <c r="B1848" s="29"/>
      <c r="C1848" s="29"/>
      <c r="D1848" s="30"/>
      <c r="E1848" s="30"/>
      <c r="F1848" s="35"/>
      <c r="G1848" s="35"/>
      <c r="H1848" s="35" t="str">
        <f t="shared" si="28"/>
        <v/>
      </c>
      <c r="I1848" s="29"/>
    </row>
    <row r="1849" spans="1:9">
      <c r="A1849" s="33"/>
      <c r="B1849" s="29"/>
      <c r="C1849" s="29"/>
      <c r="D1849" s="30"/>
      <c r="E1849" s="30"/>
      <c r="F1849" s="35"/>
      <c r="G1849" s="35"/>
      <c r="H1849" s="35" t="str">
        <f t="shared" si="28"/>
        <v/>
      </c>
      <c r="I1849" s="29"/>
    </row>
    <row r="1850" spans="1:9">
      <c r="A1850" s="33"/>
      <c r="B1850" s="29"/>
      <c r="C1850" s="29"/>
      <c r="D1850" s="30"/>
      <c r="E1850" s="30"/>
      <c r="F1850" s="35"/>
      <c r="G1850" s="35"/>
      <c r="H1850" s="35" t="str">
        <f t="shared" si="28"/>
        <v/>
      </c>
      <c r="I1850" s="29"/>
    </row>
    <row r="1851" spans="1:9">
      <c r="A1851" s="33"/>
      <c r="B1851" s="29"/>
      <c r="C1851" s="29"/>
      <c r="D1851" s="30"/>
      <c r="E1851" s="30"/>
      <c r="F1851" s="35"/>
      <c r="G1851" s="35"/>
      <c r="H1851" s="35" t="str">
        <f t="shared" si="28"/>
        <v/>
      </c>
      <c r="I1851" s="29"/>
    </row>
    <row r="1852" spans="1:9">
      <c r="A1852" s="33"/>
      <c r="B1852" s="29"/>
      <c r="C1852" s="29"/>
      <c r="D1852" s="30"/>
      <c r="E1852" s="30"/>
      <c r="F1852" s="35"/>
      <c r="G1852" s="35"/>
      <c r="H1852" s="35" t="str">
        <f t="shared" si="28"/>
        <v/>
      </c>
      <c r="I1852" s="29"/>
    </row>
    <row r="1853" spans="1:9">
      <c r="A1853" s="33"/>
      <c r="B1853" s="29"/>
      <c r="C1853" s="29"/>
      <c r="D1853" s="30"/>
      <c r="E1853" s="30"/>
      <c r="F1853" s="35"/>
      <c r="G1853" s="35"/>
      <c r="H1853" s="35" t="str">
        <f t="shared" si="28"/>
        <v/>
      </c>
      <c r="I1853" s="29"/>
    </row>
    <row r="1854" spans="1:9">
      <c r="A1854" s="33"/>
      <c r="B1854" s="29"/>
      <c r="C1854" s="29"/>
      <c r="D1854" s="30"/>
      <c r="E1854" s="30"/>
      <c r="F1854" s="35"/>
      <c r="G1854" s="35"/>
      <c r="H1854" s="35" t="str">
        <f t="shared" si="28"/>
        <v/>
      </c>
      <c r="I1854" s="29"/>
    </row>
    <row r="1855" spans="1:9">
      <c r="A1855" s="33"/>
      <c r="B1855" s="29"/>
      <c r="C1855" s="29"/>
      <c r="D1855" s="30"/>
      <c r="E1855" s="30"/>
      <c r="F1855" s="35"/>
      <c r="G1855" s="35"/>
      <c r="H1855" s="35" t="str">
        <f t="shared" si="28"/>
        <v/>
      </c>
      <c r="I1855" s="29"/>
    </row>
    <row r="1856" spans="1:9">
      <c r="A1856" s="33"/>
      <c r="B1856" s="29"/>
      <c r="C1856" s="29"/>
      <c r="D1856" s="30"/>
      <c r="E1856" s="30"/>
      <c r="F1856" s="35"/>
      <c r="G1856" s="35"/>
      <c r="H1856" s="35" t="str">
        <f t="shared" si="28"/>
        <v/>
      </c>
      <c r="I1856" s="29"/>
    </row>
    <row r="1857" spans="1:9">
      <c r="A1857" s="33"/>
      <c r="B1857" s="29"/>
      <c r="C1857" s="29"/>
      <c r="D1857" s="30"/>
      <c r="E1857" s="30"/>
      <c r="F1857" s="35"/>
      <c r="G1857" s="35"/>
      <c r="H1857" s="35" t="str">
        <f t="shared" si="28"/>
        <v/>
      </c>
      <c r="I1857" s="29"/>
    </row>
    <row r="1858" spans="1:9">
      <c r="A1858" s="33"/>
      <c r="B1858" s="29"/>
      <c r="C1858" s="29"/>
      <c r="D1858" s="30"/>
      <c r="E1858" s="30"/>
      <c r="F1858" s="35"/>
      <c r="G1858" s="35"/>
      <c r="H1858" s="35" t="str">
        <f t="shared" si="28"/>
        <v/>
      </c>
      <c r="I1858" s="29"/>
    </row>
    <row r="1859" spans="1:9">
      <c r="A1859" s="33"/>
      <c r="B1859" s="29"/>
      <c r="C1859" s="29"/>
      <c r="D1859" s="30"/>
      <c r="E1859" s="30"/>
      <c r="F1859" s="35"/>
      <c r="G1859" s="35"/>
      <c r="H1859" s="35" t="str">
        <f t="shared" si="28"/>
        <v/>
      </c>
      <c r="I1859" s="29"/>
    </row>
    <row r="1860" spans="1:9">
      <c r="A1860" s="33"/>
      <c r="B1860" s="29"/>
      <c r="C1860" s="29"/>
      <c r="D1860" s="30"/>
      <c r="E1860" s="30"/>
      <c r="F1860" s="35"/>
      <c r="G1860" s="35"/>
      <c r="H1860" s="35" t="str">
        <f t="shared" ref="H1860:H1923" si="29">IF(F1860="","",F1860-G1860)</f>
        <v/>
      </c>
      <c r="I1860" s="29"/>
    </row>
    <row r="1861" spans="1:9">
      <c r="A1861" s="33"/>
      <c r="B1861" s="29"/>
      <c r="C1861" s="29"/>
      <c r="D1861" s="30"/>
      <c r="E1861" s="30"/>
      <c r="F1861" s="35"/>
      <c r="G1861" s="35"/>
      <c r="H1861" s="35" t="str">
        <f t="shared" si="29"/>
        <v/>
      </c>
      <c r="I1861" s="29"/>
    </row>
    <row r="1862" spans="1:9">
      <c r="A1862" s="33"/>
      <c r="B1862" s="29"/>
      <c r="C1862" s="29"/>
      <c r="D1862" s="30"/>
      <c r="E1862" s="30"/>
      <c r="F1862" s="35"/>
      <c r="G1862" s="35"/>
      <c r="H1862" s="35" t="str">
        <f t="shared" si="29"/>
        <v/>
      </c>
      <c r="I1862" s="29"/>
    </row>
    <row r="1863" spans="1:9">
      <c r="A1863" s="33"/>
      <c r="B1863" s="29"/>
      <c r="C1863" s="29"/>
      <c r="D1863" s="30"/>
      <c r="E1863" s="30"/>
      <c r="F1863" s="35"/>
      <c r="G1863" s="35"/>
      <c r="H1863" s="35" t="str">
        <f t="shared" si="29"/>
        <v/>
      </c>
      <c r="I1863" s="29"/>
    </row>
    <row r="1864" spans="1:9">
      <c r="A1864" s="33"/>
      <c r="B1864" s="29"/>
      <c r="C1864" s="29"/>
      <c r="D1864" s="30"/>
      <c r="E1864" s="30"/>
      <c r="F1864" s="35"/>
      <c r="G1864" s="35"/>
      <c r="H1864" s="35" t="str">
        <f t="shared" si="29"/>
        <v/>
      </c>
      <c r="I1864" s="29"/>
    </row>
    <row r="1865" spans="1:9">
      <c r="A1865" s="33"/>
      <c r="B1865" s="29"/>
      <c r="C1865" s="29"/>
      <c r="D1865" s="30"/>
      <c r="E1865" s="30"/>
      <c r="F1865" s="35"/>
      <c r="G1865" s="35"/>
      <c r="H1865" s="35" t="str">
        <f t="shared" si="29"/>
        <v/>
      </c>
      <c r="I1865" s="29"/>
    </row>
    <row r="1866" spans="1:9">
      <c r="A1866" s="33"/>
      <c r="B1866" s="29"/>
      <c r="C1866" s="29"/>
      <c r="D1866" s="30"/>
      <c r="E1866" s="30"/>
      <c r="F1866" s="35"/>
      <c r="G1866" s="35"/>
      <c r="H1866" s="35" t="str">
        <f t="shared" si="29"/>
        <v/>
      </c>
      <c r="I1866" s="29"/>
    </row>
    <row r="1867" spans="1:9">
      <c r="A1867" s="33"/>
      <c r="B1867" s="29"/>
      <c r="C1867" s="29"/>
      <c r="D1867" s="30"/>
      <c r="E1867" s="30"/>
      <c r="F1867" s="35"/>
      <c r="G1867" s="35"/>
      <c r="H1867" s="35" t="str">
        <f t="shared" si="29"/>
        <v/>
      </c>
      <c r="I1867" s="29"/>
    </row>
    <row r="1868" spans="1:9">
      <c r="A1868" s="33"/>
      <c r="B1868" s="29"/>
      <c r="C1868" s="29"/>
      <c r="D1868" s="30"/>
      <c r="E1868" s="30"/>
      <c r="F1868" s="35"/>
      <c r="G1868" s="35"/>
      <c r="H1868" s="35" t="str">
        <f t="shared" si="29"/>
        <v/>
      </c>
      <c r="I1868" s="29"/>
    </row>
    <row r="1869" spans="1:9">
      <c r="A1869" s="33"/>
      <c r="B1869" s="29"/>
      <c r="C1869" s="29"/>
      <c r="D1869" s="30"/>
      <c r="E1869" s="30"/>
      <c r="F1869" s="35"/>
      <c r="G1869" s="35"/>
      <c r="H1869" s="35" t="str">
        <f t="shared" si="29"/>
        <v/>
      </c>
      <c r="I1869" s="29"/>
    </row>
    <row r="1870" spans="1:9">
      <c r="A1870" s="33"/>
      <c r="B1870" s="29"/>
      <c r="C1870" s="29"/>
      <c r="D1870" s="30"/>
      <c r="E1870" s="30"/>
      <c r="F1870" s="35"/>
      <c r="G1870" s="35"/>
      <c r="H1870" s="35" t="str">
        <f t="shared" si="29"/>
        <v/>
      </c>
      <c r="I1870" s="29"/>
    </row>
    <row r="1871" spans="1:9">
      <c r="A1871" s="33"/>
      <c r="B1871" s="29"/>
      <c r="C1871" s="29"/>
      <c r="D1871" s="30"/>
      <c r="E1871" s="30"/>
      <c r="F1871" s="35"/>
      <c r="G1871" s="35"/>
      <c r="H1871" s="35" t="str">
        <f t="shared" si="29"/>
        <v/>
      </c>
      <c r="I1871" s="29"/>
    </row>
    <row r="1872" spans="1:9">
      <c r="A1872" s="33"/>
      <c r="B1872" s="29"/>
      <c r="C1872" s="29"/>
      <c r="D1872" s="30"/>
      <c r="E1872" s="30"/>
      <c r="F1872" s="35"/>
      <c r="G1872" s="35"/>
      <c r="H1872" s="35" t="str">
        <f t="shared" si="29"/>
        <v/>
      </c>
      <c r="I1872" s="29"/>
    </row>
    <row r="1873" spans="1:9">
      <c r="A1873" s="33"/>
      <c r="B1873" s="29"/>
      <c r="C1873" s="29"/>
      <c r="D1873" s="30"/>
      <c r="E1873" s="30"/>
      <c r="F1873" s="35"/>
      <c r="G1873" s="35"/>
      <c r="H1873" s="35" t="str">
        <f t="shared" si="29"/>
        <v/>
      </c>
      <c r="I1873" s="29"/>
    </row>
    <row r="1874" spans="1:9">
      <c r="A1874" s="33"/>
      <c r="B1874" s="29"/>
      <c r="C1874" s="29"/>
      <c r="D1874" s="30"/>
      <c r="E1874" s="30"/>
      <c r="F1874" s="35"/>
      <c r="G1874" s="35"/>
      <c r="H1874" s="35" t="str">
        <f t="shared" si="29"/>
        <v/>
      </c>
      <c r="I1874" s="29"/>
    </row>
    <row r="1875" spans="1:9">
      <c r="A1875" s="33"/>
      <c r="B1875" s="29"/>
      <c r="C1875" s="29"/>
      <c r="D1875" s="30"/>
      <c r="E1875" s="30"/>
      <c r="F1875" s="35"/>
      <c r="G1875" s="35"/>
      <c r="H1875" s="35" t="str">
        <f t="shared" si="29"/>
        <v/>
      </c>
      <c r="I1875" s="29"/>
    </row>
    <row r="1876" spans="1:9">
      <c r="A1876" s="33"/>
      <c r="B1876" s="29"/>
      <c r="C1876" s="29"/>
      <c r="D1876" s="30"/>
      <c r="E1876" s="30"/>
      <c r="F1876" s="35"/>
      <c r="G1876" s="35"/>
      <c r="H1876" s="35" t="str">
        <f t="shared" si="29"/>
        <v/>
      </c>
      <c r="I1876" s="29"/>
    </row>
    <row r="1877" spans="1:9">
      <c r="A1877" s="33"/>
      <c r="B1877" s="29"/>
      <c r="C1877" s="29"/>
      <c r="D1877" s="30"/>
      <c r="E1877" s="30"/>
      <c r="F1877" s="35"/>
      <c r="G1877" s="35"/>
      <c r="H1877" s="35" t="str">
        <f t="shared" si="29"/>
        <v/>
      </c>
      <c r="I1877" s="29"/>
    </row>
    <row r="1878" spans="1:9">
      <c r="A1878" s="33"/>
      <c r="B1878" s="29"/>
      <c r="C1878" s="29"/>
      <c r="D1878" s="30"/>
      <c r="E1878" s="30"/>
      <c r="F1878" s="35"/>
      <c r="G1878" s="35"/>
      <c r="H1878" s="35" t="str">
        <f t="shared" si="29"/>
        <v/>
      </c>
      <c r="I1878" s="29"/>
    </row>
    <row r="1879" spans="1:9">
      <c r="A1879" s="33"/>
      <c r="B1879" s="29"/>
      <c r="C1879" s="29"/>
      <c r="D1879" s="30"/>
      <c r="E1879" s="30"/>
      <c r="F1879" s="35"/>
      <c r="G1879" s="35"/>
      <c r="H1879" s="35" t="str">
        <f t="shared" si="29"/>
        <v/>
      </c>
      <c r="I1879" s="29"/>
    </row>
    <row r="1880" spans="1:9">
      <c r="A1880" s="33"/>
      <c r="B1880" s="29"/>
      <c r="C1880" s="29"/>
      <c r="D1880" s="30"/>
      <c r="E1880" s="30"/>
      <c r="F1880" s="35"/>
      <c r="G1880" s="35"/>
      <c r="H1880" s="35" t="str">
        <f t="shared" si="29"/>
        <v/>
      </c>
      <c r="I1880" s="29"/>
    </row>
    <row r="1881" spans="1:9">
      <c r="A1881" s="33"/>
      <c r="B1881" s="29"/>
      <c r="C1881" s="29"/>
      <c r="D1881" s="30"/>
      <c r="E1881" s="30"/>
      <c r="F1881" s="35"/>
      <c r="G1881" s="35"/>
      <c r="H1881" s="35" t="str">
        <f t="shared" si="29"/>
        <v/>
      </c>
      <c r="I1881" s="29"/>
    </row>
    <row r="1882" spans="1:9">
      <c r="A1882" s="33"/>
      <c r="B1882" s="29"/>
      <c r="C1882" s="29"/>
      <c r="D1882" s="30"/>
      <c r="E1882" s="30"/>
      <c r="F1882" s="35"/>
      <c r="G1882" s="35"/>
      <c r="H1882" s="35" t="str">
        <f t="shared" si="29"/>
        <v/>
      </c>
      <c r="I1882" s="29"/>
    </row>
    <row r="1883" spans="1:9">
      <c r="A1883" s="33"/>
      <c r="B1883" s="29"/>
      <c r="C1883" s="29"/>
      <c r="D1883" s="30"/>
      <c r="E1883" s="30"/>
      <c r="F1883" s="35"/>
      <c r="G1883" s="35"/>
      <c r="H1883" s="35" t="str">
        <f t="shared" si="29"/>
        <v/>
      </c>
      <c r="I1883" s="29"/>
    </row>
    <row r="1884" spans="1:9">
      <c r="A1884" s="33"/>
      <c r="B1884" s="29"/>
      <c r="C1884" s="29"/>
      <c r="D1884" s="30"/>
      <c r="E1884" s="30"/>
      <c r="F1884" s="35"/>
      <c r="G1884" s="35"/>
      <c r="H1884" s="35" t="str">
        <f t="shared" si="29"/>
        <v/>
      </c>
      <c r="I1884" s="29"/>
    </row>
    <row r="1885" spans="1:9">
      <c r="A1885" s="33"/>
      <c r="B1885" s="29"/>
      <c r="C1885" s="29"/>
      <c r="D1885" s="30"/>
      <c r="E1885" s="30"/>
      <c r="F1885" s="35"/>
      <c r="G1885" s="35"/>
      <c r="H1885" s="35" t="str">
        <f t="shared" si="29"/>
        <v/>
      </c>
      <c r="I1885" s="29"/>
    </row>
    <row r="1886" spans="1:9">
      <c r="A1886" s="33"/>
      <c r="B1886" s="29"/>
      <c r="C1886" s="29"/>
      <c r="D1886" s="30"/>
      <c r="E1886" s="30"/>
      <c r="F1886" s="35"/>
      <c r="G1886" s="35"/>
      <c r="H1886" s="35" t="str">
        <f t="shared" si="29"/>
        <v/>
      </c>
      <c r="I1886" s="29"/>
    </row>
    <row r="1887" spans="1:9">
      <c r="A1887" s="33"/>
      <c r="B1887" s="29"/>
      <c r="C1887" s="29"/>
      <c r="D1887" s="30"/>
      <c r="E1887" s="30"/>
      <c r="F1887" s="35"/>
      <c r="G1887" s="35"/>
      <c r="H1887" s="35" t="str">
        <f t="shared" si="29"/>
        <v/>
      </c>
      <c r="I1887" s="29"/>
    </row>
    <row r="1888" spans="1:9">
      <c r="A1888" s="33"/>
      <c r="B1888" s="29"/>
      <c r="C1888" s="29"/>
      <c r="D1888" s="30"/>
      <c r="E1888" s="30"/>
      <c r="F1888" s="35"/>
      <c r="G1888" s="35"/>
      <c r="H1888" s="35" t="str">
        <f t="shared" si="29"/>
        <v/>
      </c>
      <c r="I1888" s="29"/>
    </row>
    <row r="1889" spans="1:9">
      <c r="A1889" s="33"/>
      <c r="B1889" s="29"/>
      <c r="C1889" s="29"/>
      <c r="D1889" s="30"/>
      <c r="E1889" s="30"/>
      <c r="F1889" s="35"/>
      <c r="G1889" s="35"/>
      <c r="H1889" s="35" t="str">
        <f t="shared" si="29"/>
        <v/>
      </c>
      <c r="I1889" s="29"/>
    </row>
    <row r="1890" spans="1:9">
      <c r="A1890" s="33"/>
      <c r="B1890" s="29"/>
      <c r="C1890" s="29"/>
      <c r="D1890" s="30"/>
      <c r="E1890" s="30"/>
      <c r="F1890" s="35"/>
      <c r="G1890" s="35"/>
      <c r="H1890" s="35" t="str">
        <f t="shared" si="29"/>
        <v/>
      </c>
      <c r="I1890" s="29"/>
    </row>
    <row r="1891" spans="1:9">
      <c r="A1891" s="33"/>
      <c r="B1891" s="29"/>
      <c r="C1891" s="29"/>
      <c r="D1891" s="30"/>
      <c r="E1891" s="30"/>
      <c r="F1891" s="35"/>
      <c r="G1891" s="35"/>
      <c r="H1891" s="35" t="str">
        <f t="shared" si="29"/>
        <v/>
      </c>
      <c r="I1891" s="29"/>
    </row>
    <row r="1892" spans="1:9">
      <c r="A1892" s="33"/>
      <c r="B1892" s="29"/>
      <c r="C1892" s="29"/>
      <c r="D1892" s="30"/>
      <c r="E1892" s="30"/>
      <c r="F1892" s="35"/>
      <c r="G1892" s="35"/>
      <c r="H1892" s="35" t="str">
        <f t="shared" si="29"/>
        <v/>
      </c>
      <c r="I1892" s="29"/>
    </row>
    <row r="1893" spans="1:9">
      <c r="A1893" s="33"/>
      <c r="B1893" s="29"/>
      <c r="C1893" s="29"/>
      <c r="D1893" s="30"/>
      <c r="E1893" s="30"/>
      <c r="F1893" s="35"/>
      <c r="G1893" s="35"/>
      <c r="H1893" s="35" t="str">
        <f t="shared" si="29"/>
        <v/>
      </c>
      <c r="I1893" s="29"/>
    </row>
    <row r="1894" spans="1:9">
      <c r="A1894" s="33"/>
      <c r="B1894" s="29"/>
      <c r="C1894" s="29"/>
      <c r="D1894" s="30"/>
      <c r="E1894" s="30"/>
      <c r="F1894" s="35"/>
      <c r="G1894" s="35"/>
      <c r="H1894" s="35" t="str">
        <f t="shared" si="29"/>
        <v/>
      </c>
      <c r="I1894" s="29"/>
    </row>
    <row r="1895" spans="1:9">
      <c r="A1895" s="33"/>
      <c r="B1895" s="29"/>
      <c r="C1895" s="29"/>
      <c r="D1895" s="30"/>
      <c r="E1895" s="30"/>
      <c r="F1895" s="35"/>
      <c r="G1895" s="35"/>
      <c r="H1895" s="35" t="str">
        <f t="shared" si="29"/>
        <v/>
      </c>
      <c r="I1895" s="29"/>
    </row>
    <row r="1896" spans="1:9">
      <c r="A1896" s="33"/>
      <c r="B1896" s="29"/>
      <c r="C1896" s="29"/>
      <c r="D1896" s="30"/>
      <c r="E1896" s="30"/>
      <c r="F1896" s="35"/>
      <c r="G1896" s="35"/>
      <c r="H1896" s="35" t="str">
        <f t="shared" si="29"/>
        <v/>
      </c>
      <c r="I1896" s="29"/>
    </row>
    <row r="1897" spans="1:9">
      <c r="A1897" s="33"/>
      <c r="B1897" s="29"/>
      <c r="C1897" s="29"/>
      <c r="D1897" s="30"/>
      <c r="E1897" s="30"/>
      <c r="F1897" s="35"/>
      <c r="G1897" s="35"/>
      <c r="H1897" s="35" t="str">
        <f t="shared" si="29"/>
        <v/>
      </c>
      <c r="I1897" s="29"/>
    </row>
    <row r="1898" spans="1:9">
      <c r="A1898" s="33"/>
      <c r="B1898" s="29"/>
      <c r="C1898" s="29"/>
      <c r="D1898" s="30"/>
      <c r="E1898" s="30"/>
      <c r="F1898" s="35"/>
      <c r="G1898" s="35"/>
      <c r="H1898" s="35" t="str">
        <f t="shared" si="29"/>
        <v/>
      </c>
      <c r="I1898" s="29"/>
    </row>
    <row r="1899" spans="1:9">
      <c r="A1899" s="33"/>
      <c r="B1899" s="29"/>
      <c r="C1899" s="29"/>
      <c r="D1899" s="30"/>
      <c r="E1899" s="30"/>
      <c r="F1899" s="35"/>
      <c r="G1899" s="35"/>
      <c r="H1899" s="35" t="str">
        <f t="shared" si="29"/>
        <v/>
      </c>
      <c r="I1899" s="29"/>
    </row>
    <row r="1900" spans="1:9">
      <c r="A1900" s="33"/>
      <c r="B1900" s="29"/>
      <c r="C1900" s="29"/>
      <c r="D1900" s="30"/>
      <c r="E1900" s="30"/>
      <c r="F1900" s="35"/>
      <c r="G1900" s="35"/>
      <c r="H1900" s="35" t="str">
        <f t="shared" si="29"/>
        <v/>
      </c>
      <c r="I1900" s="29"/>
    </row>
    <row r="1901" spans="1:9">
      <c r="A1901" s="33"/>
      <c r="B1901" s="29"/>
      <c r="C1901" s="29"/>
      <c r="D1901" s="30"/>
      <c r="E1901" s="30"/>
      <c r="F1901" s="35"/>
      <c r="G1901" s="35"/>
      <c r="H1901" s="35" t="str">
        <f t="shared" si="29"/>
        <v/>
      </c>
      <c r="I1901" s="29"/>
    </row>
    <row r="1902" spans="1:9">
      <c r="A1902" s="33"/>
      <c r="B1902" s="29"/>
      <c r="C1902" s="29"/>
      <c r="D1902" s="30"/>
      <c r="E1902" s="30"/>
      <c r="F1902" s="35"/>
      <c r="G1902" s="35"/>
      <c r="H1902" s="35" t="str">
        <f t="shared" si="29"/>
        <v/>
      </c>
      <c r="I1902" s="29"/>
    </row>
    <row r="1903" spans="1:9">
      <c r="A1903" s="33"/>
      <c r="B1903" s="29"/>
      <c r="C1903" s="29"/>
      <c r="D1903" s="30"/>
      <c r="E1903" s="30"/>
      <c r="F1903" s="35"/>
      <c r="G1903" s="35"/>
      <c r="H1903" s="35" t="str">
        <f t="shared" si="29"/>
        <v/>
      </c>
      <c r="I1903" s="29"/>
    </row>
    <row r="1904" spans="1:9">
      <c r="A1904" s="33"/>
      <c r="B1904" s="29"/>
      <c r="C1904" s="29"/>
      <c r="D1904" s="30"/>
      <c r="E1904" s="30"/>
      <c r="F1904" s="35"/>
      <c r="G1904" s="35"/>
      <c r="H1904" s="35" t="str">
        <f t="shared" si="29"/>
        <v/>
      </c>
      <c r="I1904" s="29"/>
    </row>
    <row r="1905" spans="1:9">
      <c r="A1905" s="33"/>
      <c r="B1905" s="29"/>
      <c r="C1905" s="29"/>
      <c r="D1905" s="30"/>
      <c r="E1905" s="30"/>
      <c r="F1905" s="35"/>
      <c r="G1905" s="35"/>
      <c r="H1905" s="35" t="str">
        <f t="shared" si="29"/>
        <v/>
      </c>
      <c r="I1905" s="29"/>
    </row>
    <row r="1906" spans="1:9">
      <c r="A1906" s="33"/>
      <c r="B1906" s="29"/>
      <c r="C1906" s="29"/>
      <c r="D1906" s="30"/>
      <c r="E1906" s="30"/>
      <c r="F1906" s="35"/>
      <c r="G1906" s="35"/>
      <c r="H1906" s="35" t="str">
        <f t="shared" si="29"/>
        <v/>
      </c>
      <c r="I1906" s="29"/>
    </row>
    <row r="1907" spans="1:9">
      <c r="A1907" s="33"/>
      <c r="B1907" s="29"/>
      <c r="C1907" s="29"/>
      <c r="D1907" s="30"/>
      <c r="E1907" s="30"/>
      <c r="F1907" s="35"/>
      <c r="G1907" s="35"/>
      <c r="H1907" s="35" t="str">
        <f t="shared" si="29"/>
        <v/>
      </c>
      <c r="I1907" s="29"/>
    </row>
    <row r="1908" spans="1:9">
      <c r="A1908" s="33"/>
      <c r="B1908" s="29"/>
      <c r="C1908" s="29"/>
      <c r="D1908" s="30"/>
      <c r="E1908" s="30"/>
      <c r="F1908" s="35"/>
      <c r="G1908" s="35"/>
      <c r="H1908" s="35" t="str">
        <f t="shared" si="29"/>
        <v/>
      </c>
      <c r="I1908" s="29"/>
    </row>
    <row r="1909" spans="1:9">
      <c r="A1909" s="33"/>
      <c r="B1909" s="29"/>
      <c r="C1909" s="29"/>
      <c r="D1909" s="30"/>
      <c r="E1909" s="30"/>
      <c r="F1909" s="35"/>
      <c r="G1909" s="35"/>
      <c r="H1909" s="35" t="str">
        <f t="shared" si="29"/>
        <v/>
      </c>
      <c r="I1909" s="29"/>
    </row>
    <row r="1910" spans="1:9">
      <c r="A1910" s="33"/>
      <c r="B1910" s="29"/>
      <c r="C1910" s="29"/>
      <c r="D1910" s="30"/>
      <c r="E1910" s="30"/>
      <c r="F1910" s="35"/>
      <c r="G1910" s="35"/>
      <c r="H1910" s="35" t="str">
        <f t="shared" si="29"/>
        <v/>
      </c>
      <c r="I1910" s="29"/>
    </row>
    <row r="1911" spans="1:9">
      <c r="A1911" s="33"/>
      <c r="B1911" s="29"/>
      <c r="C1911" s="29"/>
      <c r="D1911" s="30"/>
      <c r="E1911" s="30"/>
      <c r="F1911" s="35"/>
      <c r="G1911" s="35"/>
      <c r="H1911" s="35" t="str">
        <f t="shared" si="29"/>
        <v/>
      </c>
      <c r="I1911" s="29"/>
    </row>
    <row r="1912" spans="1:9">
      <c r="A1912" s="33"/>
      <c r="B1912" s="29"/>
      <c r="C1912" s="29"/>
      <c r="D1912" s="30"/>
      <c r="E1912" s="30"/>
      <c r="F1912" s="35"/>
      <c r="G1912" s="35"/>
      <c r="H1912" s="35" t="str">
        <f t="shared" si="29"/>
        <v/>
      </c>
      <c r="I1912" s="29"/>
    </row>
    <row r="1913" spans="1:9">
      <c r="A1913" s="33"/>
      <c r="B1913" s="29"/>
      <c r="C1913" s="29"/>
      <c r="D1913" s="30"/>
      <c r="E1913" s="30"/>
      <c r="F1913" s="35"/>
      <c r="G1913" s="35"/>
      <c r="H1913" s="35" t="str">
        <f t="shared" si="29"/>
        <v/>
      </c>
      <c r="I1913" s="29"/>
    </row>
    <row r="1914" spans="1:9">
      <c r="A1914" s="33"/>
      <c r="B1914" s="29"/>
      <c r="C1914" s="29"/>
      <c r="D1914" s="30"/>
      <c r="E1914" s="30"/>
      <c r="F1914" s="35"/>
      <c r="G1914" s="35"/>
      <c r="H1914" s="35" t="str">
        <f t="shared" si="29"/>
        <v/>
      </c>
      <c r="I1914" s="29"/>
    </row>
    <row r="1915" spans="1:9">
      <c r="A1915" s="33"/>
      <c r="B1915" s="29"/>
      <c r="C1915" s="29"/>
      <c r="D1915" s="30"/>
      <c r="E1915" s="30"/>
      <c r="F1915" s="35"/>
      <c r="G1915" s="35"/>
      <c r="H1915" s="35" t="str">
        <f t="shared" si="29"/>
        <v/>
      </c>
      <c r="I1915" s="29"/>
    </row>
    <row r="1916" spans="1:9">
      <c r="A1916" s="33"/>
      <c r="B1916" s="29"/>
      <c r="C1916" s="29"/>
      <c r="D1916" s="30"/>
      <c r="E1916" s="30"/>
      <c r="F1916" s="35"/>
      <c r="G1916" s="35"/>
      <c r="H1916" s="35" t="str">
        <f t="shared" si="29"/>
        <v/>
      </c>
      <c r="I1916" s="29"/>
    </row>
    <row r="1917" spans="1:9">
      <c r="A1917" s="33"/>
      <c r="B1917" s="29"/>
      <c r="C1917" s="29"/>
      <c r="D1917" s="30"/>
      <c r="E1917" s="30"/>
      <c r="F1917" s="35"/>
      <c r="G1917" s="35"/>
      <c r="H1917" s="35" t="str">
        <f t="shared" si="29"/>
        <v/>
      </c>
      <c r="I1917" s="29"/>
    </row>
    <row r="1918" spans="1:9">
      <c r="A1918" s="33"/>
      <c r="B1918" s="29"/>
      <c r="C1918" s="29"/>
      <c r="D1918" s="30"/>
      <c r="E1918" s="30"/>
      <c r="F1918" s="35"/>
      <c r="G1918" s="35"/>
      <c r="H1918" s="35" t="str">
        <f t="shared" si="29"/>
        <v/>
      </c>
      <c r="I1918" s="29"/>
    </row>
    <row r="1919" spans="1:9">
      <c r="A1919" s="33"/>
      <c r="B1919" s="29"/>
      <c r="C1919" s="29"/>
      <c r="D1919" s="30"/>
      <c r="E1919" s="30"/>
      <c r="F1919" s="35"/>
      <c r="G1919" s="35"/>
      <c r="H1919" s="35" t="str">
        <f t="shared" si="29"/>
        <v/>
      </c>
      <c r="I1919" s="29"/>
    </row>
    <row r="1920" spans="1:9">
      <c r="A1920" s="33"/>
      <c r="B1920" s="29"/>
      <c r="C1920" s="29"/>
      <c r="D1920" s="30"/>
      <c r="E1920" s="30"/>
      <c r="F1920" s="35"/>
      <c r="G1920" s="35"/>
      <c r="H1920" s="35" t="str">
        <f t="shared" si="29"/>
        <v/>
      </c>
      <c r="I1920" s="29"/>
    </row>
    <row r="1921" spans="1:9">
      <c r="A1921" s="33"/>
      <c r="B1921" s="29"/>
      <c r="C1921" s="29"/>
      <c r="D1921" s="30"/>
      <c r="E1921" s="30"/>
      <c r="F1921" s="35"/>
      <c r="G1921" s="35"/>
      <c r="H1921" s="35" t="str">
        <f t="shared" si="29"/>
        <v/>
      </c>
      <c r="I1921" s="29"/>
    </row>
    <row r="1922" spans="1:9">
      <c r="A1922" s="33"/>
      <c r="B1922" s="29"/>
      <c r="C1922" s="29"/>
      <c r="D1922" s="30"/>
      <c r="E1922" s="30"/>
      <c r="F1922" s="35"/>
      <c r="G1922" s="35"/>
      <c r="H1922" s="35" t="str">
        <f t="shared" si="29"/>
        <v/>
      </c>
      <c r="I1922" s="29"/>
    </row>
    <row r="1923" spans="1:9">
      <c r="A1923" s="33"/>
      <c r="B1923" s="29"/>
      <c r="C1923" s="29"/>
      <c r="D1923" s="30"/>
      <c r="E1923" s="30"/>
      <c r="F1923" s="35"/>
      <c r="G1923" s="35"/>
      <c r="H1923" s="35" t="str">
        <f t="shared" si="29"/>
        <v/>
      </c>
      <c r="I1923" s="29"/>
    </row>
    <row r="1924" spans="1:9">
      <c r="A1924" s="33"/>
      <c r="B1924" s="29"/>
      <c r="C1924" s="29"/>
      <c r="D1924" s="30"/>
      <c r="E1924" s="30"/>
      <c r="F1924" s="35"/>
      <c r="G1924" s="35"/>
      <c r="H1924" s="35" t="str">
        <f t="shared" ref="H1924:H1987" si="30">IF(F1924="","",F1924-G1924)</f>
        <v/>
      </c>
      <c r="I1924" s="29"/>
    </row>
    <row r="1925" spans="1:9">
      <c r="A1925" s="33"/>
      <c r="B1925" s="29"/>
      <c r="C1925" s="29"/>
      <c r="D1925" s="30"/>
      <c r="E1925" s="30"/>
      <c r="F1925" s="35"/>
      <c r="G1925" s="35"/>
      <c r="H1925" s="35" t="str">
        <f t="shared" si="30"/>
        <v/>
      </c>
      <c r="I1925" s="29"/>
    </row>
    <row r="1926" spans="1:9">
      <c r="A1926" s="33"/>
      <c r="B1926" s="29"/>
      <c r="C1926" s="29"/>
      <c r="D1926" s="30"/>
      <c r="E1926" s="30"/>
      <c r="F1926" s="35"/>
      <c r="G1926" s="35"/>
      <c r="H1926" s="35" t="str">
        <f t="shared" si="30"/>
        <v/>
      </c>
      <c r="I1926" s="29"/>
    </row>
    <row r="1927" spans="1:9">
      <c r="A1927" s="33"/>
      <c r="B1927" s="29"/>
      <c r="C1927" s="29"/>
      <c r="D1927" s="30"/>
      <c r="E1927" s="30"/>
      <c r="F1927" s="35"/>
      <c r="G1927" s="35"/>
      <c r="H1927" s="35" t="str">
        <f t="shared" si="30"/>
        <v/>
      </c>
      <c r="I1927" s="29"/>
    </row>
    <row r="1928" spans="1:9">
      <c r="A1928" s="33"/>
      <c r="B1928" s="29"/>
      <c r="C1928" s="29"/>
      <c r="D1928" s="30"/>
      <c r="E1928" s="30"/>
      <c r="F1928" s="35"/>
      <c r="G1928" s="35"/>
      <c r="H1928" s="35" t="str">
        <f t="shared" si="30"/>
        <v/>
      </c>
      <c r="I1928" s="29"/>
    </row>
    <row r="1929" spans="1:9">
      <c r="A1929" s="33"/>
      <c r="B1929" s="29"/>
      <c r="C1929" s="29"/>
      <c r="D1929" s="30"/>
      <c r="E1929" s="30"/>
      <c r="F1929" s="35"/>
      <c r="G1929" s="35"/>
      <c r="H1929" s="35" t="str">
        <f t="shared" si="30"/>
        <v/>
      </c>
      <c r="I1929" s="29"/>
    </row>
    <row r="1930" spans="1:9">
      <c r="A1930" s="33"/>
      <c r="B1930" s="29"/>
      <c r="C1930" s="29"/>
      <c r="D1930" s="30"/>
      <c r="E1930" s="30"/>
      <c r="F1930" s="35"/>
      <c r="G1930" s="35"/>
      <c r="H1930" s="35" t="str">
        <f t="shared" si="30"/>
        <v/>
      </c>
      <c r="I1930" s="29"/>
    </row>
    <row r="1931" spans="1:9">
      <c r="A1931" s="33"/>
      <c r="B1931" s="29"/>
      <c r="C1931" s="29"/>
      <c r="D1931" s="30"/>
      <c r="E1931" s="30"/>
      <c r="F1931" s="35"/>
      <c r="G1931" s="35"/>
      <c r="H1931" s="35" t="str">
        <f t="shared" si="30"/>
        <v/>
      </c>
      <c r="I1931" s="29"/>
    </row>
    <row r="1932" spans="1:9">
      <c r="A1932" s="33"/>
      <c r="B1932" s="29"/>
      <c r="C1932" s="29"/>
      <c r="D1932" s="30"/>
      <c r="E1932" s="30"/>
      <c r="F1932" s="35"/>
      <c r="G1932" s="35"/>
      <c r="H1932" s="35" t="str">
        <f t="shared" si="30"/>
        <v/>
      </c>
      <c r="I1932" s="29"/>
    </row>
    <row r="1933" spans="1:9">
      <c r="A1933" s="33"/>
      <c r="B1933" s="29"/>
      <c r="C1933" s="29"/>
      <c r="D1933" s="30"/>
      <c r="E1933" s="30"/>
      <c r="F1933" s="35"/>
      <c r="G1933" s="35"/>
      <c r="H1933" s="35" t="str">
        <f t="shared" si="30"/>
        <v/>
      </c>
      <c r="I1933" s="29"/>
    </row>
    <row r="1934" spans="1:9">
      <c r="A1934" s="33"/>
      <c r="B1934" s="29"/>
      <c r="C1934" s="29"/>
      <c r="D1934" s="30"/>
      <c r="E1934" s="30"/>
      <c r="F1934" s="35"/>
      <c r="G1934" s="35"/>
      <c r="H1934" s="35" t="str">
        <f t="shared" si="30"/>
        <v/>
      </c>
      <c r="I1934" s="29"/>
    </row>
    <row r="1935" spans="1:9">
      <c r="A1935" s="33"/>
      <c r="B1935" s="29"/>
      <c r="C1935" s="29"/>
      <c r="D1935" s="30"/>
      <c r="E1935" s="30"/>
      <c r="F1935" s="35"/>
      <c r="G1935" s="35"/>
      <c r="H1935" s="35" t="str">
        <f t="shared" si="30"/>
        <v/>
      </c>
      <c r="I1935" s="29"/>
    </row>
    <row r="1936" spans="1:9">
      <c r="A1936" s="33"/>
      <c r="B1936" s="29"/>
      <c r="C1936" s="29"/>
      <c r="D1936" s="30"/>
      <c r="E1936" s="30"/>
      <c r="F1936" s="35"/>
      <c r="G1936" s="35"/>
      <c r="H1936" s="35" t="str">
        <f t="shared" si="30"/>
        <v/>
      </c>
      <c r="I1936" s="29"/>
    </row>
    <row r="1937" spans="1:9">
      <c r="A1937" s="33"/>
      <c r="B1937" s="29"/>
      <c r="C1937" s="29"/>
      <c r="D1937" s="30"/>
      <c r="E1937" s="30"/>
      <c r="F1937" s="35"/>
      <c r="G1937" s="35"/>
      <c r="H1937" s="35" t="str">
        <f t="shared" si="30"/>
        <v/>
      </c>
      <c r="I1937" s="29"/>
    </row>
    <row r="1938" spans="1:9">
      <c r="A1938" s="33"/>
      <c r="B1938" s="29"/>
      <c r="C1938" s="29"/>
      <c r="D1938" s="30"/>
      <c r="E1938" s="30"/>
      <c r="F1938" s="35"/>
      <c r="G1938" s="35"/>
      <c r="H1938" s="35" t="str">
        <f t="shared" si="30"/>
        <v/>
      </c>
      <c r="I1938" s="29"/>
    </row>
    <row r="1939" spans="1:9">
      <c r="A1939" s="33"/>
      <c r="B1939" s="29"/>
      <c r="C1939" s="29"/>
      <c r="D1939" s="30"/>
      <c r="E1939" s="30"/>
      <c r="F1939" s="35"/>
      <c r="G1939" s="35"/>
      <c r="H1939" s="35" t="str">
        <f t="shared" si="30"/>
        <v/>
      </c>
      <c r="I1939" s="29"/>
    </row>
    <row r="1940" spans="1:9">
      <c r="A1940" s="33"/>
      <c r="B1940" s="29"/>
      <c r="C1940" s="29"/>
      <c r="D1940" s="30"/>
      <c r="E1940" s="30"/>
      <c r="F1940" s="35"/>
      <c r="G1940" s="35"/>
      <c r="H1940" s="35" t="str">
        <f t="shared" si="30"/>
        <v/>
      </c>
      <c r="I1940" s="29"/>
    </row>
    <row r="1941" spans="1:9">
      <c r="A1941" s="33"/>
      <c r="B1941" s="29"/>
      <c r="C1941" s="29"/>
      <c r="D1941" s="30"/>
      <c r="E1941" s="30"/>
      <c r="F1941" s="35"/>
      <c r="G1941" s="35"/>
      <c r="H1941" s="35" t="str">
        <f t="shared" si="30"/>
        <v/>
      </c>
      <c r="I1941" s="29"/>
    </row>
    <row r="1942" spans="1:9">
      <c r="A1942" s="33"/>
      <c r="B1942" s="29"/>
      <c r="C1942" s="29"/>
      <c r="D1942" s="30"/>
      <c r="E1942" s="30"/>
      <c r="F1942" s="35"/>
      <c r="G1942" s="35"/>
      <c r="H1942" s="35" t="str">
        <f t="shared" si="30"/>
        <v/>
      </c>
      <c r="I1942" s="29"/>
    </row>
    <row r="1943" spans="1:9">
      <c r="A1943" s="33"/>
      <c r="B1943" s="29"/>
      <c r="C1943" s="29"/>
      <c r="D1943" s="30"/>
      <c r="E1943" s="30"/>
      <c r="F1943" s="35"/>
      <c r="G1943" s="35"/>
      <c r="H1943" s="35" t="str">
        <f t="shared" si="30"/>
        <v/>
      </c>
      <c r="I1943" s="29"/>
    </row>
    <row r="1944" spans="1:9">
      <c r="A1944" s="33"/>
      <c r="B1944" s="29"/>
      <c r="C1944" s="29"/>
      <c r="D1944" s="30"/>
      <c r="E1944" s="30"/>
      <c r="F1944" s="35"/>
      <c r="G1944" s="35"/>
      <c r="H1944" s="35" t="str">
        <f t="shared" si="30"/>
        <v/>
      </c>
      <c r="I1944" s="29"/>
    </row>
    <row r="1945" spans="1:9">
      <c r="A1945" s="33"/>
      <c r="B1945" s="29"/>
      <c r="C1945" s="29"/>
      <c r="D1945" s="30"/>
      <c r="E1945" s="30"/>
      <c r="F1945" s="35"/>
      <c r="G1945" s="35"/>
      <c r="H1945" s="35" t="str">
        <f t="shared" si="30"/>
        <v/>
      </c>
      <c r="I1945" s="29"/>
    </row>
    <row r="1946" spans="1:9">
      <c r="A1946" s="33"/>
      <c r="B1946" s="29"/>
      <c r="C1946" s="29"/>
      <c r="D1946" s="30"/>
      <c r="E1946" s="30"/>
      <c r="F1946" s="35"/>
      <c r="G1946" s="35"/>
      <c r="H1946" s="35" t="str">
        <f t="shared" si="30"/>
        <v/>
      </c>
      <c r="I1946" s="29"/>
    </row>
    <row r="1947" spans="1:9">
      <c r="A1947" s="33"/>
      <c r="B1947" s="29"/>
      <c r="C1947" s="29"/>
      <c r="D1947" s="30"/>
      <c r="E1947" s="30"/>
      <c r="F1947" s="35"/>
      <c r="G1947" s="35"/>
      <c r="H1947" s="35" t="str">
        <f t="shared" si="30"/>
        <v/>
      </c>
      <c r="I1947" s="29"/>
    </row>
    <row r="1948" spans="1:9">
      <c r="A1948" s="33"/>
      <c r="B1948" s="29"/>
      <c r="C1948" s="29"/>
      <c r="D1948" s="30"/>
      <c r="E1948" s="30"/>
      <c r="F1948" s="35"/>
      <c r="G1948" s="35"/>
      <c r="H1948" s="35" t="str">
        <f t="shared" si="30"/>
        <v/>
      </c>
      <c r="I1948" s="29"/>
    </row>
    <row r="1949" spans="1:9">
      <c r="A1949" s="33"/>
      <c r="B1949" s="29"/>
      <c r="C1949" s="29"/>
      <c r="D1949" s="30"/>
      <c r="E1949" s="30"/>
      <c r="F1949" s="35"/>
      <c r="G1949" s="35"/>
      <c r="H1949" s="35" t="str">
        <f t="shared" si="30"/>
        <v/>
      </c>
      <c r="I1949" s="29"/>
    </row>
    <row r="1950" spans="1:9">
      <c r="A1950" s="33"/>
      <c r="B1950" s="29"/>
      <c r="C1950" s="29"/>
      <c r="D1950" s="30"/>
      <c r="E1950" s="30"/>
      <c r="F1950" s="35"/>
      <c r="G1950" s="35"/>
      <c r="H1950" s="35" t="str">
        <f t="shared" si="30"/>
        <v/>
      </c>
      <c r="I1950" s="29"/>
    </row>
    <row r="1951" spans="1:9">
      <c r="A1951" s="33"/>
      <c r="B1951" s="29"/>
      <c r="C1951" s="29"/>
      <c r="D1951" s="30"/>
      <c r="E1951" s="30"/>
      <c r="F1951" s="35"/>
      <c r="G1951" s="35"/>
      <c r="H1951" s="35" t="str">
        <f t="shared" si="30"/>
        <v/>
      </c>
      <c r="I1951" s="29"/>
    </row>
    <row r="1952" spans="1:9">
      <c r="A1952" s="33"/>
      <c r="B1952" s="29"/>
      <c r="C1952" s="29"/>
      <c r="D1952" s="30"/>
      <c r="E1952" s="30"/>
      <c r="F1952" s="35"/>
      <c r="G1952" s="35"/>
      <c r="H1952" s="35" t="str">
        <f t="shared" si="30"/>
        <v/>
      </c>
      <c r="I1952" s="29"/>
    </row>
    <row r="1953" spans="1:9">
      <c r="A1953" s="33"/>
      <c r="B1953" s="29"/>
      <c r="C1953" s="29"/>
      <c r="D1953" s="30"/>
      <c r="E1953" s="30"/>
      <c r="F1953" s="35"/>
      <c r="G1953" s="35"/>
      <c r="H1953" s="35" t="str">
        <f t="shared" si="30"/>
        <v/>
      </c>
      <c r="I1953" s="29"/>
    </row>
    <row r="1954" spans="1:9">
      <c r="A1954" s="33"/>
      <c r="B1954" s="29"/>
      <c r="C1954" s="29"/>
      <c r="D1954" s="30"/>
      <c r="E1954" s="30"/>
      <c r="F1954" s="35"/>
      <c r="G1954" s="35"/>
      <c r="H1954" s="35" t="str">
        <f t="shared" si="30"/>
        <v/>
      </c>
      <c r="I1954" s="29"/>
    </row>
    <row r="1955" spans="1:9">
      <c r="A1955" s="33"/>
      <c r="B1955" s="29"/>
      <c r="C1955" s="29"/>
      <c r="D1955" s="30"/>
      <c r="E1955" s="30"/>
      <c r="F1955" s="35"/>
      <c r="G1955" s="35"/>
      <c r="H1955" s="35" t="str">
        <f t="shared" si="30"/>
        <v/>
      </c>
      <c r="I1955" s="29"/>
    </row>
    <row r="1956" spans="1:9">
      <c r="A1956" s="33"/>
      <c r="B1956" s="29"/>
      <c r="C1956" s="29"/>
      <c r="D1956" s="30"/>
      <c r="E1956" s="30"/>
      <c r="F1956" s="35"/>
      <c r="G1956" s="35"/>
      <c r="H1956" s="35" t="str">
        <f t="shared" si="30"/>
        <v/>
      </c>
      <c r="I1956" s="29"/>
    </row>
    <row r="1957" spans="1:9">
      <c r="A1957" s="33"/>
      <c r="B1957" s="29"/>
      <c r="C1957" s="29"/>
      <c r="D1957" s="30"/>
      <c r="E1957" s="30"/>
      <c r="F1957" s="35"/>
      <c r="G1957" s="35"/>
      <c r="H1957" s="35" t="str">
        <f t="shared" si="30"/>
        <v/>
      </c>
      <c r="I1957" s="29"/>
    </row>
    <row r="1958" spans="1:9">
      <c r="A1958" s="33"/>
      <c r="B1958" s="29"/>
      <c r="C1958" s="29"/>
      <c r="D1958" s="30"/>
      <c r="E1958" s="30"/>
      <c r="F1958" s="35"/>
      <c r="G1958" s="35"/>
      <c r="H1958" s="35" t="str">
        <f t="shared" si="30"/>
        <v/>
      </c>
      <c r="I1958" s="29"/>
    </row>
    <row r="1959" spans="1:9">
      <c r="A1959" s="33"/>
      <c r="B1959" s="29"/>
      <c r="C1959" s="29"/>
      <c r="D1959" s="30"/>
      <c r="E1959" s="30"/>
      <c r="F1959" s="35"/>
      <c r="G1959" s="35"/>
      <c r="H1959" s="35" t="str">
        <f t="shared" si="30"/>
        <v/>
      </c>
      <c r="I1959" s="29"/>
    </row>
    <row r="1960" spans="1:9">
      <c r="A1960" s="33"/>
      <c r="B1960" s="29"/>
      <c r="C1960" s="29"/>
      <c r="D1960" s="30"/>
      <c r="E1960" s="30"/>
      <c r="F1960" s="35"/>
      <c r="G1960" s="35"/>
      <c r="H1960" s="35" t="str">
        <f t="shared" si="30"/>
        <v/>
      </c>
      <c r="I1960" s="29"/>
    </row>
    <row r="1961" spans="1:9">
      <c r="A1961" s="33"/>
      <c r="B1961" s="29"/>
      <c r="C1961" s="29"/>
      <c r="D1961" s="30"/>
      <c r="E1961" s="30"/>
      <c r="F1961" s="35"/>
      <c r="G1961" s="35"/>
      <c r="H1961" s="35" t="str">
        <f t="shared" si="30"/>
        <v/>
      </c>
      <c r="I1961" s="29"/>
    </row>
    <row r="1962" spans="1:9">
      <c r="A1962" s="33"/>
      <c r="B1962" s="29"/>
      <c r="C1962" s="29"/>
      <c r="D1962" s="30"/>
      <c r="E1962" s="30"/>
      <c r="F1962" s="35"/>
      <c r="G1962" s="35"/>
      <c r="H1962" s="35" t="str">
        <f t="shared" si="30"/>
        <v/>
      </c>
      <c r="I1962" s="29"/>
    </row>
    <row r="1963" spans="1:9">
      <c r="A1963" s="33"/>
      <c r="B1963" s="29"/>
      <c r="C1963" s="29"/>
      <c r="D1963" s="30"/>
      <c r="E1963" s="30"/>
      <c r="F1963" s="35"/>
      <c r="G1963" s="35"/>
      <c r="H1963" s="35" t="str">
        <f t="shared" si="30"/>
        <v/>
      </c>
      <c r="I1963" s="29"/>
    </row>
    <row r="1964" spans="1:9">
      <c r="A1964" s="33"/>
      <c r="B1964" s="29"/>
      <c r="C1964" s="29"/>
      <c r="D1964" s="30"/>
      <c r="E1964" s="30"/>
      <c r="F1964" s="35"/>
      <c r="G1964" s="35"/>
      <c r="H1964" s="35" t="str">
        <f t="shared" si="30"/>
        <v/>
      </c>
      <c r="I1964" s="29"/>
    </row>
    <row r="1965" spans="1:9">
      <c r="A1965" s="33"/>
      <c r="B1965" s="29"/>
      <c r="C1965" s="29"/>
      <c r="D1965" s="30"/>
      <c r="E1965" s="30"/>
      <c r="F1965" s="35"/>
      <c r="G1965" s="35"/>
      <c r="H1965" s="35" t="str">
        <f t="shared" si="30"/>
        <v/>
      </c>
      <c r="I1965" s="29"/>
    </row>
    <row r="1966" spans="1:9">
      <c r="A1966" s="33"/>
      <c r="B1966" s="29"/>
      <c r="C1966" s="29"/>
      <c r="D1966" s="30"/>
      <c r="E1966" s="30"/>
      <c r="F1966" s="35"/>
      <c r="G1966" s="35"/>
      <c r="H1966" s="35" t="str">
        <f t="shared" si="30"/>
        <v/>
      </c>
      <c r="I1966" s="29"/>
    </row>
    <row r="1967" spans="1:9">
      <c r="A1967" s="33"/>
      <c r="B1967" s="29"/>
      <c r="C1967" s="29"/>
      <c r="D1967" s="30"/>
      <c r="E1967" s="30"/>
      <c r="F1967" s="35"/>
      <c r="G1967" s="35"/>
      <c r="H1967" s="35" t="str">
        <f t="shared" si="30"/>
        <v/>
      </c>
      <c r="I1967" s="29"/>
    </row>
    <row r="1968" spans="1:9">
      <c r="A1968" s="33"/>
      <c r="B1968" s="29"/>
      <c r="C1968" s="29"/>
      <c r="D1968" s="30"/>
      <c r="E1968" s="30"/>
      <c r="F1968" s="35"/>
      <c r="G1968" s="35"/>
      <c r="H1968" s="35" t="str">
        <f t="shared" si="30"/>
        <v/>
      </c>
      <c r="I1968" s="29"/>
    </row>
    <row r="1969" spans="1:9">
      <c r="A1969" s="33"/>
      <c r="B1969" s="29"/>
      <c r="C1969" s="29"/>
      <c r="D1969" s="30"/>
      <c r="E1969" s="30"/>
      <c r="F1969" s="35"/>
      <c r="G1969" s="35"/>
      <c r="H1969" s="35" t="str">
        <f t="shared" si="30"/>
        <v/>
      </c>
      <c r="I1969" s="29"/>
    </row>
    <row r="1970" spans="1:9">
      <c r="A1970" s="33"/>
      <c r="B1970" s="29"/>
      <c r="C1970" s="29"/>
      <c r="D1970" s="30"/>
      <c r="E1970" s="30"/>
      <c r="F1970" s="35"/>
      <c r="G1970" s="35"/>
      <c r="H1970" s="35" t="str">
        <f t="shared" si="30"/>
        <v/>
      </c>
      <c r="I1970" s="29"/>
    </row>
    <row r="1971" spans="1:9">
      <c r="A1971" s="33"/>
      <c r="B1971" s="29"/>
      <c r="C1971" s="29"/>
      <c r="D1971" s="30"/>
      <c r="E1971" s="30"/>
      <c r="F1971" s="35"/>
      <c r="G1971" s="35"/>
      <c r="H1971" s="35" t="str">
        <f t="shared" si="30"/>
        <v/>
      </c>
      <c r="I1971" s="29"/>
    </row>
    <row r="1972" spans="1:9">
      <c r="A1972" s="33"/>
      <c r="B1972" s="29"/>
      <c r="C1972" s="29"/>
      <c r="D1972" s="30"/>
      <c r="E1972" s="30"/>
      <c r="F1972" s="35"/>
      <c r="G1972" s="35"/>
      <c r="H1972" s="35" t="str">
        <f t="shared" si="30"/>
        <v/>
      </c>
      <c r="I1972" s="29"/>
    </row>
    <row r="1973" spans="1:9">
      <c r="A1973" s="33"/>
      <c r="B1973" s="29"/>
      <c r="C1973" s="29"/>
      <c r="D1973" s="30"/>
      <c r="E1973" s="30"/>
      <c r="F1973" s="35"/>
      <c r="G1973" s="35"/>
      <c r="H1973" s="35" t="str">
        <f t="shared" si="30"/>
        <v/>
      </c>
      <c r="I1973" s="29"/>
    </row>
    <row r="1974" spans="1:9">
      <c r="A1974" s="33"/>
      <c r="B1974" s="29"/>
      <c r="C1974" s="29"/>
      <c r="D1974" s="30"/>
      <c r="E1974" s="30"/>
      <c r="F1974" s="35"/>
      <c r="G1974" s="35"/>
      <c r="H1974" s="35" t="str">
        <f t="shared" si="30"/>
        <v/>
      </c>
      <c r="I1974" s="29"/>
    </row>
    <row r="1975" spans="1:9">
      <c r="A1975" s="33"/>
      <c r="B1975" s="29"/>
      <c r="C1975" s="29"/>
      <c r="D1975" s="30"/>
      <c r="E1975" s="30"/>
      <c r="F1975" s="35"/>
      <c r="G1975" s="35"/>
      <c r="H1975" s="35" t="str">
        <f t="shared" si="30"/>
        <v/>
      </c>
      <c r="I1975" s="29"/>
    </row>
    <row r="1976" spans="1:9">
      <c r="A1976" s="33"/>
      <c r="B1976" s="29"/>
      <c r="C1976" s="29"/>
      <c r="D1976" s="30"/>
      <c r="E1976" s="30"/>
      <c r="F1976" s="35"/>
      <c r="G1976" s="35"/>
      <c r="H1976" s="35" t="str">
        <f t="shared" si="30"/>
        <v/>
      </c>
      <c r="I1976" s="29"/>
    </row>
    <row r="1977" spans="1:9">
      <c r="A1977" s="33"/>
      <c r="B1977" s="29"/>
      <c r="C1977" s="29"/>
      <c r="D1977" s="30"/>
      <c r="E1977" s="30"/>
      <c r="F1977" s="35"/>
      <c r="G1977" s="35"/>
      <c r="H1977" s="35" t="str">
        <f t="shared" si="30"/>
        <v/>
      </c>
      <c r="I1977" s="29"/>
    </row>
    <row r="1978" spans="1:9">
      <c r="A1978" s="33"/>
      <c r="B1978" s="29"/>
      <c r="C1978" s="29"/>
      <c r="D1978" s="30"/>
      <c r="E1978" s="30"/>
      <c r="F1978" s="35"/>
      <c r="G1978" s="35"/>
      <c r="H1978" s="35" t="str">
        <f t="shared" si="30"/>
        <v/>
      </c>
      <c r="I1978" s="29"/>
    </row>
    <row r="1979" spans="1:9">
      <c r="A1979" s="33"/>
      <c r="B1979" s="29"/>
      <c r="C1979" s="29"/>
      <c r="D1979" s="30"/>
      <c r="E1979" s="30"/>
      <c r="F1979" s="35"/>
      <c r="G1979" s="35"/>
      <c r="H1979" s="35" t="str">
        <f t="shared" si="30"/>
        <v/>
      </c>
      <c r="I1979" s="29"/>
    </row>
    <row r="1980" spans="1:9">
      <c r="A1980" s="33"/>
      <c r="B1980" s="29"/>
      <c r="C1980" s="29"/>
      <c r="D1980" s="30"/>
      <c r="E1980" s="30"/>
      <c r="F1980" s="35"/>
      <c r="G1980" s="35"/>
      <c r="H1980" s="35" t="str">
        <f t="shared" si="30"/>
        <v/>
      </c>
      <c r="I1980" s="29"/>
    </row>
    <row r="1981" spans="1:9">
      <c r="A1981" s="33"/>
      <c r="B1981" s="29"/>
      <c r="C1981" s="29"/>
      <c r="D1981" s="30"/>
      <c r="E1981" s="30"/>
      <c r="F1981" s="35"/>
      <c r="G1981" s="35"/>
      <c r="H1981" s="35" t="str">
        <f t="shared" si="30"/>
        <v/>
      </c>
      <c r="I1981" s="29"/>
    </row>
    <row r="1982" spans="1:9">
      <c r="A1982" s="33"/>
      <c r="B1982" s="29"/>
      <c r="C1982" s="29"/>
      <c r="D1982" s="30"/>
      <c r="E1982" s="30"/>
      <c r="F1982" s="35"/>
      <c r="G1982" s="35"/>
      <c r="H1982" s="35" t="str">
        <f t="shared" si="30"/>
        <v/>
      </c>
      <c r="I1982" s="29"/>
    </row>
    <row r="1983" spans="1:9">
      <c r="A1983" s="33"/>
      <c r="B1983" s="29"/>
      <c r="C1983" s="29"/>
      <c r="D1983" s="30"/>
      <c r="E1983" s="30"/>
      <c r="F1983" s="35"/>
      <c r="G1983" s="35"/>
      <c r="H1983" s="35" t="str">
        <f t="shared" si="30"/>
        <v/>
      </c>
      <c r="I1983" s="29"/>
    </row>
    <row r="1984" spans="1:9">
      <c r="A1984" s="33"/>
      <c r="B1984" s="29"/>
      <c r="C1984" s="29"/>
      <c r="D1984" s="30"/>
      <c r="E1984" s="30"/>
      <c r="F1984" s="35"/>
      <c r="G1984" s="35"/>
      <c r="H1984" s="35" t="str">
        <f t="shared" si="30"/>
        <v/>
      </c>
      <c r="I1984" s="29"/>
    </row>
    <row r="1985" spans="1:9">
      <c r="A1985" s="33"/>
      <c r="B1985" s="29"/>
      <c r="C1985" s="29"/>
      <c r="D1985" s="30"/>
      <c r="E1985" s="30"/>
      <c r="F1985" s="35"/>
      <c r="G1985" s="35"/>
      <c r="H1985" s="35" t="str">
        <f t="shared" si="30"/>
        <v/>
      </c>
      <c r="I1985" s="29"/>
    </row>
    <row r="1986" spans="1:9">
      <c r="A1986" s="33"/>
      <c r="B1986" s="29"/>
      <c r="C1986" s="29"/>
      <c r="D1986" s="30"/>
      <c r="E1986" s="30"/>
      <c r="F1986" s="35"/>
      <c r="G1986" s="35"/>
      <c r="H1986" s="35" t="str">
        <f t="shared" si="30"/>
        <v/>
      </c>
      <c r="I1986" s="29"/>
    </row>
    <row r="1987" spans="1:9">
      <c r="A1987" s="33"/>
      <c r="B1987" s="29"/>
      <c r="C1987" s="29"/>
      <c r="D1987" s="30"/>
      <c r="E1987" s="30"/>
      <c r="F1987" s="35"/>
      <c r="G1987" s="35"/>
      <c r="H1987" s="35" t="str">
        <f t="shared" si="30"/>
        <v/>
      </c>
      <c r="I1987" s="29"/>
    </row>
    <row r="1988" spans="1:9">
      <c r="A1988" s="33"/>
      <c r="B1988" s="29"/>
      <c r="C1988" s="29"/>
      <c r="D1988" s="30"/>
      <c r="E1988" s="30"/>
      <c r="F1988" s="35"/>
      <c r="G1988" s="35"/>
      <c r="H1988" s="35" t="str">
        <f t="shared" ref="H1988:H2051" si="31">IF(F1988="","",F1988-G1988)</f>
        <v/>
      </c>
      <c r="I1988" s="29"/>
    </row>
    <row r="1989" spans="1:9">
      <c r="A1989" s="33"/>
      <c r="B1989" s="29"/>
      <c r="C1989" s="29"/>
      <c r="D1989" s="30"/>
      <c r="E1989" s="30"/>
      <c r="F1989" s="35"/>
      <c r="G1989" s="35"/>
      <c r="H1989" s="35" t="str">
        <f t="shared" si="31"/>
        <v/>
      </c>
      <c r="I1989" s="29"/>
    </row>
    <row r="1990" spans="1:9">
      <c r="A1990" s="33"/>
      <c r="B1990" s="29"/>
      <c r="C1990" s="29"/>
      <c r="D1990" s="30"/>
      <c r="E1990" s="30"/>
      <c r="F1990" s="35"/>
      <c r="G1990" s="35"/>
      <c r="H1990" s="35" t="str">
        <f t="shared" si="31"/>
        <v/>
      </c>
      <c r="I1990" s="29"/>
    </row>
    <row r="1991" spans="1:9">
      <c r="A1991" s="33"/>
      <c r="B1991" s="29"/>
      <c r="C1991" s="29"/>
      <c r="D1991" s="30"/>
      <c r="E1991" s="30"/>
      <c r="F1991" s="35"/>
      <c r="G1991" s="35"/>
      <c r="H1991" s="35" t="str">
        <f t="shared" si="31"/>
        <v/>
      </c>
      <c r="I1991" s="29"/>
    </row>
    <row r="1992" spans="1:9">
      <c r="A1992" s="33"/>
      <c r="B1992" s="29"/>
      <c r="C1992" s="29"/>
      <c r="D1992" s="30"/>
      <c r="E1992" s="30"/>
      <c r="F1992" s="35"/>
      <c r="G1992" s="35"/>
      <c r="H1992" s="35" t="str">
        <f t="shared" si="31"/>
        <v/>
      </c>
      <c r="I1992" s="29"/>
    </row>
    <row r="1993" spans="1:9">
      <c r="A1993" s="33"/>
      <c r="B1993" s="29"/>
      <c r="C1993" s="29"/>
      <c r="D1993" s="30"/>
      <c r="E1993" s="30"/>
      <c r="F1993" s="35"/>
      <c r="G1993" s="35"/>
      <c r="H1993" s="35" t="str">
        <f t="shared" si="31"/>
        <v/>
      </c>
      <c r="I1993" s="29"/>
    </row>
    <row r="1994" spans="1:9">
      <c r="A1994" s="33"/>
      <c r="B1994" s="29"/>
      <c r="C1994" s="29"/>
      <c r="D1994" s="30"/>
      <c r="E1994" s="30"/>
      <c r="F1994" s="35"/>
      <c r="G1994" s="35"/>
      <c r="H1994" s="35" t="str">
        <f t="shared" si="31"/>
        <v/>
      </c>
      <c r="I1994" s="29"/>
    </row>
    <row r="1995" spans="1:9">
      <c r="A1995" s="33"/>
      <c r="B1995" s="29"/>
      <c r="C1995" s="29"/>
      <c r="D1995" s="30"/>
      <c r="E1995" s="30"/>
      <c r="F1995" s="35"/>
      <c r="G1995" s="35"/>
      <c r="H1995" s="35" t="str">
        <f t="shared" si="31"/>
        <v/>
      </c>
      <c r="I1995" s="29"/>
    </row>
    <row r="1996" spans="1:9">
      <c r="A1996" s="33"/>
      <c r="B1996" s="29"/>
      <c r="C1996" s="29"/>
      <c r="D1996" s="30"/>
      <c r="E1996" s="30"/>
      <c r="F1996" s="35"/>
      <c r="G1996" s="35"/>
      <c r="H1996" s="35" t="str">
        <f t="shared" si="31"/>
        <v/>
      </c>
      <c r="I1996" s="29"/>
    </row>
    <row r="1997" spans="1:9">
      <c r="A1997" s="33"/>
      <c r="B1997" s="29"/>
      <c r="C1997" s="29"/>
      <c r="D1997" s="30"/>
      <c r="E1997" s="30"/>
      <c r="F1997" s="35"/>
      <c r="G1997" s="35"/>
      <c r="H1997" s="35" t="str">
        <f t="shared" si="31"/>
        <v/>
      </c>
      <c r="I1997" s="29"/>
    </row>
    <row r="1998" spans="1:9">
      <c r="A1998" s="33"/>
      <c r="B1998" s="29"/>
      <c r="C1998" s="29"/>
      <c r="D1998" s="30"/>
      <c r="E1998" s="30"/>
      <c r="F1998" s="35"/>
      <c r="G1998" s="35"/>
      <c r="H1998" s="35" t="str">
        <f t="shared" si="31"/>
        <v/>
      </c>
      <c r="I1998" s="29"/>
    </row>
    <row r="1999" spans="1:9">
      <c r="A1999" s="33"/>
      <c r="B1999" s="29"/>
      <c r="C1999" s="29"/>
      <c r="D1999" s="30"/>
      <c r="E1999" s="30"/>
      <c r="F1999" s="35"/>
      <c r="G1999" s="35"/>
      <c r="H1999" s="35" t="str">
        <f t="shared" si="31"/>
        <v/>
      </c>
      <c r="I1999" s="29"/>
    </row>
    <row r="2000" spans="1:9">
      <c r="A2000" s="33"/>
      <c r="B2000" s="29"/>
      <c r="C2000" s="29"/>
      <c r="D2000" s="30"/>
      <c r="E2000" s="30"/>
      <c r="F2000" s="35"/>
      <c r="G2000" s="35"/>
      <c r="H2000" s="35" t="str">
        <f t="shared" si="31"/>
        <v/>
      </c>
      <c r="I2000" s="29"/>
    </row>
  </sheetData>
  <autoFilter ref="A3:I2000" xr:uid="{00000000-0009-0000-0000-000002000000}"/>
  <phoneticPr fontId="16" type="noConversion"/>
  <conditionalFormatting sqref="A4:I2000">
    <cfRule type="expression" dxfId="2" priority="2">
      <formula>$A4&lt;&gt;""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  <pageSetUpPr fitToPage="1"/>
  </sheetPr>
  <dimension ref="A1:K2000"/>
  <sheetViews>
    <sheetView showGridLines="0" zoomScaleNormal="100" workbookViewId="0">
      <pane ySplit="3" topLeftCell="A4" activePane="bottomLeft" state="frozen"/>
      <selection pane="bottomLeft" activeCell="L18" sqref="L18"/>
    </sheetView>
  </sheetViews>
  <sheetFormatPr defaultColWidth="8.7109375" defaultRowHeight="15"/>
  <cols>
    <col min="1" max="1" width="28" customWidth="1"/>
    <col min="2" max="2" width="11" customWidth="1"/>
    <col min="3" max="3" width="14" customWidth="1"/>
    <col min="4" max="5" width="12" customWidth="1"/>
    <col min="6" max="8" width="15" customWidth="1"/>
    <col min="9" max="9" width="12" customWidth="1"/>
    <col min="10" max="10" width="3" customWidth="1"/>
    <col min="11" max="11" width="14" hidden="1" customWidth="1"/>
  </cols>
  <sheetData>
    <row r="1" spans="1:11" ht="31.5" customHeight="1">
      <c r="A1" s="4" t="s">
        <v>64</v>
      </c>
    </row>
    <row r="2" spans="1:11">
      <c r="A2" s="26" t="s">
        <v>65</v>
      </c>
    </row>
    <row r="3" spans="1:11">
      <c r="A3" s="32" t="s">
        <v>51</v>
      </c>
      <c r="B3" s="32" t="s">
        <v>52</v>
      </c>
      <c r="C3" s="32" t="s">
        <v>30</v>
      </c>
      <c r="D3" s="32" t="s">
        <v>53</v>
      </c>
      <c r="E3" s="32" t="s">
        <v>54</v>
      </c>
      <c r="F3" s="32" t="s">
        <v>55</v>
      </c>
      <c r="G3" s="32" t="s">
        <v>56</v>
      </c>
      <c r="H3" s="32" t="s">
        <v>31</v>
      </c>
      <c r="I3" s="32" t="s">
        <v>57</v>
      </c>
      <c r="K3" s="7" t="s">
        <v>66</v>
      </c>
    </row>
    <row r="4" spans="1:11">
      <c r="A4" s="37" t="s">
        <v>69</v>
      </c>
      <c r="B4" s="34" t="s">
        <v>67</v>
      </c>
      <c r="C4" s="34" t="s">
        <v>60</v>
      </c>
      <c r="D4" s="30">
        <v>46310</v>
      </c>
      <c r="E4" s="30">
        <v>46325</v>
      </c>
      <c r="F4" s="35">
        <v>100000</v>
      </c>
      <c r="G4" s="35">
        <v>10000</v>
      </c>
      <c r="H4" s="35">
        <f t="shared" ref="H4:H67" si="0">IF(F4="","",F4-G4)</f>
        <v>90000</v>
      </c>
      <c r="I4" s="34" t="s">
        <v>68</v>
      </c>
      <c r="K4" s="36">
        <f>IF(ISNUMBER($D4),IF(YEAR($D4)=대시보드!$C$2,$D4+ROW()/100000,""),"")</f>
        <v>46310.000039999999</v>
      </c>
    </row>
    <row r="5" spans="1:11">
      <c r="A5" s="37" t="s">
        <v>70</v>
      </c>
      <c r="B5" s="34" t="s">
        <v>67</v>
      </c>
      <c r="C5" s="34" t="s">
        <v>63</v>
      </c>
      <c r="D5" s="30">
        <v>46299</v>
      </c>
      <c r="E5" s="30">
        <v>46290</v>
      </c>
      <c r="F5" s="35">
        <v>25000</v>
      </c>
      <c r="G5" s="35">
        <v>0</v>
      </c>
      <c r="H5" s="35">
        <f t="shared" si="0"/>
        <v>25000</v>
      </c>
      <c r="I5" s="34" t="s">
        <v>68</v>
      </c>
      <c r="K5" s="36">
        <f>IF(ISNUMBER($D5),IF(YEAR($D5)=대시보드!$C$2,$D5+ROW()/100000,""),"")</f>
        <v>46299.000050000002</v>
      </c>
    </row>
    <row r="6" spans="1:11">
      <c r="A6" s="33"/>
      <c r="B6" s="34"/>
      <c r="C6" s="34"/>
      <c r="D6" s="30"/>
      <c r="E6" s="30"/>
      <c r="F6" s="35"/>
      <c r="G6" s="35"/>
      <c r="H6" s="35"/>
      <c r="I6" s="34"/>
      <c r="K6" s="36"/>
    </row>
    <row r="7" spans="1:11">
      <c r="A7" s="33"/>
      <c r="B7" s="34"/>
      <c r="C7" s="34"/>
      <c r="D7" s="30"/>
      <c r="E7" s="30"/>
      <c r="F7" s="35"/>
      <c r="G7" s="35"/>
      <c r="H7" s="35"/>
      <c r="I7" s="34"/>
      <c r="K7" s="36"/>
    </row>
    <row r="8" spans="1:11">
      <c r="A8" s="33"/>
      <c r="B8" s="34"/>
      <c r="C8" s="34"/>
      <c r="D8" s="30"/>
      <c r="E8" s="30"/>
      <c r="F8" s="35"/>
      <c r="G8" s="35"/>
      <c r="H8" s="35"/>
      <c r="I8" s="34"/>
      <c r="K8" s="36"/>
    </row>
    <row r="9" spans="1:11">
      <c r="A9" s="33"/>
      <c r="B9" s="34"/>
      <c r="C9" s="34"/>
      <c r="D9" s="30"/>
      <c r="E9" s="30"/>
      <c r="F9" s="35"/>
      <c r="G9" s="35"/>
      <c r="H9" s="35"/>
      <c r="I9" s="34"/>
      <c r="K9" s="36"/>
    </row>
    <row r="10" spans="1:11">
      <c r="A10" s="33"/>
      <c r="B10" s="34"/>
      <c r="C10" s="34"/>
      <c r="D10" s="30"/>
      <c r="E10" s="30"/>
      <c r="F10" s="35"/>
      <c r="G10" s="35"/>
      <c r="H10" s="35"/>
      <c r="I10" s="34"/>
      <c r="K10" s="36"/>
    </row>
    <row r="11" spans="1:11">
      <c r="A11" s="33"/>
      <c r="B11" s="29"/>
      <c r="C11" s="29"/>
      <c r="D11" s="30"/>
      <c r="E11" s="30"/>
      <c r="F11" s="35"/>
      <c r="G11" s="35"/>
      <c r="H11" s="35"/>
      <c r="I11" s="29"/>
      <c r="K11" s="36"/>
    </row>
    <row r="12" spans="1:11">
      <c r="A12" s="33"/>
      <c r="B12" s="29"/>
      <c r="C12" s="29"/>
      <c r="D12" s="30"/>
      <c r="E12" s="30"/>
      <c r="F12" s="35"/>
      <c r="G12" s="35"/>
      <c r="H12" s="35"/>
      <c r="I12" s="29"/>
      <c r="K12" s="36"/>
    </row>
    <row r="13" spans="1:11">
      <c r="A13" s="33"/>
      <c r="B13" s="29"/>
      <c r="C13" s="29"/>
      <c r="D13" s="30"/>
      <c r="E13" s="30"/>
      <c r="F13" s="35"/>
      <c r="G13" s="35"/>
      <c r="H13" s="35"/>
      <c r="I13" s="29"/>
      <c r="K13" s="36"/>
    </row>
    <row r="14" spans="1:11">
      <c r="A14" s="33"/>
      <c r="B14" s="29"/>
      <c r="C14" s="29"/>
      <c r="D14" s="30"/>
      <c r="E14" s="30"/>
      <c r="F14" s="35"/>
      <c r="G14" s="35"/>
      <c r="H14" s="35"/>
      <c r="I14" s="29"/>
      <c r="K14" s="36"/>
    </row>
    <row r="15" spans="1:11">
      <c r="A15" s="33"/>
      <c r="B15" s="29"/>
      <c r="C15" s="29"/>
      <c r="D15" s="30"/>
      <c r="E15" s="30"/>
      <c r="F15" s="35"/>
      <c r="G15" s="35"/>
      <c r="H15" s="35"/>
      <c r="I15" s="29"/>
      <c r="K15" s="36"/>
    </row>
    <row r="16" spans="1:11">
      <c r="A16" s="33"/>
      <c r="B16" s="29"/>
      <c r="C16" s="29"/>
      <c r="D16" s="30"/>
      <c r="E16" s="30"/>
      <c r="F16" s="35"/>
      <c r="G16" s="35"/>
      <c r="H16" s="35"/>
      <c r="I16" s="29"/>
      <c r="K16" s="36"/>
    </row>
    <row r="17" spans="1:11">
      <c r="A17" s="33"/>
      <c r="B17" s="29"/>
      <c r="C17" s="29"/>
      <c r="D17" s="30"/>
      <c r="E17" s="30"/>
      <c r="F17" s="35"/>
      <c r="G17" s="35"/>
      <c r="H17" s="35"/>
      <c r="I17" s="29"/>
      <c r="K17" s="36"/>
    </row>
    <row r="18" spans="1:11">
      <c r="A18" s="33"/>
      <c r="B18" s="29"/>
      <c r="C18" s="29"/>
      <c r="D18" s="30"/>
      <c r="E18" s="30"/>
      <c r="F18" s="35"/>
      <c r="G18" s="35"/>
      <c r="H18" s="35"/>
      <c r="I18" s="29"/>
      <c r="K18" s="36"/>
    </row>
    <row r="19" spans="1:11">
      <c r="A19" s="33"/>
      <c r="B19" s="29"/>
      <c r="C19" s="29"/>
      <c r="D19" s="30"/>
      <c r="E19" s="30"/>
      <c r="F19" s="35"/>
      <c r="G19" s="35"/>
      <c r="H19" s="35"/>
      <c r="I19" s="29"/>
      <c r="K19" s="36"/>
    </row>
    <row r="20" spans="1:11">
      <c r="A20" s="33"/>
      <c r="B20" s="29"/>
      <c r="C20" s="29"/>
      <c r="D20" s="30"/>
      <c r="E20" s="30"/>
      <c r="F20" s="35"/>
      <c r="G20" s="35"/>
      <c r="H20" s="35"/>
      <c r="I20" s="29"/>
      <c r="K20" s="36"/>
    </row>
    <row r="21" spans="1:11">
      <c r="A21" s="33"/>
      <c r="B21" s="29"/>
      <c r="C21" s="29"/>
      <c r="D21" s="30"/>
      <c r="E21" s="30"/>
      <c r="F21" s="35"/>
      <c r="G21" s="35"/>
      <c r="H21" s="35"/>
      <c r="I21" s="29"/>
      <c r="K21" s="36"/>
    </row>
    <row r="22" spans="1:11">
      <c r="A22" s="33"/>
      <c r="B22" s="29"/>
      <c r="C22" s="29"/>
      <c r="D22" s="30"/>
      <c r="E22" s="30"/>
      <c r="F22" s="35"/>
      <c r="G22" s="35"/>
      <c r="H22" s="35"/>
      <c r="I22" s="29"/>
      <c r="K22" s="36"/>
    </row>
    <row r="23" spans="1:11">
      <c r="A23" s="33"/>
      <c r="B23" s="29"/>
      <c r="C23" s="29"/>
      <c r="D23" s="30"/>
      <c r="E23" s="30"/>
      <c r="F23" s="35"/>
      <c r="G23" s="35"/>
      <c r="H23" s="35" t="str">
        <f t="shared" si="0"/>
        <v/>
      </c>
      <c r="I23" s="29"/>
      <c r="K23" s="36" t="str">
        <f>IF(ISNUMBER($D23),IF(YEAR($D23)=대시보드!$C$2,$D23+ROW()/100000,""),"")</f>
        <v/>
      </c>
    </row>
    <row r="24" spans="1:11">
      <c r="A24" s="33"/>
      <c r="B24" s="29"/>
      <c r="C24" s="29"/>
      <c r="D24" s="30"/>
      <c r="E24" s="30"/>
      <c r="F24" s="35"/>
      <c r="G24" s="35"/>
      <c r="H24" s="35" t="str">
        <f t="shared" si="0"/>
        <v/>
      </c>
      <c r="I24" s="29"/>
      <c r="K24" s="36" t="str">
        <f>IF(ISNUMBER($D24),IF(YEAR($D24)=대시보드!$C$2,$D24+ROW()/100000,""),"")</f>
        <v/>
      </c>
    </row>
    <row r="25" spans="1:11">
      <c r="A25" s="33"/>
      <c r="B25" s="29"/>
      <c r="C25" s="29"/>
      <c r="D25" s="30"/>
      <c r="E25" s="30"/>
      <c r="F25" s="35"/>
      <c r="G25" s="35"/>
      <c r="H25" s="35" t="str">
        <f t="shared" si="0"/>
        <v/>
      </c>
      <c r="I25" s="29"/>
      <c r="K25" s="36" t="str">
        <f>IF(ISNUMBER($D25),IF(YEAR($D25)=대시보드!$C$2,$D25+ROW()/100000,""),"")</f>
        <v/>
      </c>
    </row>
    <row r="26" spans="1:11">
      <c r="A26" s="33"/>
      <c r="B26" s="29"/>
      <c r="C26" s="29"/>
      <c r="D26" s="30"/>
      <c r="E26" s="30"/>
      <c r="F26" s="35"/>
      <c r="G26" s="35"/>
      <c r="H26" s="35" t="str">
        <f t="shared" si="0"/>
        <v/>
      </c>
      <c r="I26" s="29"/>
      <c r="K26" s="36" t="str">
        <f>IF(ISNUMBER($D26),IF(YEAR($D26)=대시보드!$C$2,$D26+ROW()/100000,""),"")</f>
        <v/>
      </c>
    </row>
    <row r="27" spans="1:11">
      <c r="A27" s="33"/>
      <c r="B27" s="29"/>
      <c r="C27" s="29"/>
      <c r="D27" s="30"/>
      <c r="E27" s="30"/>
      <c r="F27" s="35"/>
      <c r="G27" s="35"/>
      <c r="H27" s="35" t="str">
        <f t="shared" si="0"/>
        <v/>
      </c>
      <c r="I27" s="29"/>
      <c r="K27" s="36" t="str">
        <f>IF(ISNUMBER($D27),IF(YEAR($D27)=대시보드!$C$2,$D27+ROW()/100000,""),"")</f>
        <v/>
      </c>
    </row>
    <row r="28" spans="1:11">
      <c r="A28" s="33"/>
      <c r="B28" s="29"/>
      <c r="C28" s="29"/>
      <c r="D28" s="30"/>
      <c r="E28" s="30"/>
      <c r="F28" s="35"/>
      <c r="G28" s="35"/>
      <c r="H28" s="35" t="str">
        <f t="shared" si="0"/>
        <v/>
      </c>
      <c r="I28" s="29"/>
      <c r="K28" s="36" t="str">
        <f>IF(ISNUMBER($D28),IF(YEAR($D28)=대시보드!$C$2,$D28+ROW()/100000,""),"")</f>
        <v/>
      </c>
    </row>
    <row r="29" spans="1:11">
      <c r="A29" s="33"/>
      <c r="B29" s="29"/>
      <c r="C29" s="29"/>
      <c r="D29" s="30"/>
      <c r="E29" s="30"/>
      <c r="F29" s="35"/>
      <c r="G29" s="35"/>
      <c r="H29" s="35" t="str">
        <f t="shared" si="0"/>
        <v/>
      </c>
      <c r="I29" s="29"/>
      <c r="K29" s="36" t="str">
        <f>IF(ISNUMBER($D29),IF(YEAR($D29)=대시보드!$C$2,$D29+ROW()/100000,""),"")</f>
        <v/>
      </c>
    </row>
    <row r="30" spans="1:11">
      <c r="A30" s="33"/>
      <c r="B30" s="29"/>
      <c r="C30" s="29"/>
      <c r="D30" s="30"/>
      <c r="E30" s="30"/>
      <c r="F30" s="35"/>
      <c r="G30" s="35"/>
      <c r="H30" s="35" t="str">
        <f t="shared" si="0"/>
        <v/>
      </c>
      <c r="I30" s="29"/>
      <c r="K30" s="36" t="str">
        <f>IF(ISNUMBER($D30),IF(YEAR($D30)=대시보드!$C$2,$D30+ROW()/100000,""),"")</f>
        <v/>
      </c>
    </row>
    <row r="31" spans="1:11">
      <c r="A31" s="33"/>
      <c r="B31" s="29"/>
      <c r="C31" s="29"/>
      <c r="D31" s="30"/>
      <c r="E31" s="30"/>
      <c r="F31" s="35"/>
      <c r="G31" s="35"/>
      <c r="H31" s="35" t="str">
        <f t="shared" si="0"/>
        <v/>
      </c>
      <c r="I31" s="29"/>
      <c r="K31" s="36" t="str">
        <f>IF(ISNUMBER($D31),IF(YEAR($D31)=대시보드!$C$2,$D31+ROW()/100000,""),"")</f>
        <v/>
      </c>
    </row>
    <row r="32" spans="1:11">
      <c r="A32" s="33"/>
      <c r="B32" s="29"/>
      <c r="C32" s="29"/>
      <c r="D32" s="30"/>
      <c r="E32" s="30"/>
      <c r="F32" s="35"/>
      <c r="G32" s="35"/>
      <c r="H32" s="35" t="str">
        <f t="shared" si="0"/>
        <v/>
      </c>
      <c r="I32" s="29"/>
      <c r="K32" s="36" t="str">
        <f>IF(ISNUMBER($D32),IF(YEAR($D32)=대시보드!$C$2,$D32+ROW()/100000,""),"")</f>
        <v/>
      </c>
    </row>
    <row r="33" spans="1:11">
      <c r="A33" s="33"/>
      <c r="B33" s="29"/>
      <c r="C33" s="29"/>
      <c r="D33" s="30"/>
      <c r="E33" s="30"/>
      <c r="F33" s="35"/>
      <c r="G33" s="35"/>
      <c r="H33" s="35" t="str">
        <f t="shared" si="0"/>
        <v/>
      </c>
      <c r="I33" s="29"/>
      <c r="K33" s="36" t="str">
        <f>IF(ISNUMBER($D33),IF(YEAR($D33)=대시보드!$C$2,$D33+ROW()/100000,""),"")</f>
        <v/>
      </c>
    </row>
    <row r="34" spans="1:11">
      <c r="A34" s="33"/>
      <c r="B34" s="29"/>
      <c r="C34" s="29"/>
      <c r="D34" s="30"/>
      <c r="E34" s="30"/>
      <c r="F34" s="35"/>
      <c r="G34" s="35"/>
      <c r="H34" s="35" t="str">
        <f t="shared" si="0"/>
        <v/>
      </c>
      <c r="I34" s="29"/>
      <c r="K34" s="36" t="str">
        <f>IF(ISNUMBER($D34),IF(YEAR($D34)=대시보드!$C$2,$D34+ROW()/100000,""),"")</f>
        <v/>
      </c>
    </row>
    <row r="35" spans="1:11">
      <c r="A35" s="33"/>
      <c r="B35" s="29"/>
      <c r="C35" s="29"/>
      <c r="D35" s="30"/>
      <c r="E35" s="30"/>
      <c r="F35" s="35"/>
      <c r="G35" s="35"/>
      <c r="H35" s="35" t="str">
        <f t="shared" si="0"/>
        <v/>
      </c>
      <c r="I35" s="29"/>
      <c r="K35" s="36" t="str">
        <f>IF(ISNUMBER($D35),IF(YEAR($D35)=대시보드!$C$2,$D35+ROW()/100000,""),"")</f>
        <v/>
      </c>
    </row>
    <row r="36" spans="1:11">
      <c r="A36" s="33"/>
      <c r="B36" s="29"/>
      <c r="C36" s="29"/>
      <c r="D36" s="30"/>
      <c r="E36" s="30"/>
      <c r="F36" s="35"/>
      <c r="G36" s="35"/>
      <c r="H36" s="35" t="str">
        <f t="shared" si="0"/>
        <v/>
      </c>
      <c r="I36" s="29"/>
      <c r="K36" s="36" t="str">
        <f>IF(ISNUMBER($D36),IF(YEAR($D36)=대시보드!$C$2,$D36+ROW()/100000,""),"")</f>
        <v/>
      </c>
    </row>
    <row r="37" spans="1:11">
      <c r="A37" s="33"/>
      <c r="B37" s="29"/>
      <c r="C37" s="29"/>
      <c r="D37" s="30"/>
      <c r="E37" s="30"/>
      <c r="F37" s="35"/>
      <c r="G37" s="35"/>
      <c r="H37" s="35" t="str">
        <f t="shared" si="0"/>
        <v/>
      </c>
      <c r="I37" s="29"/>
      <c r="K37" s="36" t="str">
        <f>IF(ISNUMBER($D37),IF(YEAR($D37)=대시보드!$C$2,$D37+ROW()/100000,""),"")</f>
        <v/>
      </c>
    </row>
    <row r="38" spans="1:11">
      <c r="A38" s="33"/>
      <c r="B38" s="29"/>
      <c r="C38" s="29"/>
      <c r="D38" s="30"/>
      <c r="E38" s="30"/>
      <c r="F38" s="35"/>
      <c r="G38" s="35"/>
      <c r="H38" s="35" t="str">
        <f t="shared" si="0"/>
        <v/>
      </c>
      <c r="I38" s="29"/>
      <c r="K38" s="36" t="str">
        <f>IF(ISNUMBER($D38),IF(YEAR($D38)=대시보드!$C$2,$D38+ROW()/100000,""),"")</f>
        <v/>
      </c>
    </row>
    <row r="39" spans="1:11">
      <c r="A39" s="33"/>
      <c r="B39" s="29"/>
      <c r="C39" s="29"/>
      <c r="D39" s="30"/>
      <c r="E39" s="30"/>
      <c r="F39" s="35"/>
      <c r="G39" s="35"/>
      <c r="H39" s="35" t="str">
        <f t="shared" si="0"/>
        <v/>
      </c>
      <c r="I39" s="29"/>
      <c r="K39" s="36" t="str">
        <f>IF(ISNUMBER($D39),IF(YEAR($D39)=대시보드!$C$2,$D39+ROW()/100000,""),"")</f>
        <v/>
      </c>
    </row>
    <row r="40" spans="1:11">
      <c r="A40" s="33"/>
      <c r="B40" s="29"/>
      <c r="C40" s="29"/>
      <c r="D40" s="30"/>
      <c r="E40" s="30"/>
      <c r="F40" s="35"/>
      <c r="G40" s="35"/>
      <c r="H40" s="35" t="str">
        <f t="shared" si="0"/>
        <v/>
      </c>
      <c r="I40" s="29"/>
      <c r="K40" s="36" t="str">
        <f>IF(ISNUMBER($D40),IF(YEAR($D40)=대시보드!$C$2,$D40+ROW()/100000,""),"")</f>
        <v/>
      </c>
    </row>
    <row r="41" spans="1:11">
      <c r="A41" s="33"/>
      <c r="B41" s="29"/>
      <c r="C41" s="29"/>
      <c r="D41" s="30"/>
      <c r="E41" s="30"/>
      <c r="F41" s="35"/>
      <c r="G41" s="35"/>
      <c r="H41" s="35" t="str">
        <f t="shared" si="0"/>
        <v/>
      </c>
      <c r="I41" s="29"/>
      <c r="K41" s="36" t="str">
        <f>IF(ISNUMBER($D41),IF(YEAR($D41)=대시보드!$C$2,$D41+ROW()/100000,""),"")</f>
        <v/>
      </c>
    </row>
    <row r="42" spans="1:11">
      <c r="A42" s="33"/>
      <c r="B42" s="29"/>
      <c r="C42" s="29"/>
      <c r="D42" s="30"/>
      <c r="E42" s="30"/>
      <c r="F42" s="35"/>
      <c r="G42" s="35"/>
      <c r="H42" s="35" t="str">
        <f t="shared" si="0"/>
        <v/>
      </c>
      <c r="I42" s="29"/>
      <c r="K42" s="36" t="str">
        <f>IF(ISNUMBER($D42),IF(YEAR($D42)=대시보드!$C$2,$D42+ROW()/100000,""),"")</f>
        <v/>
      </c>
    </row>
    <row r="43" spans="1:11">
      <c r="A43" s="33"/>
      <c r="B43" s="29"/>
      <c r="C43" s="29"/>
      <c r="D43" s="30"/>
      <c r="E43" s="30"/>
      <c r="F43" s="35"/>
      <c r="G43" s="35"/>
      <c r="H43" s="35" t="str">
        <f t="shared" si="0"/>
        <v/>
      </c>
      <c r="I43" s="29"/>
      <c r="K43" s="36" t="str">
        <f>IF(ISNUMBER($D43),IF(YEAR($D43)=대시보드!$C$2,$D43+ROW()/100000,""),"")</f>
        <v/>
      </c>
    </row>
    <row r="44" spans="1:11">
      <c r="A44" s="33"/>
      <c r="B44" s="29"/>
      <c r="C44" s="29"/>
      <c r="D44" s="30"/>
      <c r="E44" s="30"/>
      <c r="F44" s="35"/>
      <c r="G44" s="35"/>
      <c r="H44" s="35" t="str">
        <f t="shared" si="0"/>
        <v/>
      </c>
      <c r="I44" s="29"/>
      <c r="K44" s="36" t="str">
        <f>IF(ISNUMBER($D44),IF(YEAR($D44)=대시보드!$C$2,$D44+ROW()/100000,""),"")</f>
        <v/>
      </c>
    </row>
    <row r="45" spans="1:11">
      <c r="A45" s="33"/>
      <c r="B45" s="29"/>
      <c r="C45" s="29"/>
      <c r="D45" s="30"/>
      <c r="E45" s="30"/>
      <c r="F45" s="35"/>
      <c r="G45" s="35"/>
      <c r="H45" s="35" t="str">
        <f t="shared" si="0"/>
        <v/>
      </c>
      <c r="I45" s="29"/>
      <c r="K45" s="36" t="str">
        <f>IF(ISNUMBER($D45),IF(YEAR($D45)=대시보드!$C$2,$D45+ROW()/100000,""),"")</f>
        <v/>
      </c>
    </row>
    <row r="46" spans="1:11">
      <c r="A46" s="33"/>
      <c r="B46" s="29"/>
      <c r="C46" s="29"/>
      <c r="D46" s="30"/>
      <c r="E46" s="30"/>
      <c r="F46" s="35"/>
      <c r="G46" s="35"/>
      <c r="H46" s="35" t="str">
        <f t="shared" si="0"/>
        <v/>
      </c>
      <c r="I46" s="29"/>
      <c r="K46" s="36" t="str">
        <f>IF(ISNUMBER($D46),IF(YEAR($D46)=대시보드!$C$2,$D46+ROW()/100000,""),"")</f>
        <v/>
      </c>
    </row>
    <row r="47" spans="1:11">
      <c r="A47" s="33"/>
      <c r="B47" s="29"/>
      <c r="C47" s="29"/>
      <c r="D47" s="30"/>
      <c r="E47" s="30"/>
      <c r="F47" s="35"/>
      <c r="G47" s="35"/>
      <c r="H47" s="35" t="str">
        <f t="shared" si="0"/>
        <v/>
      </c>
      <c r="I47" s="29"/>
      <c r="K47" s="36" t="str">
        <f>IF(ISNUMBER($D47),IF(YEAR($D47)=대시보드!$C$2,$D47+ROW()/100000,""),"")</f>
        <v/>
      </c>
    </row>
    <row r="48" spans="1:11">
      <c r="A48" s="33"/>
      <c r="B48" s="29"/>
      <c r="C48" s="29"/>
      <c r="D48" s="30"/>
      <c r="E48" s="30"/>
      <c r="F48" s="35"/>
      <c r="G48" s="35"/>
      <c r="H48" s="35" t="str">
        <f t="shared" si="0"/>
        <v/>
      </c>
      <c r="I48" s="29"/>
      <c r="K48" s="36" t="str">
        <f>IF(ISNUMBER($D48),IF(YEAR($D48)=대시보드!$C$2,$D48+ROW()/100000,""),"")</f>
        <v/>
      </c>
    </row>
    <row r="49" spans="1:11">
      <c r="A49" s="33"/>
      <c r="B49" s="29"/>
      <c r="C49" s="29"/>
      <c r="D49" s="30"/>
      <c r="E49" s="30"/>
      <c r="F49" s="35"/>
      <c r="G49" s="35"/>
      <c r="H49" s="35" t="str">
        <f t="shared" si="0"/>
        <v/>
      </c>
      <c r="I49" s="29"/>
      <c r="K49" s="36" t="str">
        <f>IF(ISNUMBER($D49),IF(YEAR($D49)=대시보드!$C$2,$D49+ROW()/100000,""),"")</f>
        <v/>
      </c>
    </row>
    <row r="50" spans="1:11">
      <c r="A50" s="33"/>
      <c r="B50" s="29"/>
      <c r="C50" s="29"/>
      <c r="D50" s="30"/>
      <c r="E50" s="30"/>
      <c r="F50" s="35"/>
      <c r="G50" s="35"/>
      <c r="H50" s="35" t="str">
        <f t="shared" si="0"/>
        <v/>
      </c>
      <c r="I50" s="29"/>
      <c r="K50" s="36" t="str">
        <f>IF(ISNUMBER($D50),IF(YEAR($D50)=대시보드!$C$2,$D50+ROW()/100000,""),"")</f>
        <v/>
      </c>
    </row>
    <row r="51" spans="1:11">
      <c r="A51" s="33"/>
      <c r="B51" s="29"/>
      <c r="C51" s="29"/>
      <c r="D51" s="30"/>
      <c r="E51" s="30"/>
      <c r="F51" s="35"/>
      <c r="G51" s="35"/>
      <c r="H51" s="35" t="str">
        <f t="shared" si="0"/>
        <v/>
      </c>
      <c r="I51" s="29"/>
      <c r="K51" s="36" t="str">
        <f>IF(ISNUMBER($D51),IF(YEAR($D51)=대시보드!$C$2,$D51+ROW()/100000,""),"")</f>
        <v/>
      </c>
    </row>
    <row r="52" spans="1:11">
      <c r="A52" s="33"/>
      <c r="B52" s="29"/>
      <c r="C52" s="29"/>
      <c r="D52" s="30"/>
      <c r="E52" s="30"/>
      <c r="F52" s="35"/>
      <c r="G52" s="35"/>
      <c r="H52" s="35" t="str">
        <f t="shared" si="0"/>
        <v/>
      </c>
      <c r="I52" s="29"/>
      <c r="K52" s="36" t="str">
        <f>IF(ISNUMBER($D52),IF(YEAR($D52)=대시보드!$C$2,$D52+ROW()/100000,""),"")</f>
        <v/>
      </c>
    </row>
    <row r="53" spans="1:11">
      <c r="A53" s="33"/>
      <c r="B53" s="29"/>
      <c r="C53" s="29"/>
      <c r="D53" s="30"/>
      <c r="E53" s="30"/>
      <c r="F53" s="35"/>
      <c r="G53" s="35"/>
      <c r="H53" s="35" t="str">
        <f t="shared" si="0"/>
        <v/>
      </c>
      <c r="I53" s="29"/>
      <c r="K53" s="36" t="str">
        <f>IF(ISNUMBER($D53),IF(YEAR($D53)=대시보드!$C$2,$D53+ROW()/100000,""),"")</f>
        <v/>
      </c>
    </row>
    <row r="54" spans="1:11">
      <c r="A54" s="33"/>
      <c r="B54" s="29"/>
      <c r="C54" s="29"/>
      <c r="D54" s="30"/>
      <c r="E54" s="30"/>
      <c r="F54" s="35"/>
      <c r="G54" s="35"/>
      <c r="H54" s="35" t="str">
        <f t="shared" si="0"/>
        <v/>
      </c>
      <c r="I54" s="29"/>
      <c r="K54" s="36" t="str">
        <f>IF(ISNUMBER($D54),IF(YEAR($D54)=대시보드!$C$2,$D54+ROW()/100000,""),"")</f>
        <v/>
      </c>
    </row>
    <row r="55" spans="1:11">
      <c r="A55" s="33"/>
      <c r="B55" s="29"/>
      <c r="C55" s="29"/>
      <c r="D55" s="30"/>
      <c r="E55" s="30"/>
      <c r="F55" s="35"/>
      <c r="G55" s="35"/>
      <c r="H55" s="35" t="str">
        <f t="shared" si="0"/>
        <v/>
      </c>
      <c r="I55" s="29"/>
      <c r="K55" s="36" t="str">
        <f>IF(ISNUMBER($D55),IF(YEAR($D55)=대시보드!$C$2,$D55+ROW()/100000,""),"")</f>
        <v/>
      </c>
    </row>
    <row r="56" spans="1:11">
      <c r="A56" s="33"/>
      <c r="B56" s="29"/>
      <c r="C56" s="29"/>
      <c r="D56" s="30"/>
      <c r="E56" s="30"/>
      <c r="F56" s="35"/>
      <c r="G56" s="35"/>
      <c r="H56" s="35" t="str">
        <f t="shared" si="0"/>
        <v/>
      </c>
      <c r="I56" s="29"/>
      <c r="K56" s="36" t="str">
        <f>IF(ISNUMBER($D56),IF(YEAR($D56)=대시보드!$C$2,$D56+ROW()/100000,""),"")</f>
        <v/>
      </c>
    </row>
    <row r="57" spans="1:11">
      <c r="A57" s="33"/>
      <c r="B57" s="29"/>
      <c r="C57" s="29"/>
      <c r="D57" s="30"/>
      <c r="E57" s="30"/>
      <c r="F57" s="35"/>
      <c r="G57" s="35"/>
      <c r="H57" s="35" t="str">
        <f t="shared" si="0"/>
        <v/>
      </c>
      <c r="I57" s="29"/>
      <c r="K57" s="36" t="str">
        <f>IF(ISNUMBER($D57),IF(YEAR($D57)=대시보드!$C$2,$D57+ROW()/100000,""),"")</f>
        <v/>
      </c>
    </row>
    <row r="58" spans="1:11">
      <c r="A58" s="33"/>
      <c r="B58" s="29"/>
      <c r="C58" s="29"/>
      <c r="D58" s="30"/>
      <c r="E58" s="30"/>
      <c r="F58" s="35"/>
      <c r="G58" s="35"/>
      <c r="H58" s="35" t="str">
        <f t="shared" si="0"/>
        <v/>
      </c>
      <c r="I58" s="29"/>
      <c r="K58" s="36" t="str">
        <f>IF(ISNUMBER($D58),IF(YEAR($D58)=대시보드!$C$2,$D58+ROW()/100000,""),"")</f>
        <v/>
      </c>
    </row>
    <row r="59" spans="1:11">
      <c r="A59" s="33"/>
      <c r="B59" s="29"/>
      <c r="C59" s="29"/>
      <c r="D59" s="30"/>
      <c r="E59" s="30"/>
      <c r="F59" s="35"/>
      <c r="G59" s="35"/>
      <c r="H59" s="35" t="str">
        <f t="shared" si="0"/>
        <v/>
      </c>
      <c r="I59" s="29"/>
      <c r="K59" s="36" t="str">
        <f>IF(ISNUMBER($D59),IF(YEAR($D59)=대시보드!$C$2,$D59+ROW()/100000,""),"")</f>
        <v/>
      </c>
    </row>
    <row r="60" spans="1:11">
      <c r="A60" s="33"/>
      <c r="B60" s="29"/>
      <c r="C60" s="29"/>
      <c r="D60" s="30"/>
      <c r="E60" s="30"/>
      <c r="F60" s="35"/>
      <c r="G60" s="35"/>
      <c r="H60" s="35" t="str">
        <f t="shared" si="0"/>
        <v/>
      </c>
      <c r="I60" s="29"/>
      <c r="K60" s="36" t="str">
        <f>IF(ISNUMBER($D60),IF(YEAR($D60)=대시보드!$C$2,$D60+ROW()/100000,""),"")</f>
        <v/>
      </c>
    </row>
    <row r="61" spans="1:11">
      <c r="A61" s="33"/>
      <c r="B61" s="29"/>
      <c r="C61" s="29"/>
      <c r="D61" s="30"/>
      <c r="E61" s="30"/>
      <c r="F61" s="35"/>
      <c r="G61" s="35"/>
      <c r="H61" s="35" t="str">
        <f t="shared" si="0"/>
        <v/>
      </c>
      <c r="I61" s="29"/>
      <c r="K61" s="36" t="str">
        <f>IF(ISNUMBER($D61),IF(YEAR($D61)=대시보드!$C$2,$D61+ROW()/100000,""),"")</f>
        <v/>
      </c>
    </row>
    <row r="62" spans="1:11">
      <c r="A62" s="33"/>
      <c r="B62" s="29"/>
      <c r="C62" s="29"/>
      <c r="D62" s="30"/>
      <c r="E62" s="30"/>
      <c r="F62" s="35"/>
      <c r="G62" s="35"/>
      <c r="H62" s="35" t="str">
        <f t="shared" si="0"/>
        <v/>
      </c>
      <c r="I62" s="29"/>
      <c r="K62" s="36" t="str">
        <f>IF(ISNUMBER($D62),IF(YEAR($D62)=대시보드!$C$2,$D62+ROW()/100000,""),"")</f>
        <v/>
      </c>
    </row>
    <row r="63" spans="1:11">
      <c r="A63" s="33"/>
      <c r="B63" s="29"/>
      <c r="C63" s="29"/>
      <c r="D63" s="30"/>
      <c r="E63" s="30"/>
      <c r="F63" s="35"/>
      <c r="G63" s="35"/>
      <c r="H63" s="35" t="str">
        <f t="shared" si="0"/>
        <v/>
      </c>
      <c r="I63" s="29"/>
      <c r="K63" s="36" t="str">
        <f>IF(ISNUMBER($D63),IF(YEAR($D63)=대시보드!$C$2,$D63+ROW()/100000,""),"")</f>
        <v/>
      </c>
    </row>
    <row r="64" spans="1:11">
      <c r="A64" s="33"/>
      <c r="B64" s="29"/>
      <c r="C64" s="29"/>
      <c r="D64" s="30"/>
      <c r="E64" s="30"/>
      <c r="F64" s="35"/>
      <c r="G64" s="35"/>
      <c r="H64" s="35" t="str">
        <f t="shared" si="0"/>
        <v/>
      </c>
      <c r="I64" s="29"/>
      <c r="K64" s="36" t="str">
        <f>IF(ISNUMBER($D64),IF(YEAR($D64)=대시보드!$C$2,$D64+ROW()/100000,""),"")</f>
        <v/>
      </c>
    </row>
    <row r="65" spans="1:11">
      <c r="A65" s="33"/>
      <c r="B65" s="29"/>
      <c r="C65" s="29"/>
      <c r="D65" s="30"/>
      <c r="E65" s="30"/>
      <c r="F65" s="35"/>
      <c r="G65" s="35"/>
      <c r="H65" s="35" t="str">
        <f t="shared" si="0"/>
        <v/>
      </c>
      <c r="I65" s="29"/>
      <c r="K65" s="36" t="str">
        <f>IF(ISNUMBER($D65),IF(YEAR($D65)=대시보드!$C$2,$D65+ROW()/100000,""),"")</f>
        <v/>
      </c>
    </row>
    <row r="66" spans="1:11">
      <c r="A66" s="33"/>
      <c r="B66" s="29"/>
      <c r="C66" s="29"/>
      <c r="D66" s="30"/>
      <c r="E66" s="30"/>
      <c r="F66" s="35"/>
      <c r="G66" s="35"/>
      <c r="H66" s="35" t="str">
        <f t="shared" si="0"/>
        <v/>
      </c>
      <c r="I66" s="29"/>
      <c r="K66" s="36" t="str">
        <f>IF(ISNUMBER($D66),IF(YEAR($D66)=대시보드!$C$2,$D66+ROW()/100000,""),"")</f>
        <v/>
      </c>
    </row>
    <row r="67" spans="1:11">
      <c r="A67" s="33"/>
      <c r="B67" s="29"/>
      <c r="C67" s="29"/>
      <c r="D67" s="30"/>
      <c r="E67" s="30"/>
      <c r="F67" s="35"/>
      <c r="G67" s="35"/>
      <c r="H67" s="35" t="str">
        <f t="shared" si="0"/>
        <v/>
      </c>
      <c r="I67" s="29"/>
      <c r="K67" s="36" t="str">
        <f>IF(ISNUMBER($D67),IF(YEAR($D67)=대시보드!$C$2,$D67+ROW()/100000,""),"")</f>
        <v/>
      </c>
    </row>
    <row r="68" spans="1:11">
      <c r="A68" s="33"/>
      <c r="B68" s="29"/>
      <c r="C68" s="29"/>
      <c r="D68" s="30"/>
      <c r="E68" s="30"/>
      <c r="F68" s="35"/>
      <c r="G68" s="35"/>
      <c r="H68" s="35" t="str">
        <f t="shared" ref="H68:H131" si="1">IF(F68="","",F68-G68)</f>
        <v/>
      </c>
      <c r="I68" s="29"/>
      <c r="K68" s="36" t="str">
        <f>IF(ISNUMBER($D68),IF(YEAR($D68)=대시보드!$C$2,$D68+ROW()/100000,""),"")</f>
        <v/>
      </c>
    </row>
    <row r="69" spans="1:11">
      <c r="A69" s="33"/>
      <c r="B69" s="29"/>
      <c r="C69" s="29"/>
      <c r="D69" s="30"/>
      <c r="E69" s="30"/>
      <c r="F69" s="35"/>
      <c r="G69" s="35"/>
      <c r="H69" s="35" t="str">
        <f t="shared" si="1"/>
        <v/>
      </c>
      <c r="I69" s="29"/>
      <c r="K69" s="36" t="str">
        <f>IF(ISNUMBER($D69),IF(YEAR($D69)=대시보드!$C$2,$D69+ROW()/100000,""),"")</f>
        <v/>
      </c>
    </row>
    <row r="70" spans="1:11">
      <c r="A70" s="33"/>
      <c r="B70" s="29"/>
      <c r="C70" s="29"/>
      <c r="D70" s="30"/>
      <c r="E70" s="30"/>
      <c r="F70" s="35"/>
      <c r="G70" s="35"/>
      <c r="H70" s="35" t="str">
        <f t="shared" si="1"/>
        <v/>
      </c>
      <c r="I70" s="29"/>
      <c r="K70" s="36" t="str">
        <f>IF(ISNUMBER($D70),IF(YEAR($D70)=대시보드!$C$2,$D70+ROW()/100000,""),"")</f>
        <v/>
      </c>
    </row>
    <row r="71" spans="1:11">
      <c r="A71" s="33"/>
      <c r="B71" s="29"/>
      <c r="C71" s="29"/>
      <c r="D71" s="30"/>
      <c r="E71" s="30"/>
      <c r="F71" s="35"/>
      <c r="G71" s="35"/>
      <c r="H71" s="35" t="str">
        <f t="shared" si="1"/>
        <v/>
      </c>
      <c r="I71" s="29"/>
      <c r="K71" s="36" t="str">
        <f>IF(ISNUMBER($D71),IF(YEAR($D71)=대시보드!$C$2,$D71+ROW()/100000,""),"")</f>
        <v/>
      </c>
    </row>
    <row r="72" spans="1:11">
      <c r="A72" s="33"/>
      <c r="B72" s="29"/>
      <c r="C72" s="29"/>
      <c r="D72" s="30"/>
      <c r="E72" s="30"/>
      <c r="F72" s="35"/>
      <c r="G72" s="35"/>
      <c r="H72" s="35" t="str">
        <f t="shared" si="1"/>
        <v/>
      </c>
      <c r="I72" s="29"/>
      <c r="K72" s="36" t="str">
        <f>IF(ISNUMBER($D72),IF(YEAR($D72)=대시보드!$C$2,$D72+ROW()/100000,""),"")</f>
        <v/>
      </c>
    </row>
    <row r="73" spans="1:11">
      <c r="A73" s="33"/>
      <c r="B73" s="29"/>
      <c r="C73" s="29"/>
      <c r="D73" s="30"/>
      <c r="E73" s="30"/>
      <c r="F73" s="35"/>
      <c r="G73" s="35"/>
      <c r="H73" s="35" t="str">
        <f t="shared" si="1"/>
        <v/>
      </c>
      <c r="I73" s="29"/>
      <c r="K73" s="36" t="str">
        <f>IF(ISNUMBER($D73),IF(YEAR($D73)=대시보드!$C$2,$D73+ROW()/100000,""),"")</f>
        <v/>
      </c>
    </row>
    <row r="74" spans="1:11">
      <c r="A74" s="33"/>
      <c r="B74" s="29"/>
      <c r="C74" s="29"/>
      <c r="D74" s="30"/>
      <c r="E74" s="30"/>
      <c r="F74" s="35"/>
      <c r="G74" s="35"/>
      <c r="H74" s="35" t="str">
        <f t="shared" si="1"/>
        <v/>
      </c>
      <c r="I74" s="29"/>
      <c r="K74" s="36" t="str">
        <f>IF(ISNUMBER($D74),IF(YEAR($D74)=대시보드!$C$2,$D74+ROW()/100000,""),"")</f>
        <v/>
      </c>
    </row>
    <row r="75" spans="1:11">
      <c r="A75" s="33"/>
      <c r="B75" s="29"/>
      <c r="C75" s="29"/>
      <c r="D75" s="30"/>
      <c r="E75" s="30"/>
      <c r="F75" s="35"/>
      <c r="G75" s="35"/>
      <c r="H75" s="35" t="str">
        <f t="shared" si="1"/>
        <v/>
      </c>
      <c r="I75" s="29"/>
      <c r="K75" s="36" t="str">
        <f>IF(ISNUMBER($D75),IF(YEAR($D75)=대시보드!$C$2,$D75+ROW()/100000,""),"")</f>
        <v/>
      </c>
    </row>
    <row r="76" spans="1:11">
      <c r="A76" s="33"/>
      <c r="B76" s="29"/>
      <c r="C76" s="29"/>
      <c r="D76" s="30"/>
      <c r="E76" s="30"/>
      <c r="F76" s="35"/>
      <c r="G76" s="35"/>
      <c r="H76" s="35" t="str">
        <f t="shared" si="1"/>
        <v/>
      </c>
      <c r="I76" s="29"/>
      <c r="K76" s="36" t="str">
        <f>IF(ISNUMBER($D76),IF(YEAR($D76)=대시보드!$C$2,$D76+ROW()/100000,""),"")</f>
        <v/>
      </c>
    </row>
    <row r="77" spans="1:11">
      <c r="A77" s="33"/>
      <c r="B77" s="29"/>
      <c r="C77" s="29"/>
      <c r="D77" s="30"/>
      <c r="E77" s="30"/>
      <c r="F77" s="35"/>
      <c r="G77" s="35"/>
      <c r="H77" s="35" t="str">
        <f t="shared" si="1"/>
        <v/>
      </c>
      <c r="I77" s="29"/>
      <c r="K77" s="36" t="str">
        <f>IF(ISNUMBER($D77),IF(YEAR($D77)=대시보드!$C$2,$D77+ROW()/100000,""),"")</f>
        <v/>
      </c>
    </row>
    <row r="78" spans="1:11">
      <c r="A78" s="33"/>
      <c r="B78" s="29"/>
      <c r="C78" s="29"/>
      <c r="D78" s="30"/>
      <c r="E78" s="30"/>
      <c r="F78" s="35"/>
      <c r="G78" s="35"/>
      <c r="H78" s="35" t="str">
        <f t="shared" si="1"/>
        <v/>
      </c>
      <c r="I78" s="29"/>
      <c r="K78" s="36" t="str">
        <f>IF(ISNUMBER($D78),IF(YEAR($D78)=대시보드!$C$2,$D78+ROW()/100000,""),"")</f>
        <v/>
      </c>
    </row>
    <row r="79" spans="1:11">
      <c r="A79" s="33"/>
      <c r="B79" s="29"/>
      <c r="C79" s="29"/>
      <c r="D79" s="30"/>
      <c r="E79" s="30"/>
      <c r="F79" s="35"/>
      <c r="G79" s="35"/>
      <c r="H79" s="35" t="str">
        <f t="shared" si="1"/>
        <v/>
      </c>
      <c r="I79" s="29"/>
      <c r="K79" s="36" t="str">
        <f>IF(ISNUMBER($D79),IF(YEAR($D79)=대시보드!$C$2,$D79+ROW()/100000,""),"")</f>
        <v/>
      </c>
    </row>
    <row r="80" spans="1:11">
      <c r="A80" s="33"/>
      <c r="B80" s="29"/>
      <c r="C80" s="29"/>
      <c r="D80" s="30"/>
      <c r="E80" s="30"/>
      <c r="F80" s="35"/>
      <c r="G80" s="35"/>
      <c r="H80" s="35" t="str">
        <f t="shared" si="1"/>
        <v/>
      </c>
      <c r="I80" s="29"/>
      <c r="K80" s="36" t="str">
        <f>IF(ISNUMBER($D80),IF(YEAR($D80)=대시보드!$C$2,$D80+ROW()/100000,""),"")</f>
        <v/>
      </c>
    </row>
    <row r="81" spans="1:11">
      <c r="A81" s="33"/>
      <c r="B81" s="29"/>
      <c r="C81" s="29"/>
      <c r="D81" s="30"/>
      <c r="E81" s="30"/>
      <c r="F81" s="35"/>
      <c r="G81" s="35"/>
      <c r="H81" s="35" t="str">
        <f t="shared" si="1"/>
        <v/>
      </c>
      <c r="I81" s="29"/>
      <c r="K81" s="36" t="str">
        <f>IF(ISNUMBER($D81),IF(YEAR($D81)=대시보드!$C$2,$D81+ROW()/100000,""),"")</f>
        <v/>
      </c>
    </row>
    <row r="82" spans="1:11">
      <c r="A82" s="33"/>
      <c r="B82" s="29"/>
      <c r="C82" s="29"/>
      <c r="D82" s="30"/>
      <c r="E82" s="30"/>
      <c r="F82" s="35"/>
      <c r="G82" s="35"/>
      <c r="H82" s="35" t="str">
        <f t="shared" si="1"/>
        <v/>
      </c>
      <c r="I82" s="29"/>
      <c r="K82" s="36" t="str">
        <f>IF(ISNUMBER($D82),IF(YEAR($D82)=대시보드!$C$2,$D82+ROW()/100000,""),"")</f>
        <v/>
      </c>
    </row>
    <row r="83" spans="1:11">
      <c r="A83" s="33"/>
      <c r="B83" s="29"/>
      <c r="C83" s="29"/>
      <c r="D83" s="30"/>
      <c r="E83" s="30"/>
      <c r="F83" s="35"/>
      <c r="G83" s="35"/>
      <c r="H83" s="35" t="str">
        <f t="shared" si="1"/>
        <v/>
      </c>
      <c r="I83" s="29"/>
      <c r="K83" s="36" t="str">
        <f>IF(ISNUMBER($D83),IF(YEAR($D83)=대시보드!$C$2,$D83+ROW()/100000,""),"")</f>
        <v/>
      </c>
    </row>
    <row r="84" spans="1:11">
      <c r="A84" s="33"/>
      <c r="B84" s="29"/>
      <c r="C84" s="29"/>
      <c r="D84" s="30"/>
      <c r="E84" s="30"/>
      <c r="F84" s="35"/>
      <c r="G84" s="35"/>
      <c r="H84" s="35" t="str">
        <f t="shared" si="1"/>
        <v/>
      </c>
      <c r="I84" s="29"/>
      <c r="K84" s="36" t="str">
        <f>IF(ISNUMBER($D84),IF(YEAR($D84)=대시보드!$C$2,$D84+ROW()/100000,""),"")</f>
        <v/>
      </c>
    </row>
    <row r="85" spans="1:11">
      <c r="A85" s="33"/>
      <c r="B85" s="29"/>
      <c r="C85" s="29"/>
      <c r="D85" s="30"/>
      <c r="E85" s="30"/>
      <c r="F85" s="35"/>
      <c r="G85" s="35"/>
      <c r="H85" s="35" t="str">
        <f t="shared" si="1"/>
        <v/>
      </c>
      <c r="I85" s="29"/>
      <c r="K85" s="36" t="str">
        <f>IF(ISNUMBER($D85),IF(YEAR($D85)=대시보드!$C$2,$D85+ROW()/100000,""),"")</f>
        <v/>
      </c>
    </row>
    <row r="86" spans="1:11">
      <c r="A86" s="33"/>
      <c r="B86" s="29"/>
      <c r="C86" s="29"/>
      <c r="D86" s="30"/>
      <c r="E86" s="30"/>
      <c r="F86" s="35"/>
      <c r="G86" s="35"/>
      <c r="H86" s="35" t="str">
        <f t="shared" si="1"/>
        <v/>
      </c>
      <c r="I86" s="29"/>
      <c r="K86" s="36" t="str">
        <f>IF(ISNUMBER($D86),IF(YEAR($D86)=대시보드!$C$2,$D86+ROW()/100000,""),"")</f>
        <v/>
      </c>
    </row>
    <row r="87" spans="1:11">
      <c r="A87" s="33"/>
      <c r="B87" s="29"/>
      <c r="C87" s="29"/>
      <c r="D87" s="30"/>
      <c r="E87" s="30"/>
      <c r="F87" s="35"/>
      <c r="G87" s="35"/>
      <c r="H87" s="35" t="str">
        <f t="shared" si="1"/>
        <v/>
      </c>
      <c r="I87" s="29"/>
      <c r="K87" s="36" t="str">
        <f>IF(ISNUMBER($D87),IF(YEAR($D87)=대시보드!$C$2,$D87+ROW()/100000,""),"")</f>
        <v/>
      </c>
    </row>
    <row r="88" spans="1:11">
      <c r="A88" s="33"/>
      <c r="B88" s="29"/>
      <c r="C88" s="29"/>
      <c r="D88" s="30"/>
      <c r="E88" s="30"/>
      <c r="F88" s="35"/>
      <c r="G88" s="35"/>
      <c r="H88" s="35" t="str">
        <f t="shared" si="1"/>
        <v/>
      </c>
      <c r="I88" s="29"/>
      <c r="K88" s="36" t="str">
        <f>IF(ISNUMBER($D88),IF(YEAR($D88)=대시보드!$C$2,$D88+ROW()/100000,""),"")</f>
        <v/>
      </c>
    </row>
    <row r="89" spans="1:11">
      <c r="A89" s="33"/>
      <c r="B89" s="29"/>
      <c r="C89" s="29"/>
      <c r="D89" s="30"/>
      <c r="E89" s="30"/>
      <c r="F89" s="35"/>
      <c r="G89" s="35"/>
      <c r="H89" s="35" t="str">
        <f t="shared" si="1"/>
        <v/>
      </c>
      <c r="I89" s="29"/>
      <c r="K89" s="36" t="str">
        <f>IF(ISNUMBER($D89),IF(YEAR($D89)=대시보드!$C$2,$D89+ROW()/100000,""),"")</f>
        <v/>
      </c>
    </row>
    <row r="90" spans="1:11">
      <c r="A90" s="33"/>
      <c r="B90" s="29"/>
      <c r="C90" s="29"/>
      <c r="D90" s="30"/>
      <c r="E90" s="30"/>
      <c r="F90" s="35"/>
      <c r="G90" s="35"/>
      <c r="H90" s="35" t="str">
        <f t="shared" si="1"/>
        <v/>
      </c>
      <c r="I90" s="29"/>
      <c r="K90" s="36" t="str">
        <f>IF(ISNUMBER($D90),IF(YEAR($D90)=대시보드!$C$2,$D90+ROW()/100000,""),"")</f>
        <v/>
      </c>
    </row>
    <row r="91" spans="1:11">
      <c r="A91" s="33"/>
      <c r="B91" s="29"/>
      <c r="C91" s="29"/>
      <c r="D91" s="30"/>
      <c r="E91" s="30"/>
      <c r="F91" s="35"/>
      <c r="G91" s="35"/>
      <c r="H91" s="35" t="str">
        <f t="shared" si="1"/>
        <v/>
      </c>
      <c r="I91" s="29"/>
      <c r="K91" s="36" t="str">
        <f>IF(ISNUMBER($D91),IF(YEAR($D91)=대시보드!$C$2,$D91+ROW()/100000,""),"")</f>
        <v/>
      </c>
    </row>
    <row r="92" spans="1:11">
      <c r="A92" s="33"/>
      <c r="B92" s="29"/>
      <c r="C92" s="29"/>
      <c r="D92" s="30"/>
      <c r="E92" s="30"/>
      <c r="F92" s="35"/>
      <c r="G92" s="35"/>
      <c r="H92" s="35" t="str">
        <f t="shared" si="1"/>
        <v/>
      </c>
      <c r="I92" s="29"/>
      <c r="K92" s="36" t="str">
        <f>IF(ISNUMBER($D92),IF(YEAR($D92)=대시보드!$C$2,$D92+ROW()/100000,""),"")</f>
        <v/>
      </c>
    </row>
    <row r="93" spans="1:11">
      <c r="A93" s="33"/>
      <c r="B93" s="29"/>
      <c r="C93" s="29"/>
      <c r="D93" s="30"/>
      <c r="E93" s="30"/>
      <c r="F93" s="35"/>
      <c r="G93" s="35"/>
      <c r="H93" s="35" t="str">
        <f t="shared" si="1"/>
        <v/>
      </c>
      <c r="I93" s="29"/>
      <c r="K93" s="36" t="str">
        <f>IF(ISNUMBER($D93),IF(YEAR($D93)=대시보드!$C$2,$D93+ROW()/100000,""),"")</f>
        <v/>
      </c>
    </row>
    <row r="94" spans="1:11">
      <c r="A94" s="33"/>
      <c r="B94" s="29"/>
      <c r="C94" s="29"/>
      <c r="D94" s="30"/>
      <c r="E94" s="30"/>
      <c r="F94" s="35"/>
      <c r="G94" s="35"/>
      <c r="H94" s="35" t="str">
        <f t="shared" si="1"/>
        <v/>
      </c>
      <c r="I94" s="29"/>
      <c r="K94" s="36" t="str">
        <f>IF(ISNUMBER($D94),IF(YEAR($D94)=대시보드!$C$2,$D94+ROW()/100000,""),"")</f>
        <v/>
      </c>
    </row>
    <row r="95" spans="1:11">
      <c r="A95" s="33"/>
      <c r="B95" s="29"/>
      <c r="C95" s="29"/>
      <c r="D95" s="30"/>
      <c r="E95" s="30"/>
      <c r="F95" s="35"/>
      <c r="G95" s="35"/>
      <c r="H95" s="35" t="str">
        <f t="shared" si="1"/>
        <v/>
      </c>
      <c r="I95" s="29"/>
      <c r="K95" s="36" t="str">
        <f>IF(ISNUMBER($D95),IF(YEAR($D95)=대시보드!$C$2,$D95+ROW()/100000,""),"")</f>
        <v/>
      </c>
    </row>
    <row r="96" spans="1:11">
      <c r="A96" s="33"/>
      <c r="B96" s="29"/>
      <c r="C96" s="29"/>
      <c r="D96" s="30"/>
      <c r="E96" s="30"/>
      <c r="F96" s="35"/>
      <c r="G96" s="35"/>
      <c r="H96" s="35" t="str">
        <f t="shared" si="1"/>
        <v/>
      </c>
      <c r="I96" s="29"/>
      <c r="K96" s="36" t="str">
        <f>IF(ISNUMBER($D96),IF(YEAR($D96)=대시보드!$C$2,$D96+ROW()/100000,""),"")</f>
        <v/>
      </c>
    </row>
    <row r="97" spans="1:11">
      <c r="A97" s="33"/>
      <c r="B97" s="29"/>
      <c r="C97" s="29"/>
      <c r="D97" s="30"/>
      <c r="E97" s="30"/>
      <c r="F97" s="35"/>
      <c r="G97" s="35"/>
      <c r="H97" s="35" t="str">
        <f t="shared" si="1"/>
        <v/>
      </c>
      <c r="I97" s="29"/>
      <c r="K97" s="36" t="str">
        <f>IF(ISNUMBER($D97),IF(YEAR($D97)=대시보드!$C$2,$D97+ROW()/100000,""),"")</f>
        <v/>
      </c>
    </row>
    <row r="98" spans="1:11">
      <c r="A98" s="33"/>
      <c r="B98" s="29"/>
      <c r="C98" s="29"/>
      <c r="D98" s="30"/>
      <c r="E98" s="30"/>
      <c r="F98" s="35"/>
      <c r="G98" s="35"/>
      <c r="H98" s="35" t="str">
        <f t="shared" si="1"/>
        <v/>
      </c>
      <c r="I98" s="29"/>
      <c r="K98" s="36" t="str">
        <f>IF(ISNUMBER($D98),IF(YEAR($D98)=대시보드!$C$2,$D98+ROW()/100000,""),"")</f>
        <v/>
      </c>
    </row>
    <row r="99" spans="1:11">
      <c r="A99" s="33"/>
      <c r="B99" s="29"/>
      <c r="C99" s="29"/>
      <c r="D99" s="30"/>
      <c r="E99" s="30"/>
      <c r="F99" s="35"/>
      <c r="G99" s="35"/>
      <c r="H99" s="35" t="str">
        <f t="shared" si="1"/>
        <v/>
      </c>
      <c r="I99" s="29"/>
      <c r="K99" s="36" t="str">
        <f>IF(ISNUMBER($D99),IF(YEAR($D99)=대시보드!$C$2,$D99+ROW()/100000,""),"")</f>
        <v/>
      </c>
    </row>
    <row r="100" spans="1:11">
      <c r="A100" s="33"/>
      <c r="B100" s="29"/>
      <c r="C100" s="29"/>
      <c r="D100" s="30"/>
      <c r="E100" s="30"/>
      <c r="F100" s="35"/>
      <c r="G100" s="35"/>
      <c r="H100" s="35" t="str">
        <f t="shared" si="1"/>
        <v/>
      </c>
      <c r="I100" s="29"/>
      <c r="K100" s="36" t="str">
        <f>IF(ISNUMBER($D100),IF(YEAR($D100)=대시보드!$C$2,$D100+ROW()/100000,""),"")</f>
        <v/>
      </c>
    </row>
    <row r="101" spans="1:11">
      <c r="A101" s="33"/>
      <c r="B101" s="29"/>
      <c r="C101" s="29"/>
      <c r="D101" s="30"/>
      <c r="E101" s="30"/>
      <c r="F101" s="35"/>
      <c r="G101" s="35"/>
      <c r="H101" s="35" t="str">
        <f t="shared" si="1"/>
        <v/>
      </c>
      <c r="I101" s="29"/>
      <c r="K101" s="36" t="str">
        <f>IF(ISNUMBER($D101),IF(YEAR($D101)=대시보드!$C$2,$D101+ROW()/100000,""),"")</f>
        <v/>
      </c>
    </row>
    <row r="102" spans="1:11">
      <c r="A102" s="33"/>
      <c r="B102" s="29"/>
      <c r="C102" s="29"/>
      <c r="D102" s="30"/>
      <c r="E102" s="30"/>
      <c r="F102" s="35"/>
      <c r="G102" s="35"/>
      <c r="H102" s="35" t="str">
        <f t="shared" si="1"/>
        <v/>
      </c>
      <c r="I102" s="29"/>
      <c r="K102" s="36" t="str">
        <f>IF(ISNUMBER($D102),IF(YEAR($D102)=대시보드!$C$2,$D102+ROW()/100000,""),"")</f>
        <v/>
      </c>
    </row>
    <row r="103" spans="1:11">
      <c r="A103" s="33"/>
      <c r="B103" s="29"/>
      <c r="C103" s="29"/>
      <c r="D103" s="30"/>
      <c r="E103" s="30"/>
      <c r="F103" s="35"/>
      <c r="G103" s="35"/>
      <c r="H103" s="35" t="str">
        <f t="shared" si="1"/>
        <v/>
      </c>
      <c r="I103" s="29"/>
      <c r="K103" s="36" t="str">
        <f>IF(ISNUMBER($D103),IF(YEAR($D103)=대시보드!$C$2,$D103+ROW()/100000,""),"")</f>
        <v/>
      </c>
    </row>
    <row r="104" spans="1:11">
      <c r="A104" s="33"/>
      <c r="B104" s="29"/>
      <c r="C104" s="29"/>
      <c r="D104" s="30"/>
      <c r="E104" s="30"/>
      <c r="F104" s="35"/>
      <c r="G104" s="35"/>
      <c r="H104" s="35" t="str">
        <f t="shared" si="1"/>
        <v/>
      </c>
      <c r="I104" s="29"/>
      <c r="K104" s="36" t="str">
        <f>IF(ISNUMBER($D104),IF(YEAR($D104)=대시보드!$C$2,$D104+ROW()/100000,""),"")</f>
        <v/>
      </c>
    </row>
    <row r="105" spans="1:11">
      <c r="A105" s="33"/>
      <c r="B105" s="29"/>
      <c r="C105" s="29"/>
      <c r="D105" s="30"/>
      <c r="E105" s="30"/>
      <c r="F105" s="35"/>
      <c r="G105" s="35"/>
      <c r="H105" s="35" t="str">
        <f t="shared" si="1"/>
        <v/>
      </c>
      <c r="I105" s="29"/>
      <c r="K105" s="36" t="str">
        <f>IF(ISNUMBER($D105),IF(YEAR($D105)=대시보드!$C$2,$D105+ROW()/100000,""),"")</f>
        <v/>
      </c>
    </row>
    <row r="106" spans="1:11">
      <c r="A106" s="33"/>
      <c r="B106" s="29"/>
      <c r="C106" s="29"/>
      <c r="D106" s="30"/>
      <c r="E106" s="30"/>
      <c r="F106" s="35"/>
      <c r="G106" s="35"/>
      <c r="H106" s="35" t="str">
        <f t="shared" si="1"/>
        <v/>
      </c>
      <c r="I106" s="29"/>
      <c r="K106" s="36" t="str">
        <f>IF(ISNUMBER($D106),IF(YEAR($D106)=대시보드!$C$2,$D106+ROW()/100000,""),"")</f>
        <v/>
      </c>
    </row>
    <row r="107" spans="1:11">
      <c r="A107" s="33"/>
      <c r="B107" s="29"/>
      <c r="C107" s="29"/>
      <c r="D107" s="30"/>
      <c r="E107" s="30"/>
      <c r="F107" s="35"/>
      <c r="G107" s="35"/>
      <c r="H107" s="35" t="str">
        <f t="shared" si="1"/>
        <v/>
      </c>
      <c r="I107" s="29"/>
      <c r="K107" s="36" t="str">
        <f>IF(ISNUMBER($D107),IF(YEAR($D107)=대시보드!$C$2,$D107+ROW()/100000,""),"")</f>
        <v/>
      </c>
    </row>
    <row r="108" spans="1:11">
      <c r="A108" s="33"/>
      <c r="B108" s="29"/>
      <c r="C108" s="29"/>
      <c r="D108" s="30"/>
      <c r="E108" s="30"/>
      <c r="F108" s="35"/>
      <c r="G108" s="35"/>
      <c r="H108" s="35" t="str">
        <f t="shared" si="1"/>
        <v/>
      </c>
      <c r="I108" s="29"/>
      <c r="K108" s="36" t="str">
        <f>IF(ISNUMBER($D108),IF(YEAR($D108)=대시보드!$C$2,$D108+ROW()/100000,""),"")</f>
        <v/>
      </c>
    </row>
    <row r="109" spans="1:11">
      <c r="A109" s="33"/>
      <c r="B109" s="29"/>
      <c r="C109" s="29"/>
      <c r="D109" s="30"/>
      <c r="E109" s="30"/>
      <c r="F109" s="35"/>
      <c r="G109" s="35"/>
      <c r="H109" s="35" t="str">
        <f t="shared" si="1"/>
        <v/>
      </c>
      <c r="I109" s="29"/>
      <c r="K109" s="36" t="str">
        <f>IF(ISNUMBER($D109),IF(YEAR($D109)=대시보드!$C$2,$D109+ROW()/100000,""),"")</f>
        <v/>
      </c>
    </row>
    <row r="110" spans="1:11">
      <c r="A110" s="33"/>
      <c r="B110" s="29"/>
      <c r="C110" s="29"/>
      <c r="D110" s="30"/>
      <c r="E110" s="30"/>
      <c r="F110" s="35"/>
      <c r="G110" s="35"/>
      <c r="H110" s="35" t="str">
        <f t="shared" si="1"/>
        <v/>
      </c>
      <c r="I110" s="29"/>
      <c r="K110" s="36" t="str">
        <f>IF(ISNUMBER($D110),IF(YEAR($D110)=대시보드!$C$2,$D110+ROW()/100000,""),"")</f>
        <v/>
      </c>
    </row>
    <row r="111" spans="1:11">
      <c r="A111" s="33"/>
      <c r="B111" s="29"/>
      <c r="C111" s="29"/>
      <c r="D111" s="30"/>
      <c r="E111" s="30"/>
      <c r="F111" s="35"/>
      <c r="G111" s="35"/>
      <c r="H111" s="35" t="str">
        <f t="shared" si="1"/>
        <v/>
      </c>
      <c r="I111" s="29"/>
      <c r="K111" s="36" t="str">
        <f>IF(ISNUMBER($D111),IF(YEAR($D111)=대시보드!$C$2,$D111+ROW()/100000,""),"")</f>
        <v/>
      </c>
    </row>
    <row r="112" spans="1:11">
      <c r="A112" s="33"/>
      <c r="B112" s="29"/>
      <c r="C112" s="29"/>
      <c r="D112" s="30"/>
      <c r="E112" s="30"/>
      <c r="F112" s="35"/>
      <c r="G112" s="35"/>
      <c r="H112" s="35" t="str">
        <f t="shared" si="1"/>
        <v/>
      </c>
      <c r="I112" s="29"/>
      <c r="K112" s="36" t="str">
        <f>IF(ISNUMBER($D112),IF(YEAR($D112)=대시보드!$C$2,$D112+ROW()/100000,""),"")</f>
        <v/>
      </c>
    </row>
    <row r="113" spans="1:11">
      <c r="A113" s="33"/>
      <c r="B113" s="29"/>
      <c r="C113" s="29"/>
      <c r="D113" s="30"/>
      <c r="E113" s="30"/>
      <c r="F113" s="35"/>
      <c r="G113" s="35"/>
      <c r="H113" s="35" t="str">
        <f t="shared" si="1"/>
        <v/>
      </c>
      <c r="I113" s="29"/>
      <c r="K113" s="36" t="str">
        <f>IF(ISNUMBER($D113),IF(YEAR($D113)=대시보드!$C$2,$D113+ROW()/100000,""),"")</f>
        <v/>
      </c>
    </row>
    <row r="114" spans="1:11">
      <c r="A114" s="33"/>
      <c r="B114" s="29"/>
      <c r="C114" s="29"/>
      <c r="D114" s="30"/>
      <c r="E114" s="30"/>
      <c r="F114" s="35"/>
      <c r="G114" s="35"/>
      <c r="H114" s="35" t="str">
        <f t="shared" si="1"/>
        <v/>
      </c>
      <c r="I114" s="29"/>
      <c r="K114" s="36" t="str">
        <f>IF(ISNUMBER($D114),IF(YEAR($D114)=대시보드!$C$2,$D114+ROW()/100000,""),"")</f>
        <v/>
      </c>
    </row>
    <row r="115" spans="1:11">
      <c r="A115" s="33"/>
      <c r="B115" s="29"/>
      <c r="C115" s="29"/>
      <c r="D115" s="30"/>
      <c r="E115" s="30"/>
      <c r="F115" s="35"/>
      <c r="G115" s="35"/>
      <c r="H115" s="35" t="str">
        <f t="shared" si="1"/>
        <v/>
      </c>
      <c r="I115" s="29"/>
      <c r="K115" s="36" t="str">
        <f>IF(ISNUMBER($D115),IF(YEAR($D115)=대시보드!$C$2,$D115+ROW()/100000,""),"")</f>
        <v/>
      </c>
    </row>
    <row r="116" spans="1:11">
      <c r="A116" s="33"/>
      <c r="B116" s="29"/>
      <c r="C116" s="29"/>
      <c r="D116" s="30"/>
      <c r="E116" s="30"/>
      <c r="F116" s="35"/>
      <c r="G116" s="35"/>
      <c r="H116" s="35" t="str">
        <f t="shared" si="1"/>
        <v/>
      </c>
      <c r="I116" s="29"/>
      <c r="K116" s="36" t="str">
        <f>IF(ISNUMBER($D116),IF(YEAR($D116)=대시보드!$C$2,$D116+ROW()/100000,""),"")</f>
        <v/>
      </c>
    </row>
    <row r="117" spans="1:11">
      <c r="A117" s="33"/>
      <c r="B117" s="29"/>
      <c r="C117" s="29"/>
      <c r="D117" s="30"/>
      <c r="E117" s="30"/>
      <c r="F117" s="35"/>
      <c r="G117" s="35"/>
      <c r="H117" s="35" t="str">
        <f t="shared" si="1"/>
        <v/>
      </c>
      <c r="I117" s="29"/>
      <c r="K117" s="36" t="str">
        <f>IF(ISNUMBER($D117),IF(YEAR($D117)=대시보드!$C$2,$D117+ROW()/100000,""),"")</f>
        <v/>
      </c>
    </row>
    <row r="118" spans="1:11">
      <c r="A118" s="33"/>
      <c r="B118" s="29"/>
      <c r="C118" s="29"/>
      <c r="D118" s="30"/>
      <c r="E118" s="30"/>
      <c r="F118" s="35"/>
      <c r="G118" s="35"/>
      <c r="H118" s="35" t="str">
        <f t="shared" si="1"/>
        <v/>
      </c>
      <c r="I118" s="29"/>
      <c r="K118" s="36" t="str">
        <f>IF(ISNUMBER($D118),IF(YEAR($D118)=대시보드!$C$2,$D118+ROW()/100000,""),"")</f>
        <v/>
      </c>
    </row>
    <row r="119" spans="1:11">
      <c r="A119" s="33"/>
      <c r="B119" s="29"/>
      <c r="C119" s="29"/>
      <c r="D119" s="30"/>
      <c r="E119" s="30"/>
      <c r="F119" s="35"/>
      <c r="G119" s="35"/>
      <c r="H119" s="35" t="str">
        <f t="shared" si="1"/>
        <v/>
      </c>
      <c r="I119" s="29"/>
      <c r="K119" s="36" t="str">
        <f>IF(ISNUMBER($D119),IF(YEAR($D119)=대시보드!$C$2,$D119+ROW()/100000,""),"")</f>
        <v/>
      </c>
    </row>
    <row r="120" spans="1:11">
      <c r="A120" s="33"/>
      <c r="B120" s="29"/>
      <c r="C120" s="29"/>
      <c r="D120" s="30"/>
      <c r="E120" s="30"/>
      <c r="F120" s="35"/>
      <c r="G120" s="35"/>
      <c r="H120" s="35" t="str">
        <f t="shared" si="1"/>
        <v/>
      </c>
      <c r="I120" s="29"/>
      <c r="K120" s="36" t="str">
        <f>IF(ISNUMBER($D120),IF(YEAR($D120)=대시보드!$C$2,$D120+ROW()/100000,""),"")</f>
        <v/>
      </c>
    </row>
    <row r="121" spans="1:11">
      <c r="A121" s="33"/>
      <c r="B121" s="29"/>
      <c r="C121" s="29"/>
      <c r="D121" s="30"/>
      <c r="E121" s="30"/>
      <c r="F121" s="35"/>
      <c r="G121" s="35"/>
      <c r="H121" s="35" t="str">
        <f t="shared" si="1"/>
        <v/>
      </c>
      <c r="I121" s="29"/>
      <c r="K121" s="36" t="str">
        <f>IF(ISNUMBER($D121),IF(YEAR($D121)=대시보드!$C$2,$D121+ROW()/100000,""),"")</f>
        <v/>
      </c>
    </row>
    <row r="122" spans="1:11">
      <c r="A122" s="33"/>
      <c r="B122" s="29"/>
      <c r="C122" s="29"/>
      <c r="D122" s="30"/>
      <c r="E122" s="30"/>
      <c r="F122" s="35"/>
      <c r="G122" s="35"/>
      <c r="H122" s="35" t="str">
        <f t="shared" si="1"/>
        <v/>
      </c>
      <c r="I122" s="29"/>
      <c r="K122" s="36" t="str">
        <f>IF(ISNUMBER($D122),IF(YEAR($D122)=대시보드!$C$2,$D122+ROW()/100000,""),"")</f>
        <v/>
      </c>
    </row>
    <row r="123" spans="1:11">
      <c r="A123" s="33"/>
      <c r="B123" s="29"/>
      <c r="C123" s="29"/>
      <c r="D123" s="30"/>
      <c r="E123" s="30"/>
      <c r="F123" s="35"/>
      <c r="G123" s="35"/>
      <c r="H123" s="35" t="str">
        <f t="shared" si="1"/>
        <v/>
      </c>
      <c r="I123" s="29"/>
      <c r="K123" s="36" t="str">
        <f>IF(ISNUMBER($D123),IF(YEAR($D123)=대시보드!$C$2,$D123+ROW()/100000,""),"")</f>
        <v/>
      </c>
    </row>
    <row r="124" spans="1:11">
      <c r="A124" s="33"/>
      <c r="B124" s="29"/>
      <c r="C124" s="29"/>
      <c r="D124" s="30"/>
      <c r="E124" s="30"/>
      <c r="F124" s="35"/>
      <c r="G124" s="35"/>
      <c r="H124" s="35" t="str">
        <f t="shared" si="1"/>
        <v/>
      </c>
      <c r="I124" s="29"/>
      <c r="K124" s="36" t="str">
        <f>IF(ISNUMBER($D124),IF(YEAR($D124)=대시보드!$C$2,$D124+ROW()/100000,""),"")</f>
        <v/>
      </c>
    </row>
    <row r="125" spans="1:11">
      <c r="A125" s="33"/>
      <c r="B125" s="29"/>
      <c r="C125" s="29"/>
      <c r="D125" s="30"/>
      <c r="E125" s="30"/>
      <c r="F125" s="35"/>
      <c r="G125" s="35"/>
      <c r="H125" s="35" t="str">
        <f t="shared" si="1"/>
        <v/>
      </c>
      <c r="I125" s="29"/>
      <c r="K125" s="36" t="str">
        <f>IF(ISNUMBER($D125),IF(YEAR($D125)=대시보드!$C$2,$D125+ROW()/100000,""),"")</f>
        <v/>
      </c>
    </row>
    <row r="126" spans="1:11">
      <c r="A126" s="33"/>
      <c r="B126" s="29"/>
      <c r="C126" s="29"/>
      <c r="D126" s="30"/>
      <c r="E126" s="30"/>
      <c r="F126" s="35"/>
      <c r="G126" s="35"/>
      <c r="H126" s="35" t="str">
        <f t="shared" si="1"/>
        <v/>
      </c>
      <c r="I126" s="29"/>
      <c r="K126" s="36" t="str">
        <f>IF(ISNUMBER($D126),IF(YEAR($D126)=대시보드!$C$2,$D126+ROW()/100000,""),"")</f>
        <v/>
      </c>
    </row>
    <row r="127" spans="1:11">
      <c r="A127" s="33"/>
      <c r="B127" s="29"/>
      <c r="C127" s="29"/>
      <c r="D127" s="30"/>
      <c r="E127" s="30"/>
      <c r="F127" s="35"/>
      <c r="G127" s="35"/>
      <c r="H127" s="35" t="str">
        <f t="shared" si="1"/>
        <v/>
      </c>
      <c r="I127" s="29"/>
      <c r="K127" s="36" t="str">
        <f>IF(ISNUMBER($D127),IF(YEAR($D127)=대시보드!$C$2,$D127+ROW()/100000,""),"")</f>
        <v/>
      </c>
    </row>
    <row r="128" spans="1:11">
      <c r="A128" s="33"/>
      <c r="B128" s="29"/>
      <c r="C128" s="29"/>
      <c r="D128" s="30"/>
      <c r="E128" s="30"/>
      <c r="F128" s="35"/>
      <c r="G128" s="35"/>
      <c r="H128" s="35" t="str">
        <f t="shared" si="1"/>
        <v/>
      </c>
      <c r="I128" s="29"/>
      <c r="K128" s="36" t="str">
        <f>IF(ISNUMBER($D128),IF(YEAR($D128)=대시보드!$C$2,$D128+ROW()/100000,""),"")</f>
        <v/>
      </c>
    </row>
    <row r="129" spans="1:11">
      <c r="A129" s="33"/>
      <c r="B129" s="29"/>
      <c r="C129" s="29"/>
      <c r="D129" s="30"/>
      <c r="E129" s="30"/>
      <c r="F129" s="35"/>
      <c r="G129" s="35"/>
      <c r="H129" s="35" t="str">
        <f t="shared" si="1"/>
        <v/>
      </c>
      <c r="I129" s="29"/>
      <c r="K129" s="36" t="str">
        <f>IF(ISNUMBER($D129),IF(YEAR($D129)=대시보드!$C$2,$D129+ROW()/100000,""),"")</f>
        <v/>
      </c>
    </row>
    <row r="130" spans="1:11">
      <c r="A130" s="33"/>
      <c r="B130" s="29"/>
      <c r="C130" s="29"/>
      <c r="D130" s="30"/>
      <c r="E130" s="30"/>
      <c r="F130" s="35"/>
      <c r="G130" s="35"/>
      <c r="H130" s="35" t="str">
        <f t="shared" si="1"/>
        <v/>
      </c>
      <c r="I130" s="29"/>
      <c r="K130" s="36" t="str">
        <f>IF(ISNUMBER($D130),IF(YEAR($D130)=대시보드!$C$2,$D130+ROW()/100000,""),"")</f>
        <v/>
      </c>
    </row>
    <row r="131" spans="1:11">
      <c r="A131" s="33"/>
      <c r="B131" s="29"/>
      <c r="C131" s="29"/>
      <c r="D131" s="30"/>
      <c r="E131" s="30"/>
      <c r="F131" s="35"/>
      <c r="G131" s="35"/>
      <c r="H131" s="35" t="str">
        <f t="shared" si="1"/>
        <v/>
      </c>
      <c r="I131" s="29"/>
      <c r="K131" s="36" t="str">
        <f>IF(ISNUMBER($D131),IF(YEAR($D131)=대시보드!$C$2,$D131+ROW()/100000,""),"")</f>
        <v/>
      </c>
    </row>
    <row r="132" spans="1:11">
      <c r="A132" s="33"/>
      <c r="B132" s="29"/>
      <c r="C132" s="29"/>
      <c r="D132" s="30"/>
      <c r="E132" s="30"/>
      <c r="F132" s="35"/>
      <c r="G132" s="35"/>
      <c r="H132" s="35" t="str">
        <f t="shared" ref="H132:H195" si="2">IF(F132="","",F132-G132)</f>
        <v/>
      </c>
      <c r="I132" s="29"/>
      <c r="K132" s="36" t="str">
        <f>IF(ISNUMBER($D132),IF(YEAR($D132)=대시보드!$C$2,$D132+ROW()/100000,""),"")</f>
        <v/>
      </c>
    </row>
    <row r="133" spans="1:11">
      <c r="A133" s="33"/>
      <c r="B133" s="29"/>
      <c r="C133" s="29"/>
      <c r="D133" s="30"/>
      <c r="E133" s="30"/>
      <c r="F133" s="35"/>
      <c r="G133" s="35"/>
      <c r="H133" s="35" t="str">
        <f t="shared" si="2"/>
        <v/>
      </c>
      <c r="I133" s="29"/>
      <c r="K133" s="36" t="str">
        <f>IF(ISNUMBER($D133),IF(YEAR($D133)=대시보드!$C$2,$D133+ROW()/100000,""),"")</f>
        <v/>
      </c>
    </row>
    <row r="134" spans="1:11">
      <c r="A134" s="33"/>
      <c r="B134" s="29"/>
      <c r="C134" s="29"/>
      <c r="D134" s="30"/>
      <c r="E134" s="30"/>
      <c r="F134" s="35"/>
      <c r="G134" s="35"/>
      <c r="H134" s="35" t="str">
        <f t="shared" si="2"/>
        <v/>
      </c>
      <c r="I134" s="29"/>
      <c r="K134" s="36" t="str">
        <f>IF(ISNUMBER($D134),IF(YEAR($D134)=대시보드!$C$2,$D134+ROW()/100000,""),"")</f>
        <v/>
      </c>
    </row>
    <row r="135" spans="1:11">
      <c r="A135" s="33"/>
      <c r="B135" s="29"/>
      <c r="C135" s="29"/>
      <c r="D135" s="30"/>
      <c r="E135" s="30"/>
      <c r="F135" s="35"/>
      <c r="G135" s="35"/>
      <c r="H135" s="35" t="str">
        <f t="shared" si="2"/>
        <v/>
      </c>
      <c r="I135" s="29"/>
      <c r="K135" s="36" t="str">
        <f>IF(ISNUMBER($D135),IF(YEAR($D135)=대시보드!$C$2,$D135+ROW()/100000,""),"")</f>
        <v/>
      </c>
    </row>
    <row r="136" spans="1:11">
      <c r="A136" s="33"/>
      <c r="B136" s="29"/>
      <c r="C136" s="29"/>
      <c r="D136" s="30"/>
      <c r="E136" s="30"/>
      <c r="F136" s="35"/>
      <c r="G136" s="35"/>
      <c r="H136" s="35" t="str">
        <f t="shared" si="2"/>
        <v/>
      </c>
      <c r="I136" s="29"/>
      <c r="K136" s="36" t="str">
        <f>IF(ISNUMBER($D136),IF(YEAR($D136)=대시보드!$C$2,$D136+ROW()/100000,""),"")</f>
        <v/>
      </c>
    </row>
    <row r="137" spans="1:11">
      <c r="A137" s="33"/>
      <c r="B137" s="29"/>
      <c r="C137" s="29"/>
      <c r="D137" s="30"/>
      <c r="E137" s="30"/>
      <c r="F137" s="35"/>
      <c r="G137" s="35"/>
      <c r="H137" s="35" t="str">
        <f t="shared" si="2"/>
        <v/>
      </c>
      <c r="I137" s="29"/>
      <c r="K137" s="36" t="str">
        <f>IF(ISNUMBER($D137),IF(YEAR($D137)=대시보드!$C$2,$D137+ROW()/100000,""),"")</f>
        <v/>
      </c>
    </row>
    <row r="138" spans="1:11">
      <c r="A138" s="33"/>
      <c r="B138" s="29"/>
      <c r="C138" s="29"/>
      <c r="D138" s="30"/>
      <c r="E138" s="30"/>
      <c r="F138" s="35"/>
      <c r="G138" s="35"/>
      <c r="H138" s="35" t="str">
        <f t="shared" si="2"/>
        <v/>
      </c>
      <c r="I138" s="29"/>
      <c r="K138" s="36" t="str">
        <f>IF(ISNUMBER($D138),IF(YEAR($D138)=대시보드!$C$2,$D138+ROW()/100000,""),"")</f>
        <v/>
      </c>
    </row>
    <row r="139" spans="1:11">
      <c r="A139" s="33"/>
      <c r="B139" s="29"/>
      <c r="C139" s="29"/>
      <c r="D139" s="30"/>
      <c r="E139" s="30"/>
      <c r="F139" s="35"/>
      <c r="G139" s="35"/>
      <c r="H139" s="35" t="str">
        <f t="shared" si="2"/>
        <v/>
      </c>
      <c r="I139" s="29"/>
      <c r="K139" s="36" t="str">
        <f>IF(ISNUMBER($D139),IF(YEAR($D139)=대시보드!$C$2,$D139+ROW()/100000,""),"")</f>
        <v/>
      </c>
    </row>
    <row r="140" spans="1:11">
      <c r="A140" s="33"/>
      <c r="B140" s="29"/>
      <c r="C140" s="29"/>
      <c r="D140" s="30"/>
      <c r="E140" s="30"/>
      <c r="F140" s="35"/>
      <c r="G140" s="35"/>
      <c r="H140" s="35" t="str">
        <f t="shared" si="2"/>
        <v/>
      </c>
      <c r="I140" s="29"/>
      <c r="K140" s="36" t="str">
        <f>IF(ISNUMBER($D140),IF(YEAR($D140)=대시보드!$C$2,$D140+ROW()/100000,""),"")</f>
        <v/>
      </c>
    </row>
    <row r="141" spans="1:11">
      <c r="A141" s="33"/>
      <c r="B141" s="29"/>
      <c r="C141" s="29"/>
      <c r="D141" s="30"/>
      <c r="E141" s="30"/>
      <c r="F141" s="35"/>
      <c r="G141" s="35"/>
      <c r="H141" s="35" t="str">
        <f t="shared" si="2"/>
        <v/>
      </c>
      <c r="I141" s="29"/>
      <c r="K141" s="36" t="str">
        <f>IF(ISNUMBER($D141),IF(YEAR($D141)=대시보드!$C$2,$D141+ROW()/100000,""),"")</f>
        <v/>
      </c>
    </row>
    <row r="142" spans="1:11">
      <c r="A142" s="33"/>
      <c r="B142" s="29"/>
      <c r="C142" s="29"/>
      <c r="D142" s="30"/>
      <c r="E142" s="30"/>
      <c r="F142" s="35"/>
      <c r="G142" s="35"/>
      <c r="H142" s="35" t="str">
        <f t="shared" si="2"/>
        <v/>
      </c>
      <c r="I142" s="29"/>
      <c r="K142" s="36" t="str">
        <f>IF(ISNUMBER($D142),IF(YEAR($D142)=대시보드!$C$2,$D142+ROW()/100000,""),"")</f>
        <v/>
      </c>
    </row>
    <row r="143" spans="1:11">
      <c r="A143" s="33"/>
      <c r="B143" s="29"/>
      <c r="C143" s="29"/>
      <c r="D143" s="30"/>
      <c r="E143" s="30"/>
      <c r="F143" s="35"/>
      <c r="G143" s="35"/>
      <c r="H143" s="35" t="str">
        <f t="shared" si="2"/>
        <v/>
      </c>
      <c r="I143" s="29"/>
      <c r="K143" s="36" t="str">
        <f>IF(ISNUMBER($D143),IF(YEAR($D143)=대시보드!$C$2,$D143+ROW()/100000,""),"")</f>
        <v/>
      </c>
    </row>
    <row r="144" spans="1:11">
      <c r="A144" s="33"/>
      <c r="B144" s="29"/>
      <c r="C144" s="29"/>
      <c r="D144" s="30"/>
      <c r="E144" s="30"/>
      <c r="F144" s="35"/>
      <c r="G144" s="35"/>
      <c r="H144" s="35" t="str">
        <f t="shared" si="2"/>
        <v/>
      </c>
      <c r="I144" s="29"/>
      <c r="K144" s="36" t="str">
        <f>IF(ISNUMBER($D144),IF(YEAR($D144)=대시보드!$C$2,$D144+ROW()/100000,""),"")</f>
        <v/>
      </c>
    </row>
    <row r="145" spans="1:11">
      <c r="A145" s="33"/>
      <c r="B145" s="29"/>
      <c r="C145" s="29"/>
      <c r="D145" s="30"/>
      <c r="E145" s="30"/>
      <c r="F145" s="35"/>
      <c r="G145" s="35"/>
      <c r="H145" s="35" t="str">
        <f t="shared" si="2"/>
        <v/>
      </c>
      <c r="I145" s="29"/>
      <c r="K145" s="36" t="str">
        <f>IF(ISNUMBER($D145),IF(YEAR($D145)=대시보드!$C$2,$D145+ROW()/100000,""),"")</f>
        <v/>
      </c>
    </row>
    <row r="146" spans="1:11">
      <c r="A146" s="33"/>
      <c r="B146" s="29"/>
      <c r="C146" s="29"/>
      <c r="D146" s="30"/>
      <c r="E146" s="30"/>
      <c r="F146" s="35"/>
      <c r="G146" s="35"/>
      <c r="H146" s="35" t="str">
        <f t="shared" si="2"/>
        <v/>
      </c>
      <c r="I146" s="29"/>
      <c r="K146" s="36" t="str">
        <f>IF(ISNUMBER($D146),IF(YEAR($D146)=대시보드!$C$2,$D146+ROW()/100000,""),"")</f>
        <v/>
      </c>
    </row>
    <row r="147" spans="1:11">
      <c r="A147" s="33"/>
      <c r="B147" s="29"/>
      <c r="C147" s="29"/>
      <c r="D147" s="30"/>
      <c r="E147" s="30"/>
      <c r="F147" s="35"/>
      <c r="G147" s="35"/>
      <c r="H147" s="35" t="str">
        <f t="shared" si="2"/>
        <v/>
      </c>
      <c r="I147" s="29"/>
      <c r="K147" s="36" t="str">
        <f>IF(ISNUMBER($D147),IF(YEAR($D147)=대시보드!$C$2,$D147+ROW()/100000,""),"")</f>
        <v/>
      </c>
    </row>
    <row r="148" spans="1:11">
      <c r="A148" s="33"/>
      <c r="B148" s="29"/>
      <c r="C148" s="29"/>
      <c r="D148" s="30"/>
      <c r="E148" s="30"/>
      <c r="F148" s="35"/>
      <c r="G148" s="35"/>
      <c r="H148" s="35" t="str">
        <f t="shared" si="2"/>
        <v/>
      </c>
      <c r="I148" s="29"/>
      <c r="K148" s="36" t="str">
        <f>IF(ISNUMBER($D148),IF(YEAR($D148)=대시보드!$C$2,$D148+ROW()/100000,""),"")</f>
        <v/>
      </c>
    </row>
    <row r="149" spans="1:11">
      <c r="A149" s="33"/>
      <c r="B149" s="29"/>
      <c r="C149" s="29"/>
      <c r="D149" s="30"/>
      <c r="E149" s="30"/>
      <c r="F149" s="35"/>
      <c r="G149" s="35"/>
      <c r="H149" s="35" t="str">
        <f t="shared" si="2"/>
        <v/>
      </c>
      <c r="I149" s="29"/>
      <c r="K149" s="36" t="str">
        <f>IF(ISNUMBER($D149),IF(YEAR($D149)=대시보드!$C$2,$D149+ROW()/100000,""),"")</f>
        <v/>
      </c>
    </row>
    <row r="150" spans="1:11">
      <c r="A150" s="33"/>
      <c r="B150" s="29"/>
      <c r="C150" s="29"/>
      <c r="D150" s="30"/>
      <c r="E150" s="30"/>
      <c r="F150" s="35"/>
      <c r="G150" s="35"/>
      <c r="H150" s="35" t="str">
        <f t="shared" si="2"/>
        <v/>
      </c>
      <c r="I150" s="29"/>
      <c r="K150" s="36" t="str">
        <f>IF(ISNUMBER($D150),IF(YEAR($D150)=대시보드!$C$2,$D150+ROW()/100000,""),"")</f>
        <v/>
      </c>
    </row>
    <row r="151" spans="1:11">
      <c r="A151" s="33"/>
      <c r="B151" s="29"/>
      <c r="C151" s="29"/>
      <c r="D151" s="30"/>
      <c r="E151" s="30"/>
      <c r="F151" s="35"/>
      <c r="G151" s="35"/>
      <c r="H151" s="35" t="str">
        <f t="shared" si="2"/>
        <v/>
      </c>
      <c r="I151" s="29"/>
      <c r="K151" s="36" t="str">
        <f>IF(ISNUMBER($D151),IF(YEAR($D151)=대시보드!$C$2,$D151+ROW()/100000,""),"")</f>
        <v/>
      </c>
    </row>
    <row r="152" spans="1:11">
      <c r="A152" s="33"/>
      <c r="B152" s="29"/>
      <c r="C152" s="29"/>
      <c r="D152" s="30"/>
      <c r="E152" s="30"/>
      <c r="F152" s="35"/>
      <c r="G152" s="35"/>
      <c r="H152" s="35" t="str">
        <f t="shared" si="2"/>
        <v/>
      </c>
      <c r="I152" s="29"/>
      <c r="K152" s="36" t="str">
        <f>IF(ISNUMBER($D152),IF(YEAR($D152)=대시보드!$C$2,$D152+ROW()/100000,""),"")</f>
        <v/>
      </c>
    </row>
    <row r="153" spans="1:11">
      <c r="A153" s="33"/>
      <c r="B153" s="29"/>
      <c r="C153" s="29"/>
      <c r="D153" s="30"/>
      <c r="E153" s="30"/>
      <c r="F153" s="35"/>
      <c r="G153" s="35"/>
      <c r="H153" s="35" t="str">
        <f t="shared" si="2"/>
        <v/>
      </c>
      <c r="I153" s="29"/>
      <c r="K153" s="36" t="str">
        <f>IF(ISNUMBER($D153),IF(YEAR($D153)=대시보드!$C$2,$D153+ROW()/100000,""),"")</f>
        <v/>
      </c>
    </row>
    <row r="154" spans="1:11">
      <c r="A154" s="33"/>
      <c r="B154" s="29"/>
      <c r="C154" s="29"/>
      <c r="D154" s="30"/>
      <c r="E154" s="30"/>
      <c r="F154" s="35"/>
      <c r="G154" s="35"/>
      <c r="H154" s="35" t="str">
        <f t="shared" si="2"/>
        <v/>
      </c>
      <c r="I154" s="29"/>
      <c r="K154" s="36" t="str">
        <f>IF(ISNUMBER($D154),IF(YEAR($D154)=대시보드!$C$2,$D154+ROW()/100000,""),"")</f>
        <v/>
      </c>
    </row>
    <row r="155" spans="1:11">
      <c r="A155" s="33"/>
      <c r="B155" s="29"/>
      <c r="C155" s="29"/>
      <c r="D155" s="30"/>
      <c r="E155" s="30"/>
      <c r="F155" s="35"/>
      <c r="G155" s="35"/>
      <c r="H155" s="35" t="str">
        <f t="shared" si="2"/>
        <v/>
      </c>
      <c r="I155" s="29"/>
      <c r="K155" s="36" t="str">
        <f>IF(ISNUMBER($D155),IF(YEAR($D155)=대시보드!$C$2,$D155+ROW()/100000,""),"")</f>
        <v/>
      </c>
    </row>
    <row r="156" spans="1:11">
      <c r="A156" s="33"/>
      <c r="B156" s="29"/>
      <c r="C156" s="29"/>
      <c r="D156" s="30"/>
      <c r="E156" s="30"/>
      <c r="F156" s="35"/>
      <c r="G156" s="35"/>
      <c r="H156" s="35" t="str">
        <f t="shared" si="2"/>
        <v/>
      </c>
      <c r="I156" s="29"/>
      <c r="K156" s="36" t="str">
        <f>IF(ISNUMBER($D156),IF(YEAR($D156)=대시보드!$C$2,$D156+ROW()/100000,""),"")</f>
        <v/>
      </c>
    </row>
    <row r="157" spans="1:11">
      <c r="A157" s="33"/>
      <c r="B157" s="29"/>
      <c r="C157" s="29"/>
      <c r="D157" s="30"/>
      <c r="E157" s="30"/>
      <c r="F157" s="35"/>
      <c r="G157" s="35"/>
      <c r="H157" s="35" t="str">
        <f t="shared" si="2"/>
        <v/>
      </c>
      <c r="I157" s="29"/>
      <c r="K157" s="36" t="str">
        <f>IF(ISNUMBER($D157),IF(YEAR($D157)=대시보드!$C$2,$D157+ROW()/100000,""),"")</f>
        <v/>
      </c>
    </row>
    <row r="158" spans="1:11">
      <c r="A158" s="33"/>
      <c r="B158" s="29"/>
      <c r="C158" s="29"/>
      <c r="D158" s="30"/>
      <c r="E158" s="30"/>
      <c r="F158" s="35"/>
      <c r="G158" s="35"/>
      <c r="H158" s="35" t="str">
        <f t="shared" si="2"/>
        <v/>
      </c>
      <c r="I158" s="29"/>
      <c r="K158" s="36" t="str">
        <f>IF(ISNUMBER($D158),IF(YEAR($D158)=대시보드!$C$2,$D158+ROW()/100000,""),"")</f>
        <v/>
      </c>
    </row>
    <row r="159" spans="1:11">
      <c r="A159" s="33"/>
      <c r="B159" s="29"/>
      <c r="C159" s="29"/>
      <c r="D159" s="30"/>
      <c r="E159" s="30"/>
      <c r="F159" s="35"/>
      <c r="G159" s="35"/>
      <c r="H159" s="35" t="str">
        <f t="shared" si="2"/>
        <v/>
      </c>
      <c r="I159" s="29"/>
      <c r="K159" s="36" t="str">
        <f>IF(ISNUMBER($D159),IF(YEAR($D159)=대시보드!$C$2,$D159+ROW()/100000,""),"")</f>
        <v/>
      </c>
    </row>
    <row r="160" spans="1:11">
      <c r="A160" s="33"/>
      <c r="B160" s="29"/>
      <c r="C160" s="29"/>
      <c r="D160" s="30"/>
      <c r="E160" s="30"/>
      <c r="F160" s="35"/>
      <c r="G160" s="35"/>
      <c r="H160" s="35" t="str">
        <f t="shared" si="2"/>
        <v/>
      </c>
      <c r="I160" s="29"/>
      <c r="K160" s="36" t="str">
        <f>IF(ISNUMBER($D160),IF(YEAR($D160)=대시보드!$C$2,$D160+ROW()/100000,""),"")</f>
        <v/>
      </c>
    </row>
    <row r="161" spans="1:11">
      <c r="A161" s="33"/>
      <c r="B161" s="29"/>
      <c r="C161" s="29"/>
      <c r="D161" s="30"/>
      <c r="E161" s="30"/>
      <c r="F161" s="35"/>
      <c r="G161" s="35"/>
      <c r="H161" s="35" t="str">
        <f t="shared" si="2"/>
        <v/>
      </c>
      <c r="I161" s="29"/>
      <c r="K161" s="36" t="str">
        <f>IF(ISNUMBER($D161),IF(YEAR($D161)=대시보드!$C$2,$D161+ROW()/100000,""),"")</f>
        <v/>
      </c>
    </row>
    <row r="162" spans="1:11">
      <c r="A162" s="33"/>
      <c r="B162" s="29"/>
      <c r="C162" s="29"/>
      <c r="D162" s="30"/>
      <c r="E162" s="30"/>
      <c r="F162" s="35"/>
      <c r="G162" s="35"/>
      <c r="H162" s="35" t="str">
        <f t="shared" si="2"/>
        <v/>
      </c>
      <c r="I162" s="29"/>
      <c r="K162" s="36" t="str">
        <f>IF(ISNUMBER($D162),IF(YEAR($D162)=대시보드!$C$2,$D162+ROW()/100000,""),"")</f>
        <v/>
      </c>
    </row>
    <row r="163" spans="1:11">
      <c r="A163" s="33"/>
      <c r="B163" s="29"/>
      <c r="C163" s="29"/>
      <c r="D163" s="30"/>
      <c r="E163" s="30"/>
      <c r="F163" s="35"/>
      <c r="G163" s="35"/>
      <c r="H163" s="35" t="str">
        <f t="shared" si="2"/>
        <v/>
      </c>
      <c r="I163" s="29"/>
      <c r="K163" s="36" t="str">
        <f>IF(ISNUMBER($D163),IF(YEAR($D163)=대시보드!$C$2,$D163+ROW()/100000,""),"")</f>
        <v/>
      </c>
    </row>
    <row r="164" spans="1:11">
      <c r="A164" s="33"/>
      <c r="B164" s="29"/>
      <c r="C164" s="29"/>
      <c r="D164" s="30"/>
      <c r="E164" s="30"/>
      <c r="F164" s="35"/>
      <c r="G164" s="35"/>
      <c r="H164" s="35" t="str">
        <f t="shared" si="2"/>
        <v/>
      </c>
      <c r="I164" s="29"/>
      <c r="K164" s="36" t="str">
        <f>IF(ISNUMBER($D164),IF(YEAR($D164)=대시보드!$C$2,$D164+ROW()/100000,""),"")</f>
        <v/>
      </c>
    </row>
    <row r="165" spans="1:11">
      <c r="A165" s="33"/>
      <c r="B165" s="29"/>
      <c r="C165" s="29"/>
      <c r="D165" s="30"/>
      <c r="E165" s="30"/>
      <c r="F165" s="35"/>
      <c r="G165" s="35"/>
      <c r="H165" s="35" t="str">
        <f t="shared" si="2"/>
        <v/>
      </c>
      <c r="I165" s="29"/>
      <c r="K165" s="36" t="str">
        <f>IF(ISNUMBER($D165),IF(YEAR($D165)=대시보드!$C$2,$D165+ROW()/100000,""),"")</f>
        <v/>
      </c>
    </row>
    <row r="166" spans="1:11">
      <c r="A166" s="33"/>
      <c r="B166" s="29"/>
      <c r="C166" s="29"/>
      <c r="D166" s="30"/>
      <c r="E166" s="30"/>
      <c r="F166" s="35"/>
      <c r="G166" s="35"/>
      <c r="H166" s="35" t="str">
        <f t="shared" si="2"/>
        <v/>
      </c>
      <c r="I166" s="29"/>
      <c r="K166" s="36" t="str">
        <f>IF(ISNUMBER($D166),IF(YEAR($D166)=대시보드!$C$2,$D166+ROW()/100000,""),"")</f>
        <v/>
      </c>
    </row>
    <row r="167" spans="1:11">
      <c r="A167" s="33"/>
      <c r="B167" s="29"/>
      <c r="C167" s="29"/>
      <c r="D167" s="30"/>
      <c r="E167" s="30"/>
      <c r="F167" s="35"/>
      <c r="G167" s="35"/>
      <c r="H167" s="35" t="str">
        <f t="shared" si="2"/>
        <v/>
      </c>
      <c r="I167" s="29"/>
      <c r="K167" s="36" t="str">
        <f>IF(ISNUMBER($D167),IF(YEAR($D167)=대시보드!$C$2,$D167+ROW()/100000,""),"")</f>
        <v/>
      </c>
    </row>
    <row r="168" spans="1:11">
      <c r="A168" s="33"/>
      <c r="B168" s="29"/>
      <c r="C168" s="29"/>
      <c r="D168" s="30"/>
      <c r="E168" s="30"/>
      <c r="F168" s="35"/>
      <c r="G168" s="35"/>
      <c r="H168" s="35" t="str">
        <f t="shared" si="2"/>
        <v/>
      </c>
      <c r="I168" s="29"/>
      <c r="K168" s="36" t="str">
        <f>IF(ISNUMBER($D168),IF(YEAR($D168)=대시보드!$C$2,$D168+ROW()/100000,""),"")</f>
        <v/>
      </c>
    </row>
    <row r="169" spans="1:11">
      <c r="A169" s="33"/>
      <c r="B169" s="29"/>
      <c r="C169" s="29"/>
      <c r="D169" s="30"/>
      <c r="E169" s="30"/>
      <c r="F169" s="35"/>
      <c r="G169" s="35"/>
      <c r="H169" s="35" t="str">
        <f t="shared" si="2"/>
        <v/>
      </c>
      <c r="I169" s="29"/>
      <c r="K169" s="36" t="str">
        <f>IF(ISNUMBER($D169),IF(YEAR($D169)=대시보드!$C$2,$D169+ROW()/100000,""),"")</f>
        <v/>
      </c>
    </row>
    <row r="170" spans="1:11">
      <c r="A170" s="33"/>
      <c r="B170" s="29"/>
      <c r="C170" s="29"/>
      <c r="D170" s="30"/>
      <c r="E170" s="30"/>
      <c r="F170" s="35"/>
      <c r="G170" s="35"/>
      <c r="H170" s="35" t="str">
        <f t="shared" si="2"/>
        <v/>
      </c>
      <c r="I170" s="29"/>
      <c r="K170" s="36" t="str">
        <f>IF(ISNUMBER($D170),IF(YEAR($D170)=대시보드!$C$2,$D170+ROW()/100000,""),"")</f>
        <v/>
      </c>
    </row>
    <row r="171" spans="1:11">
      <c r="A171" s="33"/>
      <c r="B171" s="29"/>
      <c r="C171" s="29"/>
      <c r="D171" s="30"/>
      <c r="E171" s="30"/>
      <c r="F171" s="35"/>
      <c r="G171" s="35"/>
      <c r="H171" s="35" t="str">
        <f t="shared" si="2"/>
        <v/>
      </c>
      <c r="I171" s="29"/>
      <c r="K171" s="36" t="str">
        <f>IF(ISNUMBER($D171),IF(YEAR($D171)=대시보드!$C$2,$D171+ROW()/100000,""),"")</f>
        <v/>
      </c>
    </row>
    <row r="172" spans="1:11">
      <c r="A172" s="33"/>
      <c r="B172" s="29"/>
      <c r="C172" s="29"/>
      <c r="D172" s="30"/>
      <c r="E172" s="30"/>
      <c r="F172" s="35"/>
      <c r="G172" s="35"/>
      <c r="H172" s="35" t="str">
        <f t="shared" si="2"/>
        <v/>
      </c>
      <c r="I172" s="29"/>
      <c r="K172" s="36" t="str">
        <f>IF(ISNUMBER($D172),IF(YEAR($D172)=대시보드!$C$2,$D172+ROW()/100000,""),"")</f>
        <v/>
      </c>
    </row>
    <row r="173" spans="1:11">
      <c r="A173" s="33"/>
      <c r="B173" s="29"/>
      <c r="C173" s="29"/>
      <c r="D173" s="30"/>
      <c r="E173" s="30"/>
      <c r="F173" s="35"/>
      <c r="G173" s="35"/>
      <c r="H173" s="35" t="str">
        <f t="shared" si="2"/>
        <v/>
      </c>
      <c r="I173" s="29"/>
      <c r="K173" s="36" t="str">
        <f>IF(ISNUMBER($D173),IF(YEAR($D173)=대시보드!$C$2,$D173+ROW()/100000,""),"")</f>
        <v/>
      </c>
    </row>
    <row r="174" spans="1:11">
      <c r="A174" s="33"/>
      <c r="B174" s="29"/>
      <c r="C174" s="29"/>
      <c r="D174" s="30"/>
      <c r="E174" s="30"/>
      <c r="F174" s="35"/>
      <c r="G174" s="35"/>
      <c r="H174" s="35" t="str">
        <f t="shared" si="2"/>
        <v/>
      </c>
      <c r="I174" s="29"/>
      <c r="K174" s="36" t="str">
        <f>IF(ISNUMBER($D174),IF(YEAR($D174)=대시보드!$C$2,$D174+ROW()/100000,""),"")</f>
        <v/>
      </c>
    </row>
    <row r="175" spans="1:11">
      <c r="A175" s="33"/>
      <c r="B175" s="29"/>
      <c r="C175" s="29"/>
      <c r="D175" s="30"/>
      <c r="E175" s="30"/>
      <c r="F175" s="35"/>
      <c r="G175" s="35"/>
      <c r="H175" s="35" t="str">
        <f t="shared" si="2"/>
        <v/>
      </c>
      <c r="I175" s="29"/>
      <c r="K175" s="36" t="str">
        <f>IF(ISNUMBER($D175),IF(YEAR($D175)=대시보드!$C$2,$D175+ROW()/100000,""),"")</f>
        <v/>
      </c>
    </row>
    <row r="176" spans="1:11">
      <c r="A176" s="33"/>
      <c r="B176" s="29"/>
      <c r="C176" s="29"/>
      <c r="D176" s="30"/>
      <c r="E176" s="30"/>
      <c r="F176" s="35"/>
      <c r="G176" s="35"/>
      <c r="H176" s="35" t="str">
        <f t="shared" si="2"/>
        <v/>
      </c>
      <c r="I176" s="29"/>
      <c r="K176" s="36" t="str">
        <f>IF(ISNUMBER($D176),IF(YEAR($D176)=대시보드!$C$2,$D176+ROW()/100000,""),"")</f>
        <v/>
      </c>
    </row>
    <row r="177" spans="1:11">
      <c r="A177" s="33"/>
      <c r="B177" s="29"/>
      <c r="C177" s="29"/>
      <c r="D177" s="30"/>
      <c r="E177" s="30"/>
      <c r="F177" s="35"/>
      <c r="G177" s="35"/>
      <c r="H177" s="35" t="str">
        <f t="shared" si="2"/>
        <v/>
      </c>
      <c r="I177" s="29"/>
      <c r="K177" s="36" t="str">
        <f>IF(ISNUMBER($D177),IF(YEAR($D177)=대시보드!$C$2,$D177+ROW()/100000,""),"")</f>
        <v/>
      </c>
    </row>
    <row r="178" spans="1:11">
      <c r="A178" s="33"/>
      <c r="B178" s="29"/>
      <c r="C178" s="29"/>
      <c r="D178" s="30"/>
      <c r="E178" s="30"/>
      <c r="F178" s="35"/>
      <c r="G178" s="35"/>
      <c r="H178" s="35" t="str">
        <f t="shared" si="2"/>
        <v/>
      </c>
      <c r="I178" s="29"/>
      <c r="K178" s="36" t="str">
        <f>IF(ISNUMBER($D178),IF(YEAR($D178)=대시보드!$C$2,$D178+ROW()/100000,""),"")</f>
        <v/>
      </c>
    </row>
    <row r="179" spans="1:11">
      <c r="A179" s="33"/>
      <c r="B179" s="29"/>
      <c r="C179" s="29"/>
      <c r="D179" s="30"/>
      <c r="E179" s="30"/>
      <c r="F179" s="35"/>
      <c r="G179" s="35"/>
      <c r="H179" s="35" t="str">
        <f t="shared" si="2"/>
        <v/>
      </c>
      <c r="I179" s="29"/>
      <c r="K179" s="36" t="str">
        <f>IF(ISNUMBER($D179),IF(YEAR($D179)=대시보드!$C$2,$D179+ROW()/100000,""),"")</f>
        <v/>
      </c>
    </row>
    <row r="180" spans="1:11">
      <c r="A180" s="33"/>
      <c r="B180" s="29"/>
      <c r="C180" s="29"/>
      <c r="D180" s="30"/>
      <c r="E180" s="30"/>
      <c r="F180" s="35"/>
      <c r="G180" s="35"/>
      <c r="H180" s="35" t="str">
        <f t="shared" si="2"/>
        <v/>
      </c>
      <c r="I180" s="29"/>
      <c r="K180" s="36" t="str">
        <f>IF(ISNUMBER($D180),IF(YEAR($D180)=대시보드!$C$2,$D180+ROW()/100000,""),"")</f>
        <v/>
      </c>
    </row>
    <row r="181" spans="1:11">
      <c r="A181" s="33"/>
      <c r="B181" s="29"/>
      <c r="C181" s="29"/>
      <c r="D181" s="30"/>
      <c r="E181" s="30"/>
      <c r="F181" s="35"/>
      <c r="G181" s="35"/>
      <c r="H181" s="35" t="str">
        <f t="shared" si="2"/>
        <v/>
      </c>
      <c r="I181" s="29"/>
      <c r="K181" s="36" t="str">
        <f>IF(ISNUMBER($D181),IF(YEAR($D181)=대시보드!$C$2,$D181+ROW()/100000,""),"")</f>
        <v/>
      </c>
    </row>
    <row r="182" spans="1:11">
      <c r="A182" s="33"/>
      <c r="B182" s="29"/>
      <c r="C182" s="29"/>
      <c r="D182" s="30"/>
      <c r="E182" s="30"/>
      <c r="F182" s="35"/>
      <c r="G182" s="35"/>
      <c r="H182" s="35" t="str">
        <f t="shared" si="2"/>
        <v/>
      </c>
      <c r="I182" s="29"/>
      <c r="K182" s="36" t="str">
        <f>IF(ISNUMBER($D182),IF(YEAR($D182)=대시보드!$C$2,$D182+ROW()/100000,""),"")</f>
        <v/>
      </c>
    </row>
    <row r="183" spans="1:11">
      <c r="A183" s="33"/>
      <c r="B183" s="29"/>
      <c r="C183" s="29"/>
      <c r="D183" s="30"/>
      <c r="E183" s="30"/>
      <c r="F183" s="35"/>
      <c r="G183" s="35"/>
      <c r="H183" s="35" t="str">
        <f t="shared" si="2"/>
        <v/>
      </c>
      <c r="I183" s="29"/>
      <c r="K183" s="36" t="str">
        <f>IF(ISNUMBER($D183),IF(YEAR($D183)=대시보드!$C$2,$D183+ROW()/100000,""),"")</f>
        <v/>
      </c>
    </row>
    <row r="184" spans="1:11">
      <c r="A184" s="33"/>
      <c r="B184" s="29"/>
      <c r="C184" s="29"/>
      <c r="D184" s="30"/>
      <c r="E184" s="30"/>
      <c r="F184" s="35"/>
      <c r="G184" s="35"/>
      <c r="H184" s="35" t="str">
        <f t="shared" si="2"/>
        <v/>
      </c>
      <c r="I184" s="29"/>
      <c r="K184" s="36" t="str">
        <f>IF(ISNUMBER($D184),IF(YEAR($D184)=대시보드!$C$2,$D184+ROW()/100000,""),"")</f>
        <v/>
      </c>
    </row>
    <row r="185" spans="1:11">
      <c r="A185" s="33"/>
      <c r="B185" s="29"/>
      <c r="C185" s="29"/>
      <c r="D185" s="30"/>
      <c r="E185" s="30"/>
      <c r="F185" s="35"/>
      <c r="G185" s="35"/>
      <c r="H185" s="35" t="str">
        <f t="shared" si="2"/>
        <v/>
      </c>
      <c r="I185" s="29"/>
      <c r="K185" s="36" t="str">
        <f>IF(ISNUMBER($D185),IF(YEAR($D185)=대시보드!$C$2,$D185+ROW()/100000,""),"")</f>
        <v/>
      </c>
    </row>
    <row r="186" spans="1:11">
      <c r="A186" s="33"/>
      <c r="B186" s="29"/>
      <c r="C186" s="29"/>
      <c r="D186" s="30"/>
      <c r="E186" s="30"/>
      <c r="F186" s="35"/>
      <c r="G186" s="35"/>
      <c r="H186" s="35" t="str">
        <f t="shared" si="2"/>
        <v/>
      </c>
      <c r="I186" s="29"/>
      <c r="K186" s="36" t="str">
        <f>IF(ISNUMBER($D186),IF(YEAR($D186)=대시보드!$C$2,$D186+ROW()/100000,""),"")</f>
        <v/>
      </c>
    </row>
    <row r="187" spans="1:11">
      <c r="A187" s="33"/>
      <c r="B187" s="29"/>
      <c r="C187" s="29"/>
      <c r="D187" s="30"/>
      <c r="E187" s="30"/>
      <c r="F187" s="35"/>
      <c r="G187" s="35"/>
      <c r="H187" s="35" t="str">
        <f t="shared" si="2"/>
        <v/>
      </c>
      <c r="I187" s="29"/>
      <c r="K187" s="36" t="str">
        <f>IF(ISNUMBER($D187),IF(YEAR($D187)=대시보드!$C$2,$D187+ROW()/100000,""),"")</f>
        <v/>
      </c>
    </row>
    <row r="188" spans="1:11">
      <c r="A188" s="33"/>
      <c r="B188" s="29"/>
      <c r="C188" s="29"/>
      <c r="D188" s="30"/>
      <c r="E188" s="30"/>
      <c r="F188" s="35"/>
      <c r="G188" s="35"/>
      <c r="H188" s="35" t="str">
        <f t="shared" si="2"/>
        <v/>
      </c>
      <c r="I188" s="29"/>
      <c r="K188" s="36" t="str">
        <f>IF(ISNUMBER($D188),IF(YEAR($D188)=대시보드!$C$2,$D188+ROW()/100000,""),"")</f>
        <v/>
      </c>
    </row>
    <row r="189" spans="1:11">
      <c r="A189" s="33"/>
      <c r="B189" s="29"/>
      <c r="C189" s="29"/>
      <c r="D189" s="30"/>
      <c r="E189" s="30"/>
      <c r="F189" s="35"/>
      <c r="G189" s="35"/>
      <c r="H189" s="35" t="str">
        <f t="shared" si="2"/>
        <v/>
      </c>
      <c r="I189" s="29"/>
      <c r="K189" s="36" t="str">
        <f>IF(ISNUMBER($D189),IF(YEAR($D189)=대시보드!$C$2,$D189+ROW()/100000,""),"")</f>
        <v/>
      </c>
    </row>
    <row r="190" spans="1:11">
      <c r="A190" s="33"/>
      <c r="B190" s="29"/>
      <c r="C190" s="29"/>
      <c r="D190" s="30"/>
      <c r="E190" s="30"/>
      <c r="F190" s="35"/>
      <c r="G190" s="35"/>
      <c r="H190" s="35" t="str">
        <f t="shared" si="2"/>
        <v/>
      </c>
      <c r="I190" s="29"/>
      <c r="K190" s="36" t="str">
        <f>IF(ISNUMBER($D190),IF(YEAR($D190)=대시보드!$C$2,$D190+ROW()/100000,""),"")</f>
        <v/>
      </c>
    </row>
    <row r="191" spans="1:11">
      <c r="A191" s="33"/>
      <c r="B191" s="29"/>
      <c r="C191" s="29"/>
      <c r="D191" s="30"/>
      <c r="E191" s="30"/>
      <c r="F191" s="35"/>
      <c r="G191" s="35"/>
      <c r="H191" s="35" t="str">
        <f t="shared" si="2"/>
        <v/>
      </c>
      <c r="I191" s="29"/>
      <c r="K191" s="36" t="str">
        <f>IF(ISNUMBER($D191),IF(YEAR($D191)=대시보드!$C$2,$D191+ROW()/100000,""),"")</f>
        <v/>
      </c>
    </row>
    <row r="192" spans="1:11">
      <c r="A192" s="33"/>
      <c r="B192" s="29"/>
      <c r="C192" s="29"/>
      <c r="D192" s="30"/>
      <c r="E192" s="30"/>
      <c r="F192" s="35"/>
      <c r="G192" s="35"/>
      <c r="H192" s="35" t="str">
        <f t="shared" si="2"/>
        <v/>
      </c>
      <c r="I192" s="29"/>
      <c r="K192" s="36" t="str">
        <f>IF(ISNUMBER($D192),IF(YEAR($D192)=대시보드!$C$2,$D192+ROW()/100000,""),"")</f>
        <v/>
      </c>
    </row>
    <row r="193" spans="1:11">
      <c r="A193" s="33"/>
      <c r="B193" s="29"/>
      <c r="C193" s="29"/>
      <c r="D193" s="30"/>
      <c r="E193" s="30"/>
      <c r="F193" s="35"/>
      <c r="G193" s="35"/>
      <c r="H193" s="35" t="str">
        <f t="shared" si="2"/>
        <v/>
      </c>
      <c r="I193" s="29"/>
      <c r="K193" s="36" t="str">
        <f>IF(ISNUMBER($D193),IF(YEAR($D193)=대시보드!$C$2,$D193+ROW()/100000,""),"")</f>
        <v/>
      </c>
    </row>
    <row r="194" spans="1:11">
      <c r="A194" s="33"/>
      <c r="B194" s="29"/>
      <c r="C194" s="29"/>
      <c r="D194" s="30"/>
      <c r="E194" s="30"/>
      <c r="F194" s="35"/>
      <c r="G194" s="35"/>
      <c r="H194" s="35" t="str">
        <f t="shared" si="2"/>
        <v/>
      </c>
      <c r="I194" s="29"/>
      <c r="K194" s="36" t="str">
        <f>IF(ISNUMBER($D194),IF(YEAR($D194)=대시보드!$C$2,$D194+ROW()/100000,""),"")</f>
        <v/>
      </c>
    </row>
    <row r="195" spans="1:11">
      <c r="A195" s="33"/>
      <c r="B195" s="29"/>
      <c r="C195" s="29"/>
      <c r="D195" s="30"/>
      <c r="E195" s="30"/>
      <c r="F195" s="35"/>
      <c r="G195" s="35"/>
      <c r="H195" s="35" t="str">
        <f t="shared" si="2"/>
        <v/>
      </c>
      <c r="I195" s="29"/>
      <c r="K195" s="36" t="str">
        <f>IF(ISNUMBER($D195),IF(YEAR($D195)=대시보드!$C$2,$D195+ROW()/100000,""),"")</f>
        <v/>
      </c>
    </row>
    <row r="196" spans="1:11">
      <c r="A196" s="33"/>
      <c r="B196" s="29"/>
      <c r="C196" s="29"/>
      <c r="D196" s="30"/>
      <c r="E196" s="30"/>
      <c r="F196" s="35"/>
      <c r="G196" s="35"/>
      <c r="H196" s="35" t="str">
        <f t="shared" ref="H196:H259" si="3">IF(F196="","",F196-G196)</f>
        <v/>
      </c>
      <c r="I196" s="29"/>
      <c r="K196" s="36" t="str">
        <f>IF(ISNUMBER($D196),IF(YEAR($D196)=대시보드!$C$2,$D196+ROW()/100000,""),"")</f>
        <v/>
      </c>
    </row>
    <row r="197" spans="1:11">
      <c r="A197" s="33"/>
      <c r="B197" s="29"/>
      <c r="C197" s="29"/>
      <c r="D197" s="30"/>
      <c r="E197" s="30"/>
      <c r="F197" s="35"/>
      <c r="G197" s="35"/>
      <c r="H197" s="35" t="str">
        <f t="shared" si="3"/>
        <v/>
      </c>
      <c r="I197" s="29"/>
      <c r="K197" s="36" t="str">
        <f>IF(ISNUMBER($D197),IF(YEAR($D197)=대시보드!$C$2,$D197+ROW()/100000,""),"")</f>
        <v/>
      </c>
    </row>
    <row r="198" spans="1:11">
      <c r="A198" s="33"/>
      <c r="B198" s="29"/>
      <c r="C198" s="29"/>
      <c r="D198" s="30"/>
      <c r="E198" s="30"/>
      <c r="F198" s="35"/>
      <c r="G198" s="35"/>
      <c r="H198" s="35" t="str">
        <f t="shared" si="3"/>
        <v/>
      </c>
      <c r="I198" s="29"/>
      <c r="K198" s="36" t="str">
        <f>IF(ISNUMBER($D198),IF(YEAR($D198)=대시보드!$C$2,$D198+ROW()/100000,""),"")</f>
        <v/>
      </c>
    </row>
    <row r="199" spans="1:11">
      <c r="A199" s="33"/>
      <c r="B199" s="29"/>
      <c r="C199" s="29"/>
      <c r="D199" s="30"/>
      <c r="E199" s="30"/>
      <c r="F199" s="35"/>
      <c r="G199" s="35"/>
      <c r="H199" s="35" t="str">
        <f t="shared" si="3"/>
        <v/>
      </c>
      <c r="I199" s="29"/>
      <c r="K199" s="36" t="str">
        <f>IF(ISNUMBER($D199),IF(YEAR($D199)=대시보드!$C$2,$D199+ROW()/100000,""),"")</f>
        <v/>
      </c>
    </row>
    <row r="200" spans="1:11">
      <c r="A200" s="33"/>
      <c r="B200" s="29"/>
      <c r="C200" s="29"/>
      <c r="D200" s="30"/>
      <c r="E200" s="30"/>
      <c r="F200" s="35"/>
      <c r="G200" s="35"/>
      <c r="H200" s="35" t="str">
        <f t="shared" si="3"/>
        <v/>
      </c>
      <c r="I200" s="29"/>
      <c r="K200" s="36" t="str">
        <f>IF(ISNUMBER($D200),IF(YEAR($D200)=대시보드!$C$2,$D200+ROW()/100000,""),"")</f>
        <v/>
      </c>
    </row>
    <row r="201" spans="1:11">
      <c r="A201" s="33"/>
      <c r="B201" s="29"/>
      <c r="C201" s="29"/>
      <c r="D201" s="30"/>
      <c r="E201" s="30"/>
      <c r="F201" s="35"/>
      <c r="G201" s="35"/>
      <c r="H201" s="35" t="str">
        <f t="shared" si="3"/>
        <v/>
      </c>
      <c r="I201" s="29"/>
      <c r="K201" s="36" t="str">
        <f>IF(ISNUMBER($D201),IF(YEAR($D201)=대시보드!$C$2,$D201+ROW()/100000,""),"")</f>
        <v/>
      </c>
    </row>
    <row r="202" spans="1:11">
      <c r="A202" s="33"/>
      <c r="B202" s="29"/>
      <c r="C202" s="29"/>
      <c r="D202" s="30"/>
      <c r="E202" s="30"/>
      <c r="F202" s="35"/>
      <c r="G202" s="35"/>
      <c r="H202" s="35" t="str">
        <f t="shared" si="3"/>
        <v/>
      </c>
      <c r="I202" s="29"/>
      <c r="K202" s="36" t="str">
        <f>IF(ISNUMBER($D202),IF(YEAR($D202)=대시보드!$C$2,$D202+ROW()/100000,""),"")</f>
        <v/>
      </c>
    </row>
    <row r="203" spans="1:11">
      <c r="A203" s="33"/>
      <c r="B203" s="29"/>
      <c r="C203" s="29"/>
      <c r="D203" s="30"/>
      <c r="E203" s="30"/>
      <c r="F203" s="35"/>
      <c r="G203" s="35"/>
      <c r="H203" s="35" t="str">
        <f t="shared" si="3"/>
        <v/>
      </c>
      <c r="I203" s="29"/>
      <c r="K203" s="36" t="str">
        <f>IF(ISNUMBER($D203),IF(YEAR($D203)=대시보드!$C$2,$D203+ROW()/100000,""),"")</f>
        <v/>
      </c>
    </row>
    <row r="204" spans="1:11">
      <c r="A204" s="33"/>
      <c r="B204" s="29"/>
      <c r="C204" s="29"/>
      <c r="D204" s="30"/>
      <c r="E204" s="30"/>
      <c r="F204" s="35"/>
      <c r="G204" s="35"/>
      <c r="H204" s="35" t="str">
        <f t="shared" si="3"/>
        <v/>
      </c>
      <c r="I204" s="29"/>
      <c r="K204" s="36" t="str">
        <f>IF(ISNUMBER($D204),IF(YEAR($D204)=대시보드!$C$2,$D204+ROW()/100000,""),"")</f>
        <v/>
      </c>
    </row>
    <row r="205" spans="1:11">
      <c r="A205" s="33"/>
      <c r="B205" s="29"/>
      <c r="C205" s="29"/>
      <c r="D205" s="30"/>
      <c r="E205" s="30"/>
      <c r="F205" s="35"/>
      <c r="G205" s="35"/>
      <c r="H205" s="35" t="str">
        <f t="shared" si="3"/>
        <v/>
      </c>
      <c r="I205" s="29"/>
      <c r="K205" s="36" t="str">
        <f>IF(ISNUMBER($D205),IF(YEAR($D205)=대시보드!$C$2,$D205+ROW()/100000,""),"")</f>
        <v/>
      </c>
    </row>
    <row r="206" spans="1:11">
      <c r="A206" s="33"/>
      <c r="B206" s="29"/>
      <c r="C206" s="29"/>
      <c r="D206" s="30"/>
      <c r="E206" s="30"/>
      <c r="F206" s="35"/>
      <c r="G206" s="35"/>
      <c r="H206" s="35" t="str">
        <f t="shared" si="3"/>
        <v/>
      </c>
      <c r="I206" s="29"/>
      <c r="K206" s="36" t="str">
        <f>IF(ISNUMBER($D206),IF(YEAR($D206)=대시보드!$C$2,$D206+ROW()/100000,""),"")</f>
        <v/>
      </c>
    </row>
    <row r="207" spans="1:11">
      <c r="A207" s="33"/>
      <c r="B207" s="29"/>
      <c r="C207" s="29"/>
      <c r="D207" s="30"/>
      <c r="E207" s="30"/>
      <c r="F207" s="35"/>
      <c r="G207" s="35"/>
      <c r="H207" s="35" t="str">
        <f t="shared" si="3"/>
        <v/>
      </c>
      <c r="I207" s="29"/>
      <c r="K207" s="36" t="str">
        <f>IF(ISNUMBER($D207),IF(YEAR($D207)=대시보드!$C$2,$D207+ROW()/100000,""),"")</f>
        <v/>
      </c>
    </row>
    <row r="208" spans="1:11">
      <c r="A208" s="33"/>
      <c r="B208" s="29"/>
      <c r="C208" s="29"/>
      <c r="D208" s="30"/>
      <c r="E208" s="30"/>
      <c r="F208" s="35"/>
      <c r="G208" s="35"/>
      <c r="H208" s="35" t="str">
        <f t="shared" si="3"/>
        <v/>
      </c>
      <c r="I208" s="29"/>
      <c r="K208" s="36" t="str">
        <f>IF(ISNUMBER($D208),IF(YEAR($D208)=대시보드!$C$2,$D208+ROW()/100000,""),"")</f>
        <v/>
      </c>
    </row>
    <row r="209" spans="1:11">
      <c r="A209" s="33"/>
      <c r="B209" s="29"/>
      <c r="C209" s="29"/>
      <c r="D209" s="30"/>
      <c r="E209" s="30"/>
      <c r="F209" s="35"/>
      <c r="G209" s="35"/>
      <c r="H209" s="35" t="str">
        <f t="shared" si="3"/>
        <v/>
      </c>
      <c r="I209" s="29"/>
      <c r="K209" s="36" t="str">
        <f>IF(ISNUMBER($D209),IF(YEAR($D209)=대시보드!$C$2,$D209+ROW()/100000,""),"")</f>
        <v/>
      </c>
    </row>
    <row r="210" spans="1:11">
      <c r="A210" s="33"/>
      <c r="B210" s="29"/>
      <c r="C210" s="29"/>
      <c r="D210" s="30"/>
      <c r="E210" s="30"/>
      <c r="F210" s="35"/>
      <c r="G210" s="35"/>
      <c r="H210" s="35" t="str">
        <f t="shared" si="3"/>
        <v/>
      </c>
      <c r="I210" s="29"/>
      <c r="K210" s="36" t="str">
        <f>IF(ISNUMBER($D210),IF(YEAR($D210)=대시보드!$C$2,$D210+ROW()/100000,""),"")</f>
        <v/>
      </c>
    </row>
    <row r="211" spans="1:11">
      <c r="A211" s="33"/>
      <c r="B211" s="29"/>
      <c r="C211" s="29"/>
      <c r="D211" s="30"/>
      <c r="E211" s="30"/>
      <c r="F211" s="35"/>
      <c r="G211" s="35"/>
      <c r="H211" s="35" t="str">
        <f t="shared" si="3"/>
        <v/>
      </c>
      <c r="I211" s="29"/>
      <c r="K211" s="36" t="str">
        <f>IF(ISNUMBER($D211),IF(YEAR($D211)=대시보드!$C$2,$D211+ROW()/100000,""),"")</f>
        <v/>
      </c>
    </row>
    <row r="212" spans="1:11">
      <c r="A212" s="33"/>
      <c r="B212" s="29"/>
      <c r="C212" s="29"/>
      <c r="D212" s="30"/>
      <c r="E212" s="30"/>
      <c r="F212" s="35"/>
      <c r="G212" s="35"/>
      <c r="H212" s="35" t="str">
        <f t="shared" si="3"/>
        <v/>
      </c>
      <c r="I212" s="29"/>
      <c r="K212" s="36" t="str">
        <f>IF(ISNUMBER($D212),IF(YEAR($D212)=대시보드!$C$2,$D212+ROW()/100000,""),"")</f>
        <v/>
      </c>
    </row>
    <row r="213" spans="1:11">
      <c r="A213" s="33"/>
      <c r="B213" s="29"/>
      <c r="C213" s="29"/>
      <c r="D213" s="30"/>
      <c r="E213" s="30"/>
      <c r="F213" s="35"/>
      <c r="G213" s="35"/>
      <c r="H213" s="35" t="str">
        <f t="shared" si="3"/>
        <v/>
      </c>
      <c r="I213" s="29"/>
      <c r="K213" s="36" t="str">
        <f>IF(ISNUMBER($D213),IF(YEAR($D213)=대시보드!$C$2,$D213+ROW()/100000,""),"")</f>
        <v/>
      </c>
    </row>
    <row r="214" spans="1:11">
      <c r="A214" s="33"/>
      <c r="B214" s="29"/>
      <c r="C214" s="29"/>
      <c r="D214" s="30"/>
      <c r="E214" s="30"/>
      <c r="F214" s="35"/>
      <c r="G214" s="35"/>
      <c r="H214" s="35" t="str">
        <f t="shared" si="3"/>
        <v/>
      </c>
      <c r="I214" s="29"/>
      <c r="K214" s="36" t="str">
        <f>IF(ISNUMBER($D214),IF(YEAR($D214)=대시보드!$C$2,$D214+ROW()/100000,""),"")</f>
        <v/>
      </c>
    </row>
    <row r="215" spans="1:11">
      <c r="A215" s="33"/>
      <c r="B215" s="29"/>
      <c r="C215" s="29"/>
      <c r="D215" s="30"/>
      <c r="E215" s="30"/>
      <c r="F215" s="35"/>
      <c r="G215" s="35"/>
      <c r="H215" s="35" t="str">
        <f t="shared" si="3"/>
        <v/>
      </c>
      <c r="I215" s="29"/>
      <c r="K215" s="36" t="str">
        <f>IF(ISNUMBER($D215),IF(YEAR($D215)=대시보드!$C$2,$D215+ROW()/100000,""),"")</f>
        <v/>
      </c>
    </row>
    <row r="216" spans="1:11">
      <c r="A216" s="33"/>
      <c r="B216" s="29"/>
      <c r="C216" s="29"/>
      <c r="D216" s="30"/>
      <c r="E216" s="30"/>
      <c r="F216" s="35"/>
      <c r="G216" s="35"/>
      <c r="H216" s="35" t="str">
        <f t="shared" si="3"/>
        <v/>
      </c>
      <c r="I216" s="29"/>
      <c r="K216" s="36" t="str">
        <f>IF(ISNUMBER($D216),IF(YEAR($D216)=대시보드!$C$2,$D216+ROW()/100000,""),"")</f>
        <v/>
      </c>
    </row>
    <row r="217" spans="1:11">
      <c r="A217" s="33"/>
      <c r="B217" s="29"/>
      <c r="C217" s="29"/>
      <c r="D217" s="30"/>
      <c r="E217" s="30"/>
      <c r="F217" s="35"/>
      <c r="G217" s="35"/>
      <c r="H217" s="35" t="str">
        <f t="shared" si="3"/>
        <v/>
      </c>
      <c r="I217" s="29"/>
      <c r="K217" s="36" t="str">
        <f>IF(ISNUMBER($D217),IF(YEAR($D217)=대시보드!$C$2,$D217+ROW()/100000,""),"")</f>
        <v/>
      </c>
    </row>
    <row r="218" spans="1:11">
      <c r="A218" s="33"/>
      <c r="B218" s="29"/>
      <c r="C218" s="29"/>
      <c r="D218" s="30"/>
      <c r="E218" s="30"/>
      <c r="F218" s="35"/>
      <c r="G218" s="35"/>
      <c r="H218" s="35" t="str">
        <f t="shared" si="3"/>
        <v/>
      </c>
      <c r="I218" s="29"/>
      <c r="K218" s="36" t="str">
        <f>IF(ISNUMBER($D218),IF(YEAR($D218)=대시보드!$C$2,$D218+ROW()/100000,""),"")</f>
        <v/>
      </c>
    </row>
    <row r="219" spans="1:11">
      <c r="A219" s="33"/>
      <c r="B219" s="29"/>
      <c r="C219" s="29"/>
      <c r="D219" s="30"/>
      <c r="E219" s="30"/>
      <c r="F219" s="35"/>
      <c r="G219" s="35"/>
      <c r="H219" s="35" t="str">
        <f t="shared" si="3"/>
        <v/>
      </c>
      <c r="I219" s="29"/>
      <c r="K219" s="36" t="str">
        <f>IF(ISNUMBER($D219),IF(YEAR($D219)=대시보드!$C$2,$D219+ROW()/100000,""),"")</f>
        <v/>
      </c>
    </row>
    <row r="220" spans="1:11">
      <c r="A220" s="33"/>
      <c r="B220" s="29"/>
      <c r="C220" s="29"/>
      <c r="D220" s="30"/>
      <c r="E220" s="30"/>
      <c r="F220" s="35"/>
      <c r="G220" s="35"/>
      <c r="H220" s="35" t="str">
        <f t="shared" si="3"/>
        <v/>
      </c>
      <c r="I220" s="29"/>
      <c r="K220" s="36" t="str">
        <f>IF(ISNUMBER($D220),IF(YEAR($D220)=대시보드!$C$2,$D220+ROW()/100000,""),"")</f>
        <v/>
      </c>
    </row>
    <row r="221" spans="1:11">
      <c r="A221" s="33"/>
      <c r="B221" s="29"/>
      <c r="C221" s="29"/>
      <c r="D221" s="30"/>
      <c r="E221" s="30"/>
      <c r="F221" s="35"/>
      <c r="G221" s="35"/>
      <c r="H221" s="35" t="str">
        <f t="shared" si="3"/>
        <v/>
      </c>
      <c r="I221" s="29"/>
      <c r="K221" s="36" t="str">
        <f>IF(ISNUMBER($D221),IF(YEAR($D221)=대시보드!$C$2,$D221+ROW()/100000,""),"")</f>
        <v/>
      </c>
    </row>
    <row r="222" spans="1:11">
      <c r="A222" s="33"/>
      <c r="B222" s="29"/>
      <c r="C222" s="29"/>
      <c r="D222" s="30"/>
      <c r="E222" s="30"/>
      <c r="F222" s="35"/>
      <c r="G222" s="35"/>
      <c r="H222" s="35" t="str">
        <f t="shared" si="3"/>
        <v/>
      </c>
      <c r="I222" s="29"/>
      <c r="K222" s="36" t="str">
        <f>IF(ISNUMBER($D222),IF(YEAR($D222)=대시보드!$C$2,$D222+ROW()/100000,""),"")</f>
        <v/>
      </c>
    </row>
    <row r="223" spans="1:11">
      <c r="A223" s="33"/>
      <c r="B223" s="29"/>
      <c r="C223" s="29"/>
      <c r="D223" s="30"/>
      <c r="E223" s="30"/>
      <c r="F223" s="35"/>
      <c r="G223" s="35"/>
      <c r="H223" s="35" t="str">
        <f t="shared" si="3"/>
        <v/>
      </c>
      <c r="I223" s="29"/>
      <c r="K223" s="36" t="str">
        <f>IF(ISNUMBER($D223),IF(YEAR($D223)=대시보드!$C$2,$D223+ROW()/100000,""),"")</f>
        <v/>
      </c>
    </row>
    <row r="224" spans="1:11">
      <c r="A224" s="33"/>
      <c r="B224" s="29"/>
      <c r="C224" s="29"/>
      <c r="D224" s="30"/>
      <c r="E224" s="30"/>
      <c r="F224" s="35"/>
      <c r="G224" s="35"/>
      <c r="H224" s="35" t="str">
        <f t="shared" si="3"/>
        <v/>
      </c>
      <c r="I224" s="29"/>
      <c r="K224" s="36" t="str">
        <f>IF(ISNUMBER($D224),IF(YEAR($D224)=대시보드!$C$2,$D224+ROW()/100000,""),"")</f>
        <v/>
      </c>
    </row>
    <row r="225" spans="1:11">
      <c r="A225" s="33"/>
      <c r="B225" s="29"/>
      <c r="C225" s="29"/>
      <c r="D225" s="30"/>
      <c r="E225" s="30"/>
      <c r="F225" s="35"/>
      <c r="G225" s="35"/>
      <c r="H225" s="35" t="str">
        <f t="shared" si="3"/>
        <v/>
      </c>
      <c r="I225" s="29"/>
      <c r="K225" s="36" t="str">
        <f>IF(ISNUMBER($D225),IF(YEAR($D225)=대시보드!$C$2,$D225+ROW()/100000,""),"")</f>
        <v/>
      </c>
    </row>
    <row r="226" spans="1:11">
      <c r="A226" s="33"/>
      <c r="B226" s="29"/>
      <c r="C226" s="29"/>
      <c r="D226" s="30"/>
      <c r="E226" s="30"/>
      <c r="F226" s="35"/>
      <c r="G226" s="35"/>
      <c r="H226" s="35" t="str">
        <f t="shared" si="3"/>
        <v/>
      </c>
      <c r="I226" s="29"/>
      <c r="K226" s="36" t="str">
        <f>IF(ISNUMBER($D226),IF(YEAR($D226)=대시보드!$C$2,$D226+ROW()/100000,""),"")</f>
        <v/>
      </c>
    </row>
    <row r="227" spans="1:11">
      <c r="A227" s="33"/>
      <c r="B227" s="29"/>
      <c r="C227" s="29"/>
      <c r="D227" s="30"/>
      <c r="E227" s="30"/>
      <c r="F227" s="35"/>
      <c r="G227" s="35"/>
      <c r="H227" s="35" t="str">
        <f t="shared" si="3"/>
        <v/>
      </c>
      <c r="I227" s="29"/>
      <c r="K227" s="36" t="str">
        <f>IF(ISNUMBER($D227),IF(YEAR($D227)=대시보드!$C$2,$D227+ROW()/100000,""),"")</f>
        <v/>
      </c>
    </row>
    <row r="228" spans="1:11">
      <c r="A228" s="33"/>
      <c r="B228" s="29"/>
      <c r="C228" s="29"/>
      <c r="D228" s="30"/>
      <c r="E228" s="30"/>
      <c r="F228" s="35"/>
      <c r="G228" s="35"/>
      <c r="H228" s="35" t="str">
        <f t="shared" si="3"/>
        <v/>
      </c>
      <c r="I228" s="29"/>
      <c r="K228" s="36" t="str">
        <f>IF(ISNUMBER($D228),IF(YEAR($D228)=대시보드!$C$2,$D228+ROW()/100000,""),"")</f>
        <v/>
      </c>
    </row>
    <row r="229" spans="1:11">
      <c r="A229" s="33"/>
      <c r="B229" s="29"/>
      <c r="C229" s="29"/>
      <c r="D229" s="30"/>
      <c r="E229" s="30"/>
      <c r="F229" s="35"/>
      <c r="G229" s="35"/>
      <c r="H229" s="35" t="str">
        <f t="shared" si="3"/>
        <v/>
      </c>
      <c r="I229" s="29"/>
      <c r="K229" s="36" t="str">
        <f>IF(ISNUMBER($D229),IF(YEAR($D229)=대시보드!$C$2,$D229+ROW()/100000,""),"")</f>
        <v/>
      </c>
    </row>
    <row r="230" spans="1:11">
      <c r="A230" s="33"/>
      <c r="B230" s="29"/>
      <c r="C230" s="29"/>
      <c r="D230" s="30"/>
      <c r="E230" s="30"/>
      <c r="F230" s="35"/>
      <c r="G230" s="35"/>
      <c r="H230" s="35" t="str">
        <f t="shared" si="3"/>
        <v/>
      </c>
      <c r="I230" s="29"/>
      <c r="K230" s="36" t="str">
        <f>IF(ISNUMBER($D230),IF(YEAR($D230)=대시보드!$C$2,$D230+ROW()/100000,""),"")</f>
        <v/>
      </c>
    </row>
    <row r="231" spans="1:11">
      <c r="A231" s="33"/>
      <c r="B231" s="29"/>
      <c r="C231" s="29"/>
      <c r="D231" s="30"/>
      <c r="E231" s="30"/>
      <c r="F231" s="35"/>
      <c r="G231" s="35"/>
      <c r="H231" s="35" t="str">
        <f t="shared" si="3"/>
        <v/>
      </c>
      <c r="I231" s="29"/>
      <c r="K231" s="36" t="str">
        <f>IF(ISNUMBER($D231),IF(YEAR($D231)=대시보드!$C$2,$D231+ROW()/100000,""),"")</f>
        <v/>
      </c>
    </row>
    <row r="232" spans="1:11">
      <c r="A232" s="33"/>
      <c r="B232" s="29"/>
      <c r="C232" s="29"/>
      <c r="D232" s="30"/>
      <c r="E232" s="30"/>
      <c r="F232" s="35"/>
      <c r="G232" s="35"/>
      <c r="H232" s="35" t="str">
        <f t="shared" si="3"/>
        <v/>
      </c>
      <c r="I232" s="29"/>
      <c r="K232" s="36" t="str">
        <f>IF(ISNUMBER($D232),IF(YEAR($D232)=대시보드!$C$2,$D232+ROW()/100000,""),"")</f>
        <v/>
      </c>
    </row>
    <row r="233" spans="1:11">
      <c r="A233" s="33"/>
      <c r="B233" s="29"/>
      <c r="C233" s="29"/>
      <c r="D233" s="30"/>
      <c r="E233" s="30"/>
      <c r="F233" s="35"/>
      <c r="G233" s="35"/>
      <c r="H233" s="35" t="str">
        <f t="shared" si="3"/>
        <v/>
      </c>
      <c r="I233" s="29"/>
      <c r="K233" s="36" t="str">
        <f>IF(ISNUMBER($D233),IF(YEAR($D233)=대시보드!$C$2,$D233+ROW()/100000,""),"")</f>
        <v/>
      </c>
    </row>
    <row r="234" spans="1:11">
      <c r="A234" s="33"/>
      <c r="B234" s="29"/>
      <c r="C234" s="29"/>
      <c r="D234" s="30"/>
      <c r="E234" s="30"/>
      <c r="F234" s="35"/>
      <c r="G234" s="35"/>
      <c r="H234" s="35" t="str">
        <f t="shared" si="3"/>
        <v/>
      </c>
      <c r="I234" s="29"/>
      <c r="K234" s="36" t="str">
        <f>IF(ISNUMBER($D234),IF(YEAR($D234)=대시보드!$C$2,$D234+ROW()/100000,""),"")</f>
        <v/>
      </c>
    </row>
    <row r="235" spans="1:11">
      <c r="A235" s="33"/>
      <c r="B235" s="29"/>
      <c r="C235" s="29"/>
      <c r="D235" s="30"/>
      <c r="E235" s="30"/>
      <c r="F235" s="35"/>
      <c r="G235" s="35"/>
      <c r="H235" s="35" t="str">
        <f t="shared" si="3"/>
        <v/>
      </c>
      <c r="I235" s="29"/>
      <c r="K235" s="36" t="str">
        <f>IF(ISNUMBER($D235),IF(YEAR($D235)=대시보드!$C$2,$D235+ROW()/100000,""),"")</f>
        <v/>
      </c>
    </row>
    <row r="236" spans="1:11">
      <c r="A236" s="33"/>
      <c r="B236" s="29"/>
      <c r="C236" s="29"/>
      <c r="D236" s="30"/>
      <c r="E236" s="30"/>
      <c r="F236" s="35"/>
      <c r="G236" s="35"/>
      <c r="H236" s="35" t="str">
        <f t="shared" si="3"/>
        <v/>
      </c>
      <c r="I236" s="29"/>
      <c r="K236" s="36" t="str">
        <f>IF(ISNUMBER($D236),IF(YEAR($D236)=대시보드!$C$2,$D236+ROW()/100000,""),"")</f>
        <v/>
      </c>
    </row>
    <row r="237" spans="1:11">
      <c r="A237" s="33"/>
      <c r="B237" s="29"/>
      <c r="C237" s="29"/>
      <c r="D237" s="30"/>
      <c r="E237" s="30"/>
      <c r="F237" s="35"/>
      <c r="G237" s="35"/>
      <c r="H237" s="35" t="str">
        <f t="shared" si="3"/>
        <v/>
      </c>
      <c r="I237" s="29"/>
      <c r="K237" s="36" t="str">
        <f>IF(ISNUMBER($D237),IF(YEAR($D237)=대시보드!$C$2,$D237+ROW()/100000,""),"")</f>
        <v/>
      </c>
    </row>
    <row r="238" spans="1:11">
      <c r="A238" s="33"/>
      <c r="B238" s="29"/>
      <c r="C238" s="29"/>
      <c r="D238" s="30"/>
      <c r="E238" s="30"/>
      <c r="F238" s="35"/>
      <c r="G238" s="35"/>
      <c r="H238" s="35" t="str">
        <f t="shared" si="3"/>
        <v/>
      </c>
      <c r="I238" s="29"/>
      <c r="K238" s="36" t="str">
        <f>IF(ISNUMBER($D238),IF(YEAR($D238)=대시보드!$C$2,$D238+ROW()/100000,""),"")</f>
        <v/>
      </c>
    </row>
    <row r="239" spans="1:11">
      <c r="A239" s="33"/>
      <c r="B239" s="29"/>
      <c r="C239" s="29"/>
      <c r="D239" s="30"/>
      <c r="E239" s="30"/>
      <c r="F239" s="35"/>
      <c r="G239" s="35"/>
      <c r="H239" s="35" t="str">
        <f t="shared" si="3"/>
        <v/>
      </c>
      <c r="I239" s="29"/>
      <c r="K239" s="36" t="str">
        <f>IF(ISNUMBER($D239),IF(YEAR($D239)=대시보드!$C$2,$D239+ROW()/100000,""),"")</f>
        <v/>
      </c>
    </row>
    <row r="240" spans="1:11">
      <c r="A240" s="33"/>
      <c r="B240" s="29"/>
      <c r="C240" s="29"/>
      <c r="D240" s="30"/>
      <c r="E240" s="30"/>
      <c r="F240" s="35"/>
      <c r="G240" s="35"/>
      <c r="H240" s="35" t="str">
        <f t="shared" si="3"/>
        <v/>
      </c>
      <c r="I240" s="29"/>
      <c r="K240" s="36" t="str">
        <f>IF(ISNUMBER($D240),IF(YEAR($D240)=대시보드!$C$2,$D240+ROW()/100000,""),"")</f>
        <v/>
      </c>
    </row>
    <row r="241" spans="1:11">
      <c r="A241" s="33"/>
      <c r="B241" s="29"/>
      <c r="C241" s="29"/>
      <c r="D241" s="30"/>
      <c r="E241" s="30"/>
      <c r="F241" s="35"/>
      <c r="G241" s="35"/>
      <c r="H241" s="35" t="str">
        <f t="shared" si="3"/>
        <v/>
      </c>
      <c r="I241" s="29"/>
      <c r="K241" s="36" t="str">
        <f>IF(ISNUMBER($D241),IF(YEAR($D241)=대시보드!$C$2,$D241+ROW()/100000,""),"")</f>
        <v/>
      </c>
    </row>
    <row r="242" spans="1:11">
      <c r="A242" s="33"/>
      <c r="B242" s="29"/>
      <c r="C242" s="29"/>
      <c r="D242" s="30"/>
      <c r="E242" s="30"/>
      <c r="F242" s="35"/>
      <c r="G242" s="35"/>
      <c r="H242" s="35" t="str">
        <f t="shared" si="3"/>
        <v/>
      </c>
      <c r="I242" s="29"/>
      <c r="K242" s="36" t="str">
        <f>IF(ISNUMBER($D242),IF(YEAR($D242)=대시보드!$C$2,$D242+ROW()/100000,""),"")</f>
        <v/>
      </c>
    </row>
    <row r="243" spans="1:11">
      <c r="A243" s="33"/>
      <c r="B243" s="29"/>
      <c r="C243" s="29"/>
      <c r="D243" s="30"/>
      <c r="E243" s="30"/>
      <c r="F243" s="35"/>
      <c r="G243" s="35"/>
      <c r="H243" s="35" t="str">
        <f t="shared" si="3"/>
        <v/>
      </c>
      <c r="I243" s="29"/>
      <c r="K243" s="36" t="str">
        <f>IF(ISNUMBER($D243),IF(YEAR($D243)=대시보드!$C$2,$D243+ROW()/100000,""),"")</f>
        <v/>
      </c>
    </row>
    <row r="244" spans="1:11">
      <c r="A244" s="33"/>
      <c r="B244" s="29"/>
      <c r="C244" s="29"/>
      <c r="D244" s="30"/>
      <c r="E244" s="30"/>
      <c r="F244" s="35"/>
      <c r="G244" s="35"/>
      <c r="H244" s="35" t="str">
        <f t="shared" si="3"/>
        <v/>
      </c>
      <c r="I244" s="29"/>
      <c r="K244" s="36" t="str">
        <f>IF(ISNUMBER($D244),IF(YEAR($D244)=대시보드!$C$2,$D244+ROW()/100000,""),"")</f>
        <v/>
      </c>
    </row>
    <row r="245" spans="1:11">
      <c r="A245" s="33"/>
      <c r="B245" s="29"/>
      <c r="C245" s="29"/>
      <c r="D245" s="30"/>
      <c r="E245" s="30"/>
      <c r="F245" s="35"/>
      <c r="G245" s="35"/>
      <c r="H245" s="35" t="str">
        <f t="shared" si="3"/>
        <v/>
      </c>
      <c r="I245" s="29"/>
      <c r="K245" s="36" t="str">
        <f>IF(ISNUMBER($D245),IF(YEAR($D245)=대시보드!$C$2,$D245+ROW()/100000,""),"")</f>
        <v/>
      </c>
    </row>
    <row r="246" spans="1:11">
      <c r="A246" s="33"/>
      <c r="B246" s="29"/>
      <c r="C246" s="29"/>
      <c r="D246" s="30"/>
      <c r="E246" s="30"/>
      <c r="F246" s="35"/>
      <c r="G246" s="35"/>
      <c r="H246" s="35" t="str">
        <f t="shared" si="3"/>
        <v/>
      </c>
      <c r="I246" s="29"/>
      <c r="K246" s="36" t="str">
        <f>IF(ISNUMBER($D246),IF(YEAR($D246)=대시보드!$C$2,$D246+ROW()/100000,""),"")</f>
        <v/>
      </c>
    </row>
    <row r="247" spans="1:11">
      <c r="A247" s="33"/>
      <c r="B247" s="29"/>
      <c r="C247" s="29"/>
      <c r="D247" s="30"/>
      <c r="E247" s="30"/>
      <c r="F247" s="35"/>
      <c r="G247" s="35"/>
      <c r="H247" s="35" t="str">
        <f t="shared" si="3"/>
        <v/>
      </c>
      <c r="I247" s="29"/>
      <c r="K247" s="36" t="str">
        <f>IF(ISNUMBER($D247),IF(YEAR($D247)=대시보드!$C$2,$D247+ROW()/100000,""),"")</f>
        <v/>
      </c>
    </row>
    <row r="248" spans="1:11">
      <c r="A248" s="33"/>
      <c r="B248" s="29"/>
      <c r="C248" s="29"/>
      <c r="D248" s="30"/>
      <c r="E248" s="30"/>
      <c r="F248" s="35"/>
      <c r="G248" s="35"/>
      <c r="H248" s="35" t="str">
        <f t="shared" si="3"/>
        <v/>
      </c>
      <c r="I248" s="29"/>
      <c r="K248" s="36" t="str">
        <f>IF(ISNUMBER($D248),IF(YEAR($D248)=대시보드!$C$2,$D248+ROW()/100000,""),"")</f>
        <v/>
      </c>
    </row>
    <row r="249" spans="1:11">
      <c r="A249" s="33"/>
      <c r="B249" s="29"/>
      <c r="C249" s="29"/>
      <c r="D249" s="30"/>
      <c r="E249" s="30"/>
      <c r="F249" s="35"/>
      <c r="G249" s="35"/>
      <c r="H249" s="35" t="str">
        <f t="shared" si="3"/>
        <v/>
      </c>
      <c r="I249" s="29"/>
      <c r="K249" s="36" t="str">
        <f>IF(ISNUMBER($D249),IF(YEAR($D249)=대시보드!$C$2,$D249+ROW()/100000,""),"")</f>
        <v/>
      </c>
    </row>
    <row r="250" spans="1:11">
      <c r="A250" s="33"/>
      <c r="B250" s="29"/>
      <c r="C250" s="29"/>
      <c r="D250" s="30"/>
      <c r="E250" s="30"/>
      <c r="F250" s="35"/>
      <c r="G250" s="35"/>
      <c r="H250" s="35" t="str">
        <f t="shared" si="3"/>
        <v/>
      </c>
      <c r="I250" s="29"/>
      <c r="K250" s="36" t="str">
        <f>IF(ISNUMBER($D250),IF(YEAR($D250)=대시보드!$C$2,$D250+ROW()/100000,""),"")</f>
        <v/>
      </c>
    </row>
    <row r="251" spans="1:11">
      <c r="A251" s="33"/>
      <c r="B251" s="29"/>
      <c r="C251" s="29"/>
      <c r="D251" s="30"/>
      <c r="E251" s="30"/>
      <c r="F251" s="35"/>
      <c r="G251" s="35"/>
      <c r="H251" s="35" t="str">
        <f t="shared" si="3"/>
        <v/>
      </c>
      <c r="I251" s="29"/>
      <c r="K251" s="36" t="str">
        <f>IF(ISNUMBER($D251),IF(YEAR($D251)=대시보드!$C$2,$D251+ROW()/100000,""),"")</f>
        <v/>
      </c>
    </row>
    <row r="252" spans="1:11">
      <c r="A252" s="33"/>
      <c r="B252" s="29"/>
      <c r="C252" s="29"/>
      <c r="D252" s="30"/>
      <c r="E252" s="30"/>
      <c r="F252" s="35"/>
      <c r="G252" s="35"/>
      <c r="H252" s="35" t="str">
        <f t="shared" si="3"/>
        <v/>
      </c>
      <c r="I252" s="29"/>
      <c r="K252" s="36" t="str">
        <f>IF(ISNUMBER($D252),IF(YEAR($D252)=대시보드!$C$2,$D252+ROW()/100000,""),"")</f>
        <v/>
      </c>
    </row>
    <row r="253" spans="1:11">
      <c r="A253" s="33"/>
      <c r="B253" s="29"/>
      <c r="C253" s="29"/>
      <c r="D253" s="30"/>
      <c r="E253" s="30"/>
      <c r="F253" s="35"/>
      <c r="G253" s="35"/>
      <c r="H253" s="35" t="str">
        <f t="shared" si="3"/>
        <v/>
      </c>
      <c r="I253" s="29"/>
      <c r="K253" s="36" t="str">
        <f>IF(ISNUMBER($D253),IF(YEAR($D253)=대시보드!$C$2,$D253+ROW()/100000,""),"")</f>
        <v/>
      </c>
    </row>
    <row r="254" spans="1:11">
      <c r="A254" s="33"/>
      <c r="B254" s="29"/>
      <c r="C254" s="29"/>
      <c r="D254" s="30"/>
      <c r="E254" s="30"/>
      <c r="F254" s="35"/>
      <c r="G254" s="35"/>
      <c r="H254" s="35" t="str">
        <f t="shared" si="3"/>
        <v/>
      </c>
      <c r="I254" s="29"/>
      <c r="K254" s="36" t="str">
        <f>IF(ISNUMBER($D254),IF(YEAR($D254)=대시보드!$C$2,$D254+ROW()/100000,""),"")</f>
        <v/>
      </c>
    </row>
    <row r="255" spans="1:11">
      <c r="A255" s="33"/>
      <c r="B255" s="29"/>
      <c r="C255" s="29"/>
      <c r="D255" s="30"/>
      <c r="E255" s="30"/>
      <c r="F255" s="35"/>
      <c r="G255" s="35"/>
      <c r="H255" s="35" t="str">
        <f t="shared" si="3"/>
        <v/>
      </c>
      <c r="I255" s="29"/>
      <c r="K255" s="36" t="str">
        <f>IF(ISNUMBER($D255),IF(YEAR($D255)=대시보드!$C$2,$D255+ROW()/100000,""),"")</f>
        <v/>
      </c>
    </row>
    <row r="256" spans="1:11">
      <c r="A256" s="33"/>
      <c r="B256" s="29"/>
      <c r="C256" s="29"/>
      <c r="D256" s="30"/>
      <c r="E256" s="30"/>
      <c r="F256" s="35"/>
      <c r="G256" s="35"/>
      <c r="H256" s="35" t="str">
        <f t="shared" si="3"/>
        <v/>
      </c>
      <c r="I256" s="29"/>
      <c r="K256" s="36" t="str">
        <f>IF(ISNUMBER($D256),IF(YEAR($D256)=대시보드!$C$2,$D256+ROW()/100000,""),"")</f>
        <v/>
      </c>
    </row>
    <row r="257" spans="1:11">
      <c r="A257" s="33"/>
      <c r="B257" s="29"/>
      <c r="C257" s="29"/>
      <c r="D257" s="30"/>
      <c r="E257" s="30"/>
      <c r="F257" s="35"/>
      <c r="G257" s="35"/>
      <c r="H257" s="35" t="str">
        <f t="shared" si="3"/>
        <v/>
      </c>
      <c r="I257" s="29"/>
      <c r="K257" s="36" t="str">
        <f>IF(ISNUMBER($D257),IF(YEAR($D257)=대시보드!$C$2,$D257+ROW()/100000,""),"")</f>
        <v/>
      </c>
    </row>
    <row r="258" spans="1:11">
      <c r="A258" s="33"/>
      <c r="B258" s="29"/>
      <c r="C258" s="29"/>
      <c r="D258" s="30"/>
      <c r="E258" s="30"/>
      <c r="F258" s="35"/>
      <c r="G258" s="35"/>
      <c r="H258" s="35" t="str">
        <f t="shared" si="3"/>
        <v/>
      </c>
      <c r="I258" s="29"/>
      <c r="K258" s="36" t="str">
        <f>IF(ISNUMBER($D258),IF(YEAR($D258)=대시보드!$C$2,$D258+ROW()/100000,""),"")</f>
        <v/>
      </c>
    </row>
    <row r="259" spans="1:11">
      <c r="A259" s="33"/>
      <c r="B259" s="29"/>
      <c r="C259" s="29"/>
      <c r="D259" s="30"/>
      <c r="E259" s="30"/>
      <c r="F259" s="35"/>
      <c r="G259" s="35"/>
      <c r="H259" s="35" t="str">
        <f t="shared" si="3"/>
        <v/>
      </c>
      <c r="I259" s="29"/>
      <c r="K259" s="36" t="str">
        <f>IF(ISNUMBER($D259),IF(YEAR($D259)=대시보드!$C$2,$D259+ROW()/100000,""),"")</f>
        <v/>
      </c>
    </row>
    <row r="260" spans="1:11">
      <c r="A260" s="33"/>
      <c r="B260" s="29"/>
      <c r="C260" s="29"/>
      <c r="D260" s="30"/>
      <c r="E260" s="30"/>
      <c r="F260" s="35"/>
      <c r="G260" s="35"/>
      <c r="H260" s="35" t="str">
        <f t="shared" ref="H260:H323" si="4">IF(F260="","",F260-G260)</f>
        <v/>
      </c>
      <c r="I260" s="29"/>
      <c r="K260" s="36" t="str">
        <f>IF(ISNUMBER($D260),IF(YEAR($D260)=대시보드!$C$2,$D260+ROW()/100000,""),"")</f>
        <v/>
      </c>
    </row>
    <row r="261" spans="1:11">
      <c r="A261" s="33"/>
      <c r="B261" s="29"/>
      <c r="C261" s="29"/>
      <c r="D261" s="30"/>
      <c r="E261" s="30"/>
      <c r="F261" s="35"/>
      <c r="G261" s="35"/>
      <c r="H261" s="35" t="str">
        <f t="shared" si="4"/>
        <v/>
      </c>
      <c r="I261" s="29"/>
      <c r="K261" s="36" t="str">
        <f>IF(ISNUMBER($D261),IF(YEAR($D261)=대시보드!$C$2,$D261+ROW()/100000,""),"")</f>
        <v/>
      </c>
    </row>
    <row r="262" spans="1:11">
      <c r="A262" s="33"/>
      <c r="B262" s="29"/>
      <c r="C262" s="29"/>
      <c r="D262" s="30"/>
      <c r="E262" s="30"/>
      <c r="F262" s="35"/>
      <c r="G262" s="35"/>
      <c r="H262" s="35" t="str">
        <f t="shared" si="4"/>
        <v/>
      </c>
      <c r="I262" s="29"/>
      <c r="K262" s="36" t="str">
        <f>IF(ISNUMBER($D262),IF(YEAR($D262)=대시보드!$C$2,$D262+ROW()/100000,""),"")</f>
        <v/>
      </c>
    </row>
    <row r="263" spans="1:11">
      <c r="A263" s="33"/>
      <c r="B263" s="29"/>
      <c r="C263" s="29"/>
      <c r="D263" s="30"/>
      <c r="E263" s="30"/>
      <c r="F263" s="35"/>
      <c r="G263" s="35"/>
      <c r="H263" s="35" t="str">
        <f t="shared" si="4"/>
        <v/>
      </c>
      <c r="I263" s="29"/>
      <c r="K263" s="36" t="str">
        <f>IF(ISNUMBER($D263),IF(YEAR($D263)=대시보드!$C$2,$D263+ROW()/100000,""),"")</f>
        <v/>
      </c>
    </row>
    <row r="264" spans="1:11">
      <c r="A264" s="33"/>
      <c r="B264" s="29"/>
      <c r="C264" s="29"/>
      <c r="D264" s="30"/>
      <c r="E264" s="30"/>
      <c r="F264" s="35"/>
      <c r="G264" s="35"/>
      <c r="H264" s="35" t="str">
        <f t="shared" si="4"/>
        <v/>
      </c>
      <c r="I264" s="29"/>
      <c r="K264" s="36" t="str">
        <f>IF(ISNUMBER($D264),IF(YEAR($D264)=대시보드!$C$2,$D264+ROW()/100000,""),"")</f>
        <v/>
      </c>
    </row>
    <row r="265" spans="1:11">
      <c r="A265" s="33"/>
      <c r="B265" s="29"/>
      <c r="C265" s="29"/>
      <c r="D265" s="30"/>
      <c r="E265" s="30"/>
      <c r="F265" s="35"/>
      <c r="G265" s="35"/>
      <c r="H265" s="35" t="str">
        <f t="shared" si="4"/>
        <v/>
      </c>
      <c r="I265" s="29"/>
      <c r="K265" s="36" t="str">
        <f>IF(ISNUMBER($D265),IF(YEAR($D265)=대시보드!$C$2,$D265+ROW()/100000,""),"")</f>
        <v/>
      </c>
    </row>
    <row r="266" spans="1:11">
      <c r="A266" s="33"/>
      <c r="B266" s="29"/>
      <c r="C266" s="29"/>
      <c r="D266" s="30"/>
      <c r="E266" s="30"/>
      <c r="F266" s="35"/>
      <c r="G266" s="35"/>
      <c r="H266" s="35" t="str">
        <f t="shared" si="4"/>
        <v/>
      </c>
      <c r="I266" s="29"/>
      <c r="K266" s="36" t="str">
        <f>IF(ISNUMBER($D266),IF(YEAR($D266)=대시보드!$C$2,$D266+ROW()/100000,""),"")</f>
        <v/>
      </c>
    </row>
    <row r="267" spans="1:11">
      <c r="A267" s="33"/>
      <c r="B267" s="29"/>
      <c r="C267" s="29"/>
      <c r="D267" s="30"/>
      <c r="E267" s="30"/>
      <c r="F267" s="35"/>
      <c r="G267" s="35"/>
      <c r="H267" s="35" t="str">
        <f t="shared" si="4"/>
        <v/>
      </c>
      <c r="I267" s="29"/>
      <c r="K267" s="36" t="str">
        <f>IF(ISNUMBER($D267),IF(YEAR($D267)=대시보드!$C$2,$D267+ROW()/100000,""),"")</f>
        <v/>
      </c>
    </row>
    <row r="268" spans="1:11">
      <c r="A268" s="33"/>
      <c r="B268" s="29"/>
      <c r="C268" s="29"/>
      <c r="D268" s="30"/>
      <c r="E268" s="30"/>
      <c r="F268" s="35"/>
      <c r="G268" s="35"/>
      <c r="H268" s="35" t="str">
        <f t="shared" si="4"/>
        <v/>
      </c>
      <c r="I268" s="29"/>
      <c r="K268" s="36" t="str">
        <f>IF(ISNUMBER($D268),IF(YEAR($D268)=대시보드!$C$2,$D268+ROW()/100000,""),"")</f>
        <v/>
      </c>
    </row>
    <row r="269" spans="1:11">
      <c r="A269" s="33"/>
      <c r="B269" s="29"/>
      <c r="C269" s="29"/>
      <c r="D269" s="30"/>
      <c r="E269" s="30"/>
      <c r="F269" s="35"/>
      <c r="G269" s="35"/>
      <c r="H269" s="35" t="str">
        <f t="shared" si="4"/>
        <v/>
      </c>
      <c r="I269" s="29"/>
      <c r="K269" s="36" t="str">
        <f>IF(ISNUMBER($D269),IF(YEAR($D269)=대시보드!$C$2,$D269+ROW()/100000,""),"")</f>
        <v/>
      </c>
    </row>
    <row r="270" spans="1:11">
      <c r="A270" s="33"/>
      <c r="B270" s="29"/>
      <c r="C270" s="29"/>
      <c r="D270" s="30"/>
      <c r="E270" s="30"/>
      <c r="F270" s="35"/>
      <c r="G270" s="35"/>
      <c r="H270" s="35" t="str">
        <f t="shared" si="4"/>
        <v/>
      </c>
      <c r="I270" s="29"/>
      <c r="K270" s="36" t="str">
        <f>IF(ISNUMBER($D270),IF(YEAR($D270)=대시보드!$C$2,$D270+ROW()/100000,""),"")</f>
        <v/>
      </c>
    </row>
    <row r="271" spans="1:11">
      <c r="A271" s="33"/>
      <c r="B271" s="29"/>
      <c r="C271" s="29"/>
      <c r="D271" s="30"/>
      <c r="E271" s="30"/>
      <c r="F271" s="35"/>
      <c r="G271" s="35"/>
      <c r="H271" s="35" t="str">
        <f t="shared" si="4"/>
        <v/>
      </c>
      <c r="I271" s="29"/>
      <c r="K271" s="36" t="str">
        <f>IF(ISNUMBER($D271),IF(YEAR($D271)=대시보드!$C$2,$D271+ROW()/100000,""),"")</f>
        <v/>
      </c>
    </row>
    <row r="272" spans="1:11">
      <c r="A272" s="33"/>
      <c r="B272" s="29"/>
      <c r="C272" s="29"/>
      <c r="D272" s="30"/>
      <c r="E272" s="30"/>
      <c r="F272" s="35"/>
      <c r="G272" s="35"/>
      <c r="H272" s="35" t="str">
        <f t="shared" si="4"/>
        <v/>
      </c>
      <c r="I272" s="29"/>
      <c r="K272" s="36" t="str">
        <f>IF(ISNUMBER($D272),IF(YEAR($D272)=대시보드!$C$2,$D272+ROW()/100000,""),"")</f>
        <v/>
      </c>
    </row>
    <row r="273" spans="1:11">
      <c r="A273" s="33"/>
      <c r="B273" s="29"/>
      <c r="C273" s="29"/>
      <c r="D273" s="30"/>
      <c r="E273" s="30"/>
      <c r="F273" s="35"/>
      <c r="G273" s="35"/>
      <c r="H273" s="35" t="str">
        <f t="shared" si="4"/>
        <v/>
      </c>
      <c r="I273" s="29"/>
      <c r="K273" s="36" t="str">
        <f>IF(ISNUMBER($D273),IF(YEAR($D273)=대시보드!$C$2,$D273+ROW()/100000,""),"")</f>
        <v/>
      </c>
    </row>
    <row r="274" spans="1:11">
      <c r="A274" s="33"/>
      <c r="B274" s="29"/>
      <c r="C274" s="29"/>
      <c r="D274" s="30"/>
      <c r="E274" s="30"/>
      <c r="F274" s="35"/>
      <c r="G274" s="35"/>
      <c r="H274" s="35" t="str">
        <f t="shared" si="4"/>
        <v/>
      </c>
      <c r="I274" s="29"/>
      <c r="K274" s="36" t="str">
        <f>IF(ISNUMBER($D274),IF(YEAR($D274)=대시보드!$C$2,$D274+ROW()/100000,""),"")</f>
        <v/>
      </c>
    </row>
    <row r="275" spans="1:11">
      <c r="A275" s="33"/>
      <c r="B275" s="29"/>
      <c r="C275" s="29"/>
      <c r="D275" s="30"/>
      <c r="E275" s="30"/>
      <c r="F275" s="35"/>
      <c r="G275" s="35"/>
      <c r="H275" s="35" t="str">
        <f t="shared" si="4"/>
        <v/>
      </c>
      <c r="I275" s="29"/>
      <c r="K275" s="36" t="str">
        <f>IF(ISNUMBER($D275),IF(YEAR($D275)=대시보드!$C$2,$D275+ROW()/100000,""),"")</f>
        <v/>
      </c>
    </row>
    <row r="276" spans="1:11">
      <c r="A276" s="33"/>
      <c r="B276" s="29"/>
      <c r="C276" s="29"/>
      <c r="D276" s="30"/>
      <c r="E276" s="30"/>
      <c r="F276" s="35"/>
      <c r="G276" s="35"/>
      <c r="H276" s="35" t="str">
        <f t="shared" si="4"/>
        <v/>
      </c>
      <c r="I276" s="29"/>
      <c r="K276" s="36" t="str">
        <f>IF(ISNUMBER($D276),IF(YEAR($D276)=대시보드!$C$2,$D276+ROW()/100000,""),"")</f>
        <v/>
      </c>
    </row>
    <row r="277" spans="1:11">
      <c r="A277" s="33"/>
      <c r="B277" s="29"/>
      <c r="C277" s="29"/>
      <c r="D277" s="30"/>
      <c r="E277" s="30"/>
      <c r="F277" s="35"/>
      <c r="G277" s="35"/>
      <c r="H277" s="35" t="str">
        <f t="shared" si="4"/>
        <v/>
      </c>
      <c r="I277" s="29"/>
      <c r="K277" s="36" t="str">
        <f>IF(ISNUMBER($D277),IF(YEAR($D277)=대시보드!$C$2,$D277+ROW()/100000,""),"")</f>
        <v/>
      </c>
    </row>
    <row r="278" spans="1:11">
      <c r="A278" s="33"/>
      <c r="B278" s="29"/>
      <c r="C278" s="29"/>
      <c r="D278" s="30"/>
      <c r="E278" s="30"/>
      <c r="F278" s="35"/>
      <c r="G278" s="35"/>
      <c r="H278" s="35" t="str">
        <f t="shared" si="4"/>
        <v/>
      </c>
      <c r="I278" s="29"/>
      <c r="K278" s="36" t="str">
        <f>IF(ISNUMBER($D278),IF(YEAR($D278)=대시보드!$C$2,$D278+ROW()/100000,""),"")</f>
        <v/>
      </c>
    </row>
    <row r="279" spans="1:11">
      <c r="A279" s="33"/>
      <c r="B279" s="29"/>
      <c r="C279" s="29"/>
      <c r="D279" s="30"/>
      <c r="E279" s="30"/>
      <c r="F279" s="35"/>
      <c r="G279" s="35"/>
      <c r="H279" s="35" t="str">
        <f t="shared" si="4"/>
        <v/>
      </c>
      <c r="I279" s="29"/>
      <c r="K279" s="36" t="str">
        <f>IF(ISNUMBER($D279),IF(YEAR($D279)=대시보드!$C$2,$D279+ROW()/100000,""),"")</f>
        <v/>
      </c>
    </row>
    <row r="280" spans="1:11">
      <c r="A280" s="33"/>
      <c r="B280" s="29"/>
      <c r="C280" s="29"/>
      <c r="D280" s="30"/>
      <c r="E280" s="30"/>
      <c r="F280" s="35"/>
      <c r="G280" s="35"/>
      <c r="H280" s="35" t="str">
        <f t="shared" si="4"/>
        <v/>
      </c>
      <c r="I280" s="29"/>
      <c r="K280" s="36" t="str">
        <f>IF(ISNUMBER($D280),IF(YEAR($D280)=대시보드!$C$2,$D280+ROW()/100000,""),"")</f>
        <v/>
      </c>
    </row>
    <row r="281" spans="1:11">
      <c r="A281" s="33"/>
      <c r="B281" s="29"/>
      <c r="C281" s="29"/>
      <c r="D281" s="30"/>
      <c r="E281" s="30"/>
      <c r="F281" s="35"/>
      <c r="G281" s="35"/>
      <c r="H281" s="35" t="str">
        <f t="shared" si="4"/>
        <v/>
      </c>
      <c r="I281" s="29"/>
      <c r="K281" s="36" t="str">
        <f>IF(ISNUMBER($D281),IF(YEAR($D281)=대시보드!$C$2,$D281+ROW()/100000,""),"")</f>
        <v/>
      </c>
    </row>
    <row r="282" spans="1:11">
      <c r="A282" s="33"/>
      <c r="B282" s="29"/>
      <c r="C282" s="29"/>
      <c r="D282" s="30"/>
      <c r="E282" s="30"/>
      <c r="F282" s="35"/>
      <c r="G282" s="35"/>
      <c r="H282" s="35" t="str">
        <f t="shared" si="4"/>
        <v/>
      </c>
      <c r="I282" s="29"/>
      <c r="K282" s="36" t="str">
        <f>IF(ISNUMBER($D282),IF(YEAR($D282)=대시보드!$C$2,$D282+ROW()/100000,""),"")</f>
        <v/>
      </c>
    </row>
    <row r="283" spans="1:11">
      <c r="A283" s="33"/>
      <c r="B283" s="29"/>
      <c r="C283" s="29"/>
      <c r="D283" s="30"/>
      <c r="E283" s="30"/>
      <c r="F283" s="35"/>
      <c r="G283" s="35"/>
      <c r="H283" s="35" t="str">
        <f t="shared" si="4"/>
        <v/>
      </c>
      <c r="I283" s="29"/>
      <c r="K283" s="36" t="str">
        <f>IF(ISNUMBER($D283),IF(YEAR($D283)=대시보드!$C$2,$D283+ROW()/100000,""),"")</f>
        <v/>
      </c>
    </row>
    <row r="284" spans="1:11">
      <c r="A284" s="33"/>
      <c r="B284" s="29"/>
      <c r="C284" s="29"/>
      <c r="D284" s="30"/>
      <c r="E284" s="30"/>
      <c r="F284" s="35"/>
      <c r="G284" s="35"/>
      <c r="H284" s="35" t="str">
        <f t="shared" si="4"/>
        <v/>
      </c>
      <c r="I284" s="29"/>
      <c r="K284" s="36" t="str">
        <f>IF(ISNUMBER($D284),IF(YEAR($D284)=대시보드!$C$2,$D284+ROW()/100000,""),"")</f>
        <v/>
      </c>
    </row>
    <row r="285" spans="1:11">
      <c r="A285" s="33"/>
      <c r="B285" s="29"/>
      <c r="C285" s="29"/>
      <c r="D285" s="30"/>
      <c r="E285" s="30"/>
      <c r="F285" s="35"/>
      <c r="G285" s="35"/>
      <c r="H285" s="35" t="str">
        <f t="shared" si="4"/>
        <v/>
      </c>
      <c r="I285" s="29"/>
      <c r="K285" s="36" t="str">
        <f>IF(ISNUMBER($D285),IF(YEAR($D285)=대시보드!$C$2,$D285+ROW()/100000,""),"")</f>
        <v/>
      </c>
    </row>
    <row r="286" spans="1:11">
      <c r="A286" s="33"/>
      <c r="B286" s="29"/>
      <c r="C286" s="29"/>
      <c r="D286" s="30"/>
      <c r="E286" s="30"/>
      <c r="F286" s="35"/>
      <c r="G286" s="35"/>
      <c r="H286" s="35" t="str">
        <f t="shared" si="4"/>
        <v/>
      </c>
      <c r="I286" s="29"/>
      <c r="K286" s="36" t="str">
        <f>IF(ISNUMBER($D286),IF(YEAR($D286)=대시보드!$C$2,$D286+ROW()/100000,""),"")</f>
        <v/>
      </c>
    </row>
    <row r="287" spans="1:11">
      <c r="A287" s="33"/>
      <c r="B287" s="29"/>
      <c r="C287" s="29"/>
      <c r="D287" s="30"/>
      <c r="E287" s="30"/>
      <c r="F287" s="35"/>
      <c r="G287" s="35"/>
      <c r="H287" s="35" t="str">
        <f t="shared" si="4"/>
        <v/>
      </c>
      <c r="I287" s="29"/>
      <c r="K287" s="36" t="str">
        <f>IF(ISNUMBER($D287),IF(YEAR($D287)=대시보드!$C$2,$D287+ROW()/100000,""),"")</f>
        <v/>
      </c>
    </row>
    <row r="288" spans="1:11">
      <c r="A288" s="33"/>
      <c r="B288" s="29"/>
      <c r="C288" s="29"/>
      <c r="D288" s="30"/>
      <c r="E288" s="30"/>
      <c r="F288" s="35"/>
      <c r="G288" s="35"/>
      <c r="H288" s="35" t="str">
        <f t="shared" si="4"/>
        <v/>
      </c>
      <c r="I288" s="29"/>
      <c r="K288" s="36" t="str">
        <f>IF(ISNUMBER($D288),IF(YEAR($D288)=대시보드!$C$2,$D288+ROW()/100000,""),"")</f>
        <v/>
      </c>
    </row>
    <row r="289" spans="1:11">
      <c r="A289" s="33"/>
      <c r="B289" s="29"/>
      <c r="C289" s="29"/>
      <c r="D289" s="30"/>
      <c r="E289" s="30"/>
      <c r="F289" s="35"/>
      <c r="G289" s="35"/>
      <c r="H289" s="35" t="str">
        <f t="shared" si="4"/>
        <v/>
      </c>
      <c r="I289" s="29"/>
      <c r="K289" s="36" t="str">
        <f>IF(ISNUMBER($D289),IF(YEAR($D289)=대시보드!$C$2,$D289+ROW()/100000,""),"")</f>
        <v/>
      </c>
    </row>
    <row r="290" spans="1:11">
      <c r="A290" s="33"/>
      <c r="B290" s="29"/>
      <c r="C290" s="29"/>
      <c r="D290" s="30"/>
      <c r="E290" s="30"/>
      <c r="F290" s="35"/>
      <c r="G290" s="35"/>
      <c r="H290" s="35" t="str">
        <f t="shared" si="4"/>
        <v/>
      </c>
      <c r="I290" s="29"/>
      <c r="K290" s="36" t="str">
        <f>IF(ISNUMBER($D290),IF(YEAR($D290)=대시보드!$C$2,$D290+ROW()/100000,""),"")</f>
        <v/>
      </c>
    </row>
    <row r="291" spans="1:11">
      <c r="A291" s="33"/>
      <c r="B291" s="29"/>
      <c r="C291" s="29"/>
      <c r="D291" s="30"/>
      <c r="E291" s="30"/>
      <c r="F291" s="35"/>
      <c r="G291" s="35"/>
      <c r="H291" s="35" t="str">
        <f t="shared" si="4"/>
        <v/>
      </c>
      <c r="I291" s="29"/>
      <c r="K291" s="36" t="str">
        <f>IF(ISNUMBER($D291),IF(YEAR($D291)=대시보드!$C$2,$D291+ROW()/100000,""),"")</f>
        <v/>
      </c>
    </row>
    <row r="292" spans="1:11">
      <c r="A292" s="33"/>
      <c r="B292" s="29"/>
      <c r="C292" s="29"/>
      <c r="D292" s="30"/>
      <c r="E292" s="30"/>
      <c r="F292" s="35"/>
      <c r="G292" s="35"/>
      <c r="H292" s="35" t="str">
        <f t="shared" si="4"/>
        <v/>
      </c>
      <c r="I292" s="29"/>
      <c r="K292" s="36" t="str">
        <f>IF(ISNUMBER($D292),IF(YEAR($D292)=대시보드!$C$2,$D292+ROW()/100000,""),"")</f>
        <v/>
      </c>
    </row>
    <row r="293" spans="1:11">
      <c r="A293" s="33"/>
      <c r="B293" s="29"/>
      <c r="C293" s="29"/>
      <c r="D293" s="30"/>
      <c r="E293" s="30"/>
      <c r="F293" s="35"/>
      <c r="G293" s="35"/>
      <c r="H293" s="35" t="str">
        <f t="shared" si="4"/>
        <v/>
      </c>
      <c r="I293" s="29"/>
      <c r="K293" s="36" t="str">
        <f>IF(ISNUMBER($D293),IF(YEAR($D293)=대시보드!$C$2,$D293+ROW()/100000,""),"")</f>
        <v/>
      </c>
    </row>
    <row r="294" spans="1:11">
      <c r="A294" s="33"/>
      <c r="B294" s="29"/>
      <c r="C294" s="29"/>
      <c r="D294" s="30"/>
      <c r="E294" s="30"/>
      <c r="F294" s="35"/>
      <c r="G294" s="35"/>
      <c r="H294" s="35" t="str">
        <f t="shared" si="4"/>
        <v/>
      </c>
      <c r="I294" s="29"/>
      <c r="K294" s="36" t="str">
        <f>IF(ISNUMBER($D294),IF(YEAR($D294)=대시보드!$C$2,$D294+ROW()/100000,""),"")</f>
        <v/>
      </c>
    </row>
    <row r="295" spans="1:11">
      <c r="A295" s="33"/>
      <c r="B295" s="29"/>
      <c r="C295" s="29"/>
      <c r="D295" s="30"/>
      <c r="E295" s="30"/>
      <c r="F295" s="35"/>
      <c r="G295" s="35"/>
      <c r="H295" s="35" t="str">
        <f t="shared" si="4"/>
        <v/>
      </c>
      <c r="I295" s="29"/>
      <c r="K295" s="36" t="str">
        <f>IF(ISNUMBER($D295),IF(YEAR($D295)=대시보드!$C$2,$D295+ROW()/100000,""),"")</f>
        <v/>
      </c>
    </row>
    <row r="296" spans="1:11">
      <c r="A296" s="33"/>
      <c r="B296" s="29"/>
      <c r="C296" s="29"/>
      <c r="D296" s="30"/>
      <c r="E296" s="30"/>
      <c r="F296" s="35"/>
      <c r="G296" s="35"/>
      <c r="H296" s="35" t="str">
        <f t="shared" si="4"/>
        <v/>
      </c>
      <c r="I296" s="29"/>
      <c r="K296" s="36" t="str">
        <f>IF(ISNUMBER($D296),IF(YEAR($D296)=대시보드!$C$2,$D296+ROW()/100000,""),"")</f>
        <v/>
      </c>
    </row>
    <row r="297" spans="1:11">
      <c r="A297" s="33"/>
      <c r="B297" s="29"/>
      <c r="C297" s="29"/>
      <c r="D297" s="30"/>
      <c r="E297" s="30"/>
      <c r="F297" s="35"/>
      <c r="G297" s="35"/>
      <c r="H297" s="35" t="str">
        <f t="shared" si="4"/>
        <v/>
      </c>
      <c r="I297" s="29"/>
      <c r="K297" s="36" t="str">
        <f>IF(ISNUMBER($D297),IF(YEAR($D297)=대시보드!$C$2,$D297+ROW()/100000,""),"")</f>
        <v/>
      </c>
    </row>
    <row r="298" spans="1:11">
      <c r="A298" s="33"/>
      <c r="B298" s="29"/>
      <c r="C298" s="29"/>
      <c r="D298" s="30"/>
      <c r="E298" s="30"/>
      <c r="F298" s="35"/>
      <c r="G298" s="35"/>
      <c r="H298" s="35" t="str">
        <f t="shared" si="4"/>
        <v/>
      </c>
      <c r="I298" s="29"/>
      <c r="K298" s="36" t="str">
        <f>IF(ISNUMBER($D298),IF(YEAR($D298)=대시보드!$C$2,$D298+ROW()/100000,""),"")</f>
        <v/>
      </c>
    </row>
    <row r="299" spans="1:11">
      <c r="A299" s="33"/>
      <c r="B299" s="29"/>
      <c r="C299" s="29"/>
      <c r="D299" s="30"/>
      <c r="E299" s="30"/>
      <c r="F299" s="35"/>
      <c r="G299" s="35"/>
      <c r="H299" s="35" t="str">
        <f t="shared" si="4"/>
        <v/>
      </c>
      <c r="I299" s="29"/>
      <c r="K299" s="36" t="str">
        <f>IF(ISNUMBER($D299),IF(YEAR($D299)=대시보드!$C$2,$D299+ROW()/100000,""),"")</f>
        <v/>
      </c>
    </row>
    <row r="300" spans="1:11">
      <c r="A300" s="33"/>
      <c r="B300" s="29"/>
      <c r="C300" s="29"/>
      <c r="D300" s="30"/>
      <c r="E300" s="30"/>
      <c r="F300" s="35"/>
      <c r="G300" s="35"/>
      <c r="H300" s="35" t="str">
        <f t="shared" si="4"/>
        <v/>
      </c>
      <c r="I300" s="29"/>
      <c r="K300" s="36" t="str">
        <f>IF(ISNUMBER($D300),IF(YEAR($D300)=대시보드!$C$2,$D300+ROW()/100000,""),"")</f>
        <v/>
      </c>
    </row>
    <row r="301" spans="1:11">
      <c r="A301" s="33"/>
      <c r="B301" s="29"/>
      <c r="C301" s="29"/>
      <c r="D301" s="30"/>
      <c r="E301" s="30"/>
      <c r="F301" s="35"/>
      <c r="G301" s="35"/>
      <c r="H301" s="35" t="str">
        <f t="shared" si="4"/>
        <v/>
      </c>
      <c r="I301" s="29"/>
      <c r="K301" s="36" t="str">
        <f>IF(ISNUMBER($D301),IF(YEAR($D301)=대시보드!$C$2,$D301+ROW()/100000,""),"")</f>
        <v/>
      </c>
    </row>
    <row r="302" spans="1:11">
      <c r="A302" s="33"/>
      <c r="B302" s="29"/>
      <c r="C302" s="29"/>
      <c r="D302" s="30"/>
      <c r="E302" s="30"/>
      <c r="F302" s="35"/>
      <c r="G302" s="35"/>
      <c r="H302" s="35" t="str">
        <f t="shared" si="4"/>
        <v/>
      </c>
      <c r="I302" s="29"/>
      <c r="K302" s="36" t="str">
        <f>IF(ISNUMBER($D302),IF(YEAR($D302)=대시보드!$C$2,$D302+ROW()/100000,""),"")</f>
        <v/>
      </c>
    </row>
    <row r="303" spans="1:11">
      <c r="A303" s="33"/>
      <c r="B303" s="29"/>
      <c r="C303" s="29"/>
      <c r="D303" s="30"/>
      <c r="E303" s="30"/>
      <c r="F303" s="35"/>
      <c r="G303" s="35"/>
      <c r="H303" s="35" t="str">
        <f t="shared" si="4"/>
        <v/>
      </c>
      <c r="I303" s="29"/>
      <c r="K303" s="36" t="str">
        <f>IF(ISNUMBER($D303),IF(YEAR($D303)=대시보드!$C$2,$D303+ROW()/100000,""),"")</f>
        <v/>
      </c>
    </row>
    <row r="304" spans="1:11">
      <c r="A304" s="33"/>
      <c r="B304" s="29"/>
      <c r="C304" s="29"/>
      <c r="D304" s="30"/>
      <c r="E304" s="30"/>
      <c r="F304" s="35"/>
      <c r="G304" s="35"/>
      <c r="H304" s="35" t="str">
        <f t="shared" si="4"/>
        <v/>
      </c>
      <c r="I304" s="29"/>
      <c r="K304" s="36" t="str">
        <f>IF(ISNUMBER($D304),IF(YEAR($D304)=대시보드!$C$2,$D304+ROW()/100000,""),"")</f>
        <v/>
      </c>
    </row>
    <row r="305" spans="1:11">
      <c r="A305" s="33"/>
      <c r="B305" s="29"/>
      <c r="C305" s="29"/>
      <c r="D305" s="30"/>
      <c r="E305" s="30"/>
      <c r="F305" s="35"/>
      <c r="G305" s="35"/>
      <c r="H305" s="35" t="str">
        <f t="shared" si="4"/>
        <v/>
      </c>
      <c r="I305" s="29"/>
      <c r="K305" s="36" t="str">
        <f>IF(ISNUMBER($D305),IF(YEAR($D305)=대시보드!$C$2,$D305+ROW()/100000,""),"")</f>
        <v/>
      </c>
    </row>
    <row r="306" spans="1:11">
      <c r="A306" s="33"/>
      <c r="B306" s="29"/>
      <c r="C306" s="29"/>
      <c r="D306" s="30"/>
      <c r="E306" s="30"/>
      <c r="F306" s="35"/>
      <c r="G306" s="35"/>
      <c r="H306" s="35" t="str">
        <f t="shared" si="4"/>
        <v/>
      </c>
      <c r="I306" s="29"/>
      <c r="K306" s="36" t="str">
        <f>IF(ISNUMBER($D306),IF(YEAR($D306)=대시보드!$C$2,$D306+ROW()/100000,""),"")</f>
        <v/>
      </c>
    </row>
    <row r="307" spans="1:11">
      <c r="A307" s="33"/>
      <c r="B307" s="29"/>
      <c r="C307" s="29"/>
      <c r="D307" s="30"/>
      <c r="E307" s="30"/>
      <c r="F307" s="35"/>
      <c r="G307" s="35"/>
      <c r="H307" s="35" t="str">
        <f t="shared" si="4"/>
        <v/>
      </c>
      <c r="I307" s="29"/>
      <c r="K307" s="36" t="str">
        <f>IF(ISNUMBER($D307),IF(YEAR($D307)=대시보드!$C$2,$D307+ROW()/100000,""),"")</f>
        <v/>
      </c>
    </row>
    <row r="308" spans="1:11">
      <c r="A308" s="33"/>
      <c r="B308" s="29"/>
      <c r="C308" s="29"/>
      <c r="D308" s="30"/>
      <c r="E308" s="30"/>
      <c r="F308" s="35"/>
      <c r="G308" s="35"/>
      <c r="H308" s="35" t="str">
        <f t="shared" si="4"/>
        <v/>
      </c>
      <c r="I308" s="29"/>
      <c r="K308" s="36" t="str">
        <f>IF(ISNUMBER($D308),IF(YEAR($D308)=대시보드!$C$2,$D308+ROW()/100000,""),"")</f>
        <v/>
      </c>
    </row>
    <row r="309" spans="1:11">
      <c r="A309" s="33"/>
      <c r="B309" s="29"/>
      <c r="C309" s="29"/>
      <c r="D309" s="30"/>
      <c r="E309" s="30"/>
      <c r="F309" s="35"/>
      <c r="G309" s="35"/>
      <c r="H309" s="35" t="str">
        <f t="shared" si="4"/>
        <v/>
      </c>
      <c r="I309" s="29"/>
      <c r="K309" s="36" t="str">
        <f>IF(ISNUMBER($D309),IF(YEAR($D309)=대시보드!$C$2,$D309+ROW()/100000,""),"")</f>
        <v/>
      </c>
    </row>
    <row r="310" spans="1:11">
      <c r="A310" s="33"/>
      <c r="B310" s="29"/>
      <c r="C310" s="29"/>
      <c r="D310" s="30"/>
      <c r="E310" s="30"/>
      <c r="F310" s="35"/>
      <c r="G310" s="35"/>
      <c r="H310" s="35" t="str">
        <f t="shared" si="4"/>
        <v/>
      </c>
      <c r="I310" s="29"/>
      <c r="K310" s="36" t="str">
        <f>IF(ISNUMBER($D310),IF(YEAR($D310)=대시보드!$C$2,$D310+ROW()/100000,""),"")</f>
        <v/>
      </c>
    </row>
    <row r="311" spans="1:11">
      <c r="A311" s="33"/>
      <c r="B311" s="29"/>
      <c r="C311" s="29"/>
      <c r="D311" s="30"/>
      <c r="E311" s="30"/>
      <c r="F311" s="35"/>
      <c r="G311" s="35"/>
      <c r="H311" s="35" t="str">
        <f t="shared" si="4"/>
        <v/>
      </c>
      <c r="I311" s="29"/>
      <c r="K311" s="36" t="str">
        <f>IF(ISNUMBER($D311),IF(YEAR($D311)=대시보드!$C$2,$D311+ROW()/100000,""),"")</f>
        <v/>
      </c>
    </row>
    <row r="312" spans="1:11">
      <c r="A312" s="33"/>
      <c r="B312" s="29"/>
      <c r="C312" s="29"/>
      <c r="D312" s="30"/>
      <c r="E312" s="30"/>
      <c r="F312" s="35"/>
      <c r="G312" s="35"/>
      <c r="H312" s="35" t="str">
        <f t="shared" si="4"/>
        <v/>
      </c>
      <c r="I312" s="29"/>
      <c r="K312" s="36" t="str">
        <f>IF(ISNUMBER($D312),IF(YEAR($D312)=대시보드!$C$2,$D312+ROW()/100000,""),"")</f>
        <v/>
      </c>
    </row>
    <row r="313" spans="1:11">
      <c r="A313" s="33"/>
      <c r="B313" s="29"/>
      <c r="C313" s="29"/>
      <c r="D313" s="30"/>
      <c r="E313" s="30"/>
      <c r="F313" s="35"/>
      <c r="G313" s="35"/>
      <c r="H313" s="35" t="str">
        <f t="shared" si="4"/>
        <v/>
      </c>
      <c r="I313" s="29"/>
      <c r="K313" s="36" t="str">
        <f>IF(ISNUMBER($D313),IF(YEAR($D313)=대시보드!$C$2,$D313+ROW()/100000,""),"")</f>
        <v/>
      </c>
    </row>
    <row r="314" spans="1:11">
      <c r="A314" s="33"/>
      <c r="B314" s="29"/>
      <c r="C314" s="29"/>
      <c r="D314" s="30"/>
      <c r="E314" s="30"/>
      <c r="F314" s="35"/>
      <c r="G314" s="35"/>
      <c r="H314" s="35" t="str">
        <f t="shared" si="4"/>
        <v/>
      </c>
      <c r="I314" s="29"/>
      <c r="K314" s="36" t="str">
        <f>IF(ISNUMBER($D314),IF(YEAR($D314)=대시보드!$C$2,$D314+ROW()/100000,""),"")</f>
        <v/>
      </c>
    </row>
    <row r="315" spans="1:11">
      <c r="A315" s="33"/>
      <c r="B315" s="29"/>
      <c r="C315" s="29"/>
      <c r="D315" s="30"/>
      <c r="E315" s="30"/>
      <c r="F315" s="35"/>
      <c r="G315" s="35"/>
      <c r="H315" s="35" t="str">
        <f t="shared" si="4"/>
        <v/>
      </c>
      <c r="I315" s="29"/>
      <c r="K315" s="36" t="str">
        <f>IF(ISNUMBER($D315),IF(YEAR($D315)=대시보드!$C$2,$D315+ROW()/100000,""),"")</f>
        <v/>
      </c>
    </row>
    <row r="316" spans="1:11">
      <c r="A316" s="33"/>
      <c r="B316" s="29"/>
      <c r="C316" s="29"/>
      <c r="D316" s="30"/>
      <c r="E316" s="30"/>
      <c r="F316" s="35"/>
      <c r="G316" s="35"/>
      <c r="H316" s="35" t="str">
        <f t="shared" si="4"/>
        <v/>
      </c>
      <c r="I316" s="29"/>
      <c r="K316" s="36" t="str">
        <f>IF(ISNUMBER($D316),IF(YEAR($D316)=대시보드!$C$2,$D316+ROW()/100000,""),"")</f>
        <v/>
      </c>
    </row>
    <row r="317" spans="1:11">
      <c r="A317" s="33"/>
      <c r="B317" s="29"/>
      <c r="C317" s="29"/>
      <c r="D317" s="30"/>
      <c r="E317" s="30"/>
      <c r="F317" s="35"/>
      <c r="G317" s="35"/>
      <c r="H317" s="35" t="str">
        <f t="shared" si="4"/>
        <v/>
      </c>
      <c r="I317" s="29"/>
      <c r="K317" s="36" t="str">
        <f>IF(ISNUMBER($D317),IF(YEAR($D317)=대시보드!$C$2,$D317+ROW()/100000,""),"")</f>
        <v/>
      </c>
    </row>
    <row r="318" spans="1:11">
      <c r="A318" s="33"/>
      <c r="B318" s="29"/>
      <c r="C318" s="29"/>
      <c r="D318" s="30"/>
      <c r="E318" s="30"/>
      <c r="F318" s="35"/>
      <c r="G318" s="35"/>
      <c r="H318" s="35" t="str">
        <f t="shared" si="4"/>
        <v/>
      </c>
      <c r="I318" s="29"/>
      <c r="K318" s="36" t="str">
        <f>IF(ISNUMBER($D318),IF(YEAR($D318)=대시보드!$C$2,$D318+ROW()/100000,""),"")</f>
        <v/>
      </c>
    </row>
    <row r="319" spans="1:11">
      <c r="A319" s="33"/>
      <c r="B319" s="29"/>
      <c r="C319" s="29"/>
      <c r="D319" s="30"/>
      <c r="E319" s="30"/>
      <c r="F319" s="35"/>
      <c r="G319" s="35"/>
      <c r="H319" s="35" t="str">
        <f t="shared" si="4"/>
        <v/>
      </c>
      <c r="I319" s="29"/>
      <c r="K319" s="36" t="str">
        <f>IF(ISNUMBER($D319),IF(YEAR($D319)=대시보드!$C$2,$D319+ROW()/100000,""),"")</f>
        <v/>
      </c>
    </row>
    <row r="320" spans="1:11">
      <c r="A320" s="33"/>
      <c r="B320" s="29"/>
      <c r="C320" s="29"/>
      <c r="D320" s="30"/>
      <c r="E320" s="30"/>
      <c r="F320" s="35"/>
      <c r="G320" s="35"/>
      <c r="H320" s="35" t="str">
        <f t="shared" si="4"/>
        <v/>
      </c>
      <c r="I320" s="29"/>
      <c r="K320" s="36" t="str">
        <f>IF(ISNUMBER($D320),IF(YEAR($D320)=대시보드!$C$2,$D320+ROW()/100000,""),"")</f>
        <v/>
      </c>
    </row>
    <row r="321" spans="1:11">
      <c r="A321" s="33"/>
      <c r="B321" s="29"/>
      <c r="C321" s="29"/>
      <c r="D321" s="30"/>
      <c r="E321" s="30"/>
      <c r="F321" s="35"/>
      <c r="G321" s="35"/>
      <c r="H321" s="35" t="str">
        <f t="shared" si="4"/>
        <v/>
      </c>
      <c r="I321" s="29"/>
      <c r="K321" s="36" t="str">
        <f>IF(ISNUMBER($D321),IF(YEAR($D321)=대시보드!$C$2,$D321+ROW()/100000,""),"")</f>
        <v/>
      </c>
    </row>
    <row r="322" spans="1:11">
      <c r="A322" s="33"/>
      <c r="B322" s="29"/>
      <c r="C322" s="29"/>
      <c r="D322" s="30"/>
      <c r="E322" s="30"/>
      <c r="F322" s="35"/>
      <c r="G322" s="35"/>
      <c r="H322" s="35" t="str">
        <f t="shared" si="4"/>
        <v/>
      </c>
      <c r="I322" s="29"/>
      <c r="K322" s="36" t="str">
        <f>IF(ISNUMBER($D322),IF(YEAR($D322)=대시보드!$C$2,$D322+ROW()/100000,""),"")</f>
        <v/>
      </c>
    </row>
    <row r="323" spans="1:11">
      <c r="A323" s="33"/>
      <c r="B323" s="29"/>
      <c r="C323" s="29"/>
      <c r="D323" s="30"/>
      <c r="E323" s="30"/>
      <c r="F323" s="35"/>
      <c r="G323" s="35"/>
      <c r="H323" s="35" t="str">
        <f t="shared" si="4"/>
        <v/>
      </c>
      <c r="I323" s="29"/>
      <c r="K323" s="36" t="str">
        <f>IF(ISNUMBER($D323),IF(YEAR($D323)=대시보드!$C$2,$D323+ROW()/100000,""),"")</f>
        <v/>
      </c>
    </row>
    <row r="324" spans="1:11">
      <c r="A324" s="33"/>
      <c r="B324" s="29"/>
      <c r="C324" s="29"/>
      <c r="D324" s="30"/>
      <c r="E324" s="30"/>
      <c r="F324" s="35"/>
      <c r="G324" s="35"/>
      <c r="H324" s="35" t="str">
        <f t="shared" ref="H324:H387" si="5">IF(F324="","",F324-G324)</f>
        <v/>
      </c>
      <c r="I324" s="29"/>
      <c r="K324" s="36" t="str">
        <f>IF(ISNUMBER($D324),IF(YEAR($D324)=대시보드!$C$2,$D324+ROW()/100000,""),"")</f>
        <v/>
      </c>
    </row>
    <row r="325" spans="1:11">
      <c r="A325" s="33"/>
      <c r="B325" s="29"/>
      <c r="C325" s="29"/>
      <c r="D325" s="30"/>
      <c r="E325" s="30"/>
      <c r="F325" s="35"/>
      <c r="G325" s="35"/>
      <c r="H325" s="35" t="str">
        <f t="shared" si="5"/>
        <v/>
      </c>
      <c r="I325" s="29"/>
      <c r="K325" s="36" t="str">
        <f>IF(ISNUMBER($D325),IF(YEAR($D325)=대시보드!$C$2,$D325+ROW()/100000,""),"")</f>
        <v/>
      </c>
    </row>
    <row r="326" spans="1:11">
      <c r="A326" s="33"/>
      <c r="B326" s="29"/>
      <c r="C326" s="29"/>
      <c r="D326" s="30"/>
      <c r="E326" s="30"/>
      <c r="F326" s="35"/>
      <c r="G326" s="35"/>
      <c r="H326" s="35" t="str">
        <f t="shared" si="5"/>
        <v/>
      </c>
      <c r="I326" s="29"/>
      <c r="K326" s="36" t="str">
        <f>IF(ISNUMBER($D326),IF(YEAR($D326)=대시보드!$C$2,$D326+ROW()/100000,""),"")</f>
        <v/>
      </c>
    </row>
    <row r="327" spans="1:11">
      <c r="A327" s="33"/>
      <c r="B327" s="29"/>
      <c r="C327" s="29"/>
      <c r="D327" s="30"/>
      <c r="E327" s="30"/>
      <c r="F327" s="35"/>
      <c r="G327" s="35"/>
      <c r="H327" s="35" t="str">
        <f t="shared" si="5"/>
        <v/>
      </c>
      <c r="I327" s="29"/>
      <c r="K327" s="36" t="str">
        <f>IF(ISNUMBER($D327),IF(YEAR($D327)=대시보드!$C$2,$D327+ROW()/100000,""),"")</f>
        <v/>
      </c>
    </row>
    <row r="328" spans="1:11">
      <c r="A328" s="33"/>
      <c r="B328" s="29"/>
      <c r="C328" s="29"/>
      <c r="D328" s="30"/>
      <c r="E328" s="30"/>
      <c r="F328" s="35"/>
      <c r="G328" s="35"/>
      <c r="H328" s="35" t="str">
        <f t="shared" si="5"/>
        <v/>
      </c>
      <c r="I328" s="29"/>
      <c r="K328" s="36" t="str">
        <f>IF(ISNUMBER($D328),IF(YEAR($D328)=대시보드!$C$2,$D328+ROW()/100000,""),"")</f>
        <v/>
      </c>
    </row>
    <row r="329" spans="1:11">
      <c r="A329" s="33"/>
      <c r="B329" s="29"/>
      <c r="C329" s="29"/>
      <c r="D329" s="30"/>
      <c r="E329" s="30"/>
      <c r="F329" s="35"/>
      <c r="G329" s="35"/>
      <c r="H329" s="35" t="str">
        <f t="shared" si="5"/>
        <v/>
      </c>
      <c r="I329" s="29"/>
      <c r="K329" s="36" t="str">
        <f>IF(ISNUMBER($D329),IF(YEAR($D329)=대시보드!$C$2,$D329+ROW()/100000,""),"")</f>
        <v/>
      </c>
    </row>
    <row r="330" spans="1:11">
      <c r="A330" s="33"/>
      <c r="B330" s="29"/>
      <c r="C330" s="29"/>
      <c r="D330" s="30"/>
      <c r="E330" s="30"/>
      <c r="F330" s="35"/>
      <c r="G330" s="35"/>
      <c r="H330" s="35" t="str">
        <f t="shared" si="5"/>
        <v/>
      </c>
      <c r="I330" s="29"/>
      <c r="K330" s="36" t="str">
        <f>IF(ISNUMBER($D330),IF(YEAR($D330)=대시보드!$C$2,$D330+ROW()/100000,""),"")</f>
        <v/>
      </c>
    </row>
    <row r="331" spans="1:11">
      <c r="A331" s="33"/>
      <c r="B331" s="29"/>
      <c r="C331" s="29"/>
      <c r="D331" s="30"/>
      <c r="E331" s="30"/>
      <c r="F331" s="35"/>
      <c r="G331" s="35"/>
      <c r="H331" s="35" t="str">
        <f t="shared" si="5"/>
        <v/>
      </c>
      <c r="I331" s="29"/>
      <c r="K331" s="36" t="str">
        <f>IF(ISNUMBER($D331),IF(YEAR($D331)=대시보드!$C$2,$D331+ROW()/100000,""),"")</f>
        <v/>
      </c>
    </row>
    <row r="332" spans="1:11">
      <c r="A332" s="33"/>
      <c r="B332" s="29"/>
      <c r="C332" s="29"/>
      <c r="D332" s="30"/>
      <c r="E332" s="30"/>
      <c r="F332" s="35"/>
      <c r="G332" s="35"/>
      <c r="H332" s="35" t="str">
        <f t="shared" si="5"/>
        <v/>
      </c>
      <c r="I332" s="29"/>
      <c r="K332" s="36" t="str">
        <f>IF(ISNUMBER($D332),IF(YEAR($D332)=대시보드!$C$2,$D332+ROW()/100000,""),"")</f>
        <v/>
      </c>
    </row>
    <row r="333" spans="1:11">
      <c r="A333" s="33"/>
      <c r="B333" s="29"/>
      <c r="C333" s="29"/>
      <c r="D333" s="30"/>
      <c r="E333" s="30"/>
      <c r="F333" s="35"/>
      <c r="G333" s="35"/>
      <c r="H333" s="35" t="str">
        <f t="shared" si="5"/>
        <v/>
      </c>
      <c r="I333" s="29"/>
      <c r="K333" s="36" t="str">
        <f>IF(ISNUMBER($D333),IF(YEAR($D333)=대시보드!$C$2,$D333+ROW()/100000,""),"")</f>
        <v/>
      </c>
    </row>
    <row r="334" spans="1:11">
      <c r="A334" s="33"/>
      <c r="B334" s="29"/>
      <c r="C334" s="29"/>
      <c r="D334" s="30"/>
      <c r="E334" s="30"/>
      <c r="F334" s="35"/>
      <c r="G334" s="35"/>
      <c r="H334" s="35" t="str">
        <f t="shared" si="5"/>
        <v/>
      </c>
      <c r="I334" s="29"/>
      <c r="K334" s="36" t="str">
        <f>IF(ISNUMBER($D334),IF(YEAR($D334)=대시보드!$C$2,$D334+ROW()/100000,""),"")</f>
        <v/>
      </c>
    </row>
    <row r="335" spans="1:11">
      <c r="A335" s="33"/>
      <c r="B335" s="29"/>
      <c r="C335" s="29"/>
      <c r="D335" s="30"/>
      <c r="E335" s="30"/>
      <c r="F335" s="35"/>
      <c r="G335" s="35"/>
      <c r="H335" s="35" t="str">
        <f t="shared" si="5"/>
        <v/>
      </c>
      <c r="I335" s="29"/>
      <c r="K335" s="36" t="str">
        <f>IF(ISNUMBER($D335),IF(YEAR($D335)=대시보드!$C$2,$D335+ROW()/100000,""),"")</f>
        <v/>
      </c>
    </row>
    <row r="336" spans="1:11">
      <c r="A336" s="33"/>
      <c r="B336" s="29"/>
      <c r="C336" s="29"/>
      <c r="D336" s="30"/>
      <c r="E336" s="30"/>
      <c r="F336" s="35"/>
      <c r="G336" s="35"/>
      <c r="H336" s="35" t="str">
        <f t="shared" si="5"/>
        <v/>
      </c>
      <c r="I336" s="29"/>
      <c r="K336" s="36" t="str">
        <f>IF(ISNUMBER($D336),IF(YEAR($D336)=대시보드!$C$2,$D336+ROW()/100000,""),"")</f>
        <v/>
      </c>
    </row>
    <row r="337" spans="1:11">
      <c r="A337" s="33"/>
      <c r="B337" s="29"/>
      <c r="C337" s="29"/>
      <c r="D337" s="30"/>
      <c r="E337" s="30"/>
      <c r="F337" s="35"/>
      <c r="G337" s="35"/>
      <c r="H337" s="35" t="str">
        <f t="shared" si="5"/>
        <v/>
      </c>
      <c r="I337" s="29"/>
      <c r="K337" s="36" t="str">
        <f>IF(ISNUMBER($D337),IF(YEAR($D337)=대시보드!$C$2,$D337+ROW()/100000,""),"")</f>
        <v/>
      </c>
    </row>
    <row r="338" spans="1:11">
      <c r="A338" s="33"/>
      <c r="B338" s="29"/>
      <c r="C338" s="29"/>
      <c r="D338" s="30"/>
      <c r="E338" s="30"/>
      <c r="F338" s="35"/>
      <c r="G338" s="35"/>
      <c r="H338" s="35" t="str">
        <f t="shared" si="5"/>
        <v/>
      </c>
      <c r="I338" s="29"/>
      <c r="K338" s="36" t="str">
        <f>IF(ISNUMBER($D338),IF(YEAR($D338)=대시보드!$C$2,$D338+ROW()/100000,""),"")</f>
        <v/>
      </c>
    </row>
    <row r="339" spans="1:11">
      <c r="A339" s="33"/>
      <c r="B339" s="29"/>
      <c r="C339" s="29"/>
      <c r="D339" s="30"/>
      <c r="E339" s="30"/>
      <c r="F339" s="35"/>
      <c r="G339" s="35"/>
      <c r="H339" s="35" t="str">
        <f t="shared" si="5"/>
        <v/>
      </c>
      <c r="I339" s="29"/>
      <c r="K339" s="36" t="str">
        <f>IF(ISNUMBER($D339),IF(YEAR($D339)=대시보드!$C$2,$D339+ROW()/100000,""),"")</f>
        <v/>
      </c>
    </row>
    <row r="340" spans="1:11">
      <c r="A340" s="33"/>
      <c r="B340" s="29"/>
      <c r="C340" s="29"/>
      <c r="D340" s="30"/>
      <c r="E340" s="30"/>
      <c r="F340" s="35"/>
      <c r="G340" s="35"/>
      <c r="H340" s="35" t="str">
        <f t="shared" si="5"/>
        <v/>
      </c>
      <c r="I340" s="29"/>
      <c r="K340" s="36" t="str">
        <f>IF(ISNUMBER($D340),IF(YEAR($D340)=대시보드!$C$2,$D340+ROW()/100000,""),"")</f>
        <v/>
      </c>
    </row>
    <row r="341" spans="1:11">
      <c r="A341" s="33"/>
      <c r="B341" s="29"/>
      <c r="C341" s="29"/>
      <c r="D341" s="30"/>
      <c r="E341" s="30"/>
      <c r="F341" s="35"/>
      <c r="G341" s="35"/>
      <c r="H341" s="35" t="str">
        <f t="shared" si="5"/>
        <v/>
      </c>
      <c r="I341" s="29"/>
      <c r="K341" s="36" t="str">
        <f>IF(ISNUMBER($D341),IF(YEAR($D341)=대시보드!$C$2,$D341+ROW()/100000,""),"")</f>
        <v/>
      </c>
    </row>
    <row r="342" spans="1:11">
      <c r="A342" s="33"/>
      <c r="B342" s="29"/>
      <c r="C342" s="29"/>
      <c r="D342" s="30"/>
      <c r="E342" s="30"/>
      <c r="F342" s="35"/>
      <c r="G342" s="35"/>
      <c r="H342" s="35" t="str">
        <f t="shared" si="5"/>
        <v/>
      </c>
      <c r="I342" s="29"/>
      <c r="K342" s="36" t="str">
        <f>IF(ISNUMBER($D342),IF(YEAR($D342)=대시보드!$C$2,$D342+ROW()/100000,""),"")</f>
        <v/>
      </c>
    </row>
    <row r="343" spans="1:11">
      <c r="A343" s="33"/>
      <c r="B343" s="29"/>
      <c r="C343" s="29"/>
      <c r="D343" s="30"/>
      <c r="E343" s="30"/>
      <c r="F343" s="35"/>
      <c r="G343" s="35"/>
      <c r="H343" s="35" t="str">
        <f t="shared" si="5"/>
        <v/>
      </c>
      <c r="I343" s="29"/>
      <c r="K343" s="36" t="str">
        <f>IF(ISNUMBER($D343),IF(YEAR($D343)=대시보드!$C$2,$D343+ROW()/100000,""),"")</f>
        <v/>
      </c>
    </row>
    <row r="344" spans="1:11">
      <c r="A344" s="33"/>
      <c r="B344" s="29"/>
      <c r="C344" s="29"/>
      <c r="D344" s="30"/>
      <c r="E344" s="30"/>
      <c r="F344" s="35"/>
      <c r="G344" s="35"/>
      <c r="H344" s="35" t="str">
        <f t="shared" si="5"/>
        <v/>
      </c>
      <c r="I344" s="29"/>
      <c r="K344" s="36" t="str">
        <f>IF(ISNUMBER($D344),IF(YEAR($D344)=대시보드!$C$2,$D344+ROW()/100000,""),"")</f>
        <v/>
      </c>
    </row>
    <row r="345" spans="1:11">
      <c r="A345" s="33"/>
      <c r="B345" s="29"/>
      <c r="C345" s="29"/>
      <c r="D345" s="30"/>
      <c r="E345" s="30"/>
      <c r="F345" s="35"/>
      <c r="G345" s="35"/>
      <c r="H345" s="35" t="str">
        <f t="shared" si="5"/>
        <v/>
      </c>
      <c r="I345" s="29"/>
      <c r="K345" s="36" t="str">
        <f>IF(ISNUMBER($D345),IF(YEAR($D345)=대시보드!$C$2,$D345+ROW()/100000,""),"")</f>
        <v/>
      </c>
    </row>
    <row r="346" spans="1:11">
      <c r="A346" s="33"/>
      <c r="B346" s="29"/>
      <c r="C346" s="29"/>
      <c r="D346" s="30"/>
      <c r="E346" s="30"/>
      <c r="F346" s="35"/>
      <c r="G346" s="35"/>
      <c r="H346" s="35" t="str">
        <f t="shared" si="5"/>
        <v/>
      </c>
      <c r="I346" s="29"/>
      <c r="K346" s="36" t="str">
        <f>IF(ISNUMBER($D346),IF(YEAR($D346)=대시보드!$C$2,$D346+ROW()/100000,""),"")</f>
        <v/>
      </c>
    </row>
    <row r="347" spans="1:11">
      <c r="A347" s="33"/>
      <c r="B347" s="29"/>
      <c r="C347" s="29"/>
      <c r="D347" s="30"/>
      <c r="E347" s="30"/>
      <c r="F347" s="35"/>
      <c r="G347" s="35"/>
      <c r="H347" s="35" t="str">
        <f t="shared" si="5"/>
        <v/>
      </c>
      <c r="I347" s="29"/>
      <c r="K347" s="36" t="str">
        <f>IF(ISNUMBER($D347),IF(YEAR($D347)=대시보드!$C$2,$D347+ROW()/100000,""),"")</f>
        <v/>
      </c>
    </row>
    <row r="348" spans="1:11">
      <c r="A348" s="33"/>
      <c r="B348" s="29"/>
      <c r="C348" s="29"/>
      <c r="D348" s="30"/>
      <c r="E348" s="30"/>
      <c r="F348" s="35"/>
      <c r="G348" s="35"/>
      <c r="H348" s="35" t="str">
        <f t="shared" si="5"/>
        <v/>
      </c>
      <c r="I348" s="29"/>
      <c r="K348" s="36" t="str">
        <f>IF(ISNUMBER($D348),IF(YEAR($D348)=대시보드!$C$2,$D348+ROW()/100000,""),"")</f>
        <v/>
      </c>
    </row>
    <row r="349" spans="1:11">
      <c r="A349" s="33"/>
      <c r="B349" s="29"/>
      <c r="C349" s="29"/>
      <c r="D349" s="30"/>
      <c r="E349" s="30"/>
      <c r="F349" s="35"/>
      <c r="G349" s="35"/>
      <c r="H349" s="35" t="str">
        <f t="shared" si="5"/>
        <v/>
      </c>
      <c r="I349" s="29"/>
      <c r="K349" s="36" t="str">
        <f>IF(ISNUMBER($D349),IF(YEAR($D349)=대시보드!$C$2,$D349+ROW()/100000,""),"")</f>
        <v/>
      </c>
    </row>
    <row r="350" spans="1:11">
      <c r="A350" s="33"/>
      <c r="B350" s="29"/>
      <c r="C350" s="29"/>
      <c r="D350" s="30"/>
      <c r="E350" s="30"/>
      <c r="F350" s="35"/>
      <c r="G350" s="35"/>
      <c r="H350" s="35" t="str">
        <f t="shared" si="5"/>
        <v/>
      </c>
      <c r="I350" s="29"/>
      <c r="K350" s="36" t="str">
        <f>IF(ISNUMBER($D350),IF(YEAR($D350)=대시보드!$C$2,$D350+ROW()/100000,""),"")</f>
        <v/>
      </c>
    </row>
    <row r="351" spans="1:11">
      <c r="A351" s="33"/>
      <c r="B351" s="29"/>
      <c r="C351" s="29"/>
      <c r="D351" s="30"/>
      <c r="E351" s="30"/>
      <c r="F351" s="35"/>
      <c r="G351" s="35"/>
      <c r="H351" s="35" t="str">
        <f t="shared" si="5"/>
        <v/>
      </c>
      <c r="I351" s="29"/>
      <c r="K351" s="36" t="str">
        <f>IF(ISNUMBER($D351),IF(YEAR($D351)=대시보드!$C$2,$D351+ROW()/100000,""),"")</f>
        <v/>
      </c>
    </row>
    <row r="352" spans="1:11">
      <c r="A352" s="33"/>
      <c r="B352" s="29"/>
      <c r="C352" s="29"/>
      <c r="D352" s="30"/>
      <c r="E352" s="30"/>
      <c r="F352" s="35"/>
      <c r="G352" s="35"/>
      <c r="H352" s="35" t="str">
        <f t="shared" si="5"/>
        <v/>
      </c>
      <c r="I352" s="29"/>
      <c r="K352" s="36" t="str">
        <f>IF(ISNUMBER($D352),IF(YEAR($D352)=대시보드!$C$2,$D352+ROW()/100000,""),"")</f>
        <v/>
      </c>
    </row>
    <row r="353" spans="1:11">
      <c r="A353" s="33"/>
      <c r="B353" s="29"/>
      <c r="C353" s="29"/>
      <c r="D353" s="30"/>
      <c r="E353" s="30"/>
      <c r="F353" s="35"/>
      <c r="G353" s="35"/>
      <c r="H353" s="35" t="str">
        <f t="shared" si="5"/>
        <v/>
      </c>
      <c r="I353" s="29"/>
      <c r="K353" s="36" t="str">
        <f>IF(ISNUMBER($D353),IF(YEAR($D353)=대시보드!$C$2,$D353+ROW()/100000,""),"")</f>
        <v/>
      </c>
    </row>
    <row r="354" spans="1:11">
      <c r="A354" s="33"/>
      <c r="B354" s="29"/>
      <c r="C354" s="29"/>
      <c r="D354" s="30"/>
      <c r="E354" s="30"/>
      <c r="F354" s="35"/>
      <c r="G354" s="35"/>
      <c r="H354" s="35" t="str">
        <f t="shared" si="5"/>
        <v/>
      </c>
      <c r="I354" s="29"/>
      <c r="K354" s="36" t="str">
        <f>IF(ISNUMBER($D354),IF(YEAR($D354)=대시보드!$C$2,$D354+ROW()/100000,""),"")</f>
        <v/>
      </c>
    </row>
    <row r="355" spans="1:11">
      <c r="A355" s="33"/>
      <c r="B355" s="29"/>
      <c r="C355" s="29"/>
      <c r="D355" s="30"/>
      <c r="E355" s="30"/>
      <c r="F355" s="35"/>
      <c r="G355" s="35"/>
      <c r="H355" s="35" t="str">
        <f t="shared" si="5"/>
        <v/>
      </c>
      <c r="I355" s="29"/>
      <c r="K355" s="36" t="str">
        <f>IF(ISNUMBER($D355),IF(YEAR($D355)=대시보드!$C$2,$D355+ROW()/100000,""),"")</f>
        <v/>
      </c>
    </row>
    <row r="356" spans="1:11">
      <c r="A356" s="33"/>
      <c r="B356" s="29"/>
      <c r="C356" s="29"/>
      <c r="D356" s="30"/>
      <c r="E356" s="30"/>
      <c r="F356" s="35"/>
      <c r="G356" s="35"/>
      <c r="H356" s="35" t="str">
        <f t="shared" si="5"/>
        <v/>
      </c>
      <c r="I356" s="29"/>
      <c r="K356" s="36" t="str">
        <f>IF(ISNUMBER($D356),IF(YEAR($D356)=대시보드!$C$2,$D356+ROW()/100000,""),"")</f>
        <v/>
      </c>
    </row>
    <row r="357" spans="1:11">
      <c r="A357" s="33"/>
      <c r="B357" s="29"/>
      <c r="C357" s="29"/>
      <c r="D357" s="30"/>
      <c r="E357" s="30"/>
      <c r="F357" s="35"/>
      <c r="G357" s="35"/>
      <c r="H357" s="35" t="str">
        <f t="shared" si="5"/>
        <v/>
      </c>
      <c r="I357" s="29"/>
      <c r="K357" s="36" t="str">
        <f>IF(ISNUMBER($D357),IF(YEAR($D357)=대시보드!$C$2,$D357+ROW()/100000,""),"")</f>
        <v/>
      </c>
    </row>
    <row r="358" spans="1:11">
      <c r="A358" s="33"/>
      <c r="B358" s="29"/>
      <c r="C358" s="29"/>
      <c r="D358" s="30"/>
      <c r="E358" s="30"/>
      <c r="F358" s="35"/>
      <c r="G358" s="35"/>
      <c r="H358" s="35" t="str">
        <f t="shared" si="5"/>
        <v/>
      </c>
      <c r="I358" s="29"/>
      <c r="K358" s="36" t="str">
        <f>IF(ISNUMBER($D358),IF(YEAR($D358)=대시보드!$C$2,$D358+ROW()/100000,""),"")</f>
        <v/>
      </c>
    </row>
    <row r="359" spans="1:11">
      <c r="A359" s="33"/>
      <c r="B359" s="29"/>
      <c r="C359" s="29"/>
      <c r="D359" s="30"/>
      <c r="E359" s="30"/>
      <c r="F359" s="35"/>
      <c r="G359" s="35"/>
      <c r="H359" s="35" t="str">
        <f t="shared" si="5"/>
        <v/>
      </c>
      <c r="I359" s="29"/>
      <c r="K359" s="36" t="str">
        <f>IF(ISNUMBER($D359),IF(YEAR($D359)=대시보드!$C$2,$D359+ROW()/100000,""),"")</f>
        <v/>
      </c>
    </row>
    <row r="360" spans="1:11">
      <c r="A360" s="33"/>
      <c r="B360" s="29"/>
      <c r="C360" s="29"/>
      <c r="D360" s="30"/>
      <c r="E360" s="30"/>
      <c r="F360" s="35"/>
      <c r="G360" s="35"/>
      <c r="H360" s="35" t="str">
        <f t="shared" si="5"/>
        <v/>
      </c>
      <c r="I360" s="29"/>
      <c r="K360" s="36" t="str">
        <f>IF(ISNUMBER($D360),IF(YEAR($D360)=대시보드!$C$2,$D360+ROW()/100000,""),"")</f>
        <v/>
      </c>
    </row>
    <row r="361" spans="1:11">
      <c r="A361" s="33"/>
      <c r="B361" s="29"/>
      <c r="C361" s="29"/>
      <c r="D361" s="30"/>
      <c r="E361" s="30"/>
      <c r="F361" s="35"/>
      <c r="G361" s="35"/>
      <c r="H361" s="35" t="str">
        <f t="shared" si="5"/>
        <v/>
      </c>
      <c r="I361" s="29"/>
      <c r="K361" s="36" t="str">
        <f>IF(ISNUMBER($D361),IF(YEAR($D361)=대시보드!$C$2,$D361+ROW()/100000,""),"")</f>
        <v/>
      </c>
    </row>
    <row r="362" spans="1:11">
      <c r="A362" s="33"/>
      <c r="B362" s="29"/>
      <c r="C362" s="29"/>
      <c r="D362" s="30"/>
      <c r="E362" s="30"/>
      <c r="F362" s="35"/>
      <c r="G362" s="35"/>
      <c r="H362" s="35" t="str">
        <f t="shared" si="5"/>
        <v/>
      </c>
      <c r="I362" s="29"/>
      <c r="K362" s="36" t="str">
        <f>IF(ISNUMBER($D362),IF(YEAR($D362)=대시보드!$C$2,$D362+ROW()/100000,""),"")</f>
        <v/>
      </c>
    </row>
    <row r="363" spans="1:11">
      <c r="A363" s="33"/>
      <c r="B363" s="29"/>
      <c r="C363" s="29"/>
      <c r="D363" s="30"/>
      <c r="E363" s="30"/>
      <c r="F363" s="35"/>
      <c r="G363" s="35"/>
      <c r="H363" s="35" t="str">
        <f t="shared" si="5"/>
        <v/>
      </c>
      <c r="I363" s="29"/>
      <c r="K363" s="36" t="str">
        <f>IF(ISNUMBER($D363),IF(YEAR($D363)=대시보드!$C$2,$D363+ROW()/100000,""),"")</f>
        <v/>
      </c>
    </row>
    <row r="364" spans="1:11">
      <c r="A364" s="33"/>
      <c r="B364" s="29"/>
      <c r="C364" s="29"/>
      <c r="D364" s="30"/>
      <c r="E364" s="30"/>
      <c r="F364" s="35"/>
      <c r="G364" s="35"/>
      <c r="H364" s="35" t="str">
        <f t="shared" si="5"/>
        <v/>
      </c>
      <c r="I364" s="29"/>
      <c r="K364" s="36" t="str">
        <f>IF(ISNUMBER($D364),IF(YEAR($D364)=대시보드!$C$2,$D364+ROW()/100000,""),"")</f>
        <v/>
      </c>
    </row>
    <row r="365" spans="1:11">
      <c r="A365" s="33"/>
      <c r="B365" s="29"/>
      <c r="C365" s="29"/>
      <c r="D365" s="30"/>
      <c r="E365" s="30"/>
      <c r="F365" s="35"/>
      <c r="G365" s="35"/>
      <c r="H365" s="35" t="str">
        <f t="shared" si="5"/>
        <v/>
      </c>
      <c r="I365" s="29"/>
      <c r="K365" s="36" t="str">
        <f>IF(ISNUMBER($D365),IF(YEAR($D365)=대시보드!$C$2,$D365+ROW()/100000,""),"")</f>
        <v/>
      </c>
    </row>
    <row r="366" spans="1:11">
      <c r="A366" s="33"/>
      <c r="B366" s="29"/>
      <c r="C366" s="29"/>
      <c r="D366" s="30"/>
      <c r="E366" s="30"/>
      <c r="F366" s="35"/>
      <c r="G366" s="35"/>
      <c r="H366" s="35" t="str">
        <f t="shared" si="5"/>
        <v/>
      </c>
      <c r="I366" s="29"/>
      <c r="K366" s="36" t="str">
        <f>IF(ISNUMBER($D366),IF(YEAR($D366)=대시보드!$C$2,$D366+ROW()/100000,""),"")</f>
        <v/>
      </c>
    </row>
    <row r="367" spans="1:11">
      <c r="A367" s="33"/>
      <c r="B367" s="29"/>
      <c r="C367" s="29"/>
      <c r="D367" s="30"/>
      <c r="E367" s="30"/>
      <c r="F367" s="35"/>
      <c r="G367" s="35"/>
      <c r="H367" s="35" t="str">
        <f t="shared" si="5"/>
        <v/>
      </c>
      <c r="I367" s="29"/>
      <c r="K367" s="36" t="str">
        <f>IF(ISNUMBER($D367),IF(YEAR($D367)=대시보드!$C$2,$D367+ROW()/100000,""),"")</f>
        <v/>
      </c>
    </row>
    <row r="368" spans="1:11">
      <c r="A368" s="33"/>
      <c r="B368" s="29"/>
      <c r="C368" s="29"/>
      <c r="D368" s="30"/>
      <c r="E368" s="30"/>
      <c r="F368" s="35"/>
      <c r="G368" s="35"/>
      <c r="H368" s="35" t="str">
        <f t="shared" si="5"/>
        <v/>
      </c>
      <c r="I368" s="29"/>
      <c r="K368" s="36" t="str">
        <f>IF(ISNUMBER($D368),IF(YEAR($D368)=대시보드!$C$2,$D368+ROW()/100000,""),"")</f>
        <v/>
      </c>
    </row>
    <row r="369" spans="1:11">
      <c r="A369" s="33"/>
      <c r="B369" s="29"/>
      <c r="C369" s="29"/>
      <c r="D369" s="30"/>
      <c r="E369" s="30"/>
      <c r="F369" s="35"/>
      <c r="G369" s="35"/>
      <c r="H369" s="35" t="str">
        <f t="shared" si="5"/>
        <v/>
      </c>
      <c r="I369" s="29"/>
      <c r="K369" s="36" t="str">
        <f>IF(ISNUMBER($D369),IF(YEAR($D369)=대시보드!$C$2,$D369+ROW()/100000,""),"")</f>
        <v/>
      </c>
    </row>
    <row r="370" spans="1:11">
      <c r="A370" s="33"/>
      <c r="B370" s="29"/>
      <c r="C370" s="29"/>
      <c r="D370" s="30"/>
      <c r="E370" s="30"/>
      <c r="F370" s="35"/>
      <c r="G370" s="35"/>
      <c r="H370" s="35" t="str">
        <f t="shared" si="5"/>
        <v/>
      </c>
      <c r="I370" s="29"/>
      <c r="K370" s="36" t="str">
        <f>IF(ISNUMBER($D370),IF(YEAR($D370)=대시보드!$C$2,$D370+ROW()/100000,""),"")</f>
        <v/>
      </c>
    </row>
    <row r="371" spans="1:11">
      <c r="A371" s="33"/>
      <c r="B371" s="29"/>
      <c r="C371" s="29"/>
      <c r="D371" s="30"/>
      <c r="E371" s="30"/>
      <c r="F371" s="35"/>
      <c r="G371" s="35"/>
      <c r="H371" s="35" t="str">
        <f t="shared" si="5"/>
        <v/>
      </c>
      <c r="I371" s="29"/>
      <c r="K371" s="36" t="str">
        <f>IF(ISNUMBER($D371),IF(YEAR($D371)=대시보드!$C$2,$D371+ROW()/100000,""),"")</f>
        <v/>
      </c>
    </row>
    <row r="372" spans="1:11">
      <c r="A372" s="33"/>
      <c r="B372" s="29"/>
      <c r="C372" s="29"/>
      <c r="D372" s="30"/>
      <c r="E372" s="30"/>
      <c r="F372" s="35"/>
      <c r="G372" s="35"/>
      <c r="H372" s="35" t="str">
        <f t="shared" si="5"/>
        <v/>
      </c>
      <c r="I372" s="29"/>
      <c r="K372" s="36" t="str">
        <f>IF(ISNUMBER($D372),IF(YEAR($D372)=대시보드!$C$2,$D372+ROW()/100000,""),"")</f>
        <v/>
      </c>
    </row>
    <row r="373" spans="1:11">
      <c r="A373" s="33"/>
      <c r="B373" s="29"/>
      <c r="C373" s="29"/>
      <c r="D373" s="30"/>
      <c r="E373" s="30"/>
      <c r="F373" s="35"/>
      <c r="G373" s="35"/>
      <c r="H373" s="35" t="str">
        <f t="shared" si="5"/>
        <v/>
      </c>
      <c r="I373" s="29"/>
      <c r="K373" s="36" t="str">
        <f>IF(ISNUMBER($D373),IF(YEAR($D373)=대시보드!$C$2,$D373+ROW()/100000,""),"")</f>
        <v/>
      </c>
    </row>
    <row r="374" spans="1:11">
      <c r="A374" s="33"/>
      <c r="B374" s="29"/>
      <c r="C374" s="29"/>
      <c r="D374" s="30"/>
      <c r="E374" s="30"/>
      <c r="F374" s="35"/>
      <c r="G374" s="35"/>
      <c r="H374" s="35" t="str">
        <f t="shared" si="5"/>
        <v/>
      </c>
      <c r="I374" s="29"/>
      <c r="K374" s="36" t="str">
        <f>IF(ISNUMBER($D374),IF(YEAR($D374)=대시보드!$C$2,$D374+ROW()/100000,""),"")</f>
        <v/>
      </c>
    </row>
    <row r="375" spans="1:11">
      <c r="A375" s="33"/>
      <c r="B375" s="29"/>
      <c r="C375" s="29"/>
      <c r="D375" s="30"/>
      <c r="E375" s="30"/>
      <c r="F375" s="35"/>
      <c r="G375" s="35"/>
      <c r="H375" s="35" t="str">
        <f t="shared" si="5"/>
        <v/>
      </c>
      <c r="I375" s="29"/>
      <c r="K375" s="36" t="str">
        <f>IF(ISNUMBER($D375),IF(YEAR($D375)=대시보드!$C$2,$D375+ROW()/100000,""),"")</f>
        <v/>
      </c>
    </row>
    <row r="376" spans="1:11">
      <c r="A376" s="33"/>
      <c r="B376" s="29"/>
      <c r="C376" s="29"/>
      <c r="D376" s="30"/>
      <c r="E376" s="30"/>
      <c r="F376" s="35"/>
      <c r="G376" s="35"/>
      <c r="H376" s="35" t="str">
        <f t="shared" si="5"/>
        <v/>
      </c>
      <c r="I376" s="29"/>
      <c r="K376" s="36" t="str">
        <f>IF(ISNUMBER($D376),IF(YEAR($D376)=대시보드!$C$2,$D376+ROW()/100000,""),"")</f>
        <v/>
      </c>
    </row>
    <row r="377" spans="1:11">
      <c r="A377" s="33"/>
      <c r="B377" s="29"/>
      <c r="C377" s="29"/>
      <c r="D377" s="30"/>
      <c r="E377" s="30"/>
      <c r="F377" s="35"/>
      <c r="G377" s="35"/>
      <c r="H377" s="35" t="str">
        <f t="shared" si="5"/>
        <v/>
      </c>
      <c r="I377" s="29"/>
      <c r="K377" s="36" t="str">
        <f>IF(ISNUMBER($D377),IF(YEAR($D377)=대시보드!$C$2,$D377+ROW()/100000,""),"")</f>
        <v/>
      </c>
    </row>
    <row r="378" spans="1:11">
      <c r="A378" s="33"/>
      <c r="B378" s="29"/>
      <c r="C378" s="29"/>
      <c r="D378" s="30"/>
      <c r="E378" s="30"/>
      <c r="F378" s="35"/>
      <c r="G378" s="35"/>
      <c r="H378" s="35" t="str">
        <f t="shared" si="5"/>
        <v/>
      </c>
      <c r="I378" s="29"/>
      <c r="K378" s="36" t="str">
        <f>IF(ISNUMBER($D378),IF(YEAR($D378)=대시보드!$C$2,$D378+ROW()/100000,""),"")</f>
        <v/>
      </c>
    </row>
    <row r="379" spans="1:11">
      <c r="A379" s="33"/>
      <c r="B379" s="29"/>
      <c r="C379" s="29"/>
      <c r="D379" s="30"/>
      <c r="E379" s="30"/>
      <c r="F379" s="35"/>
      <c r="G379" s="35"/>
      <c r="H379" s="35" t="str">
        <f t="shared" si="5"/>
        <v/>
      </c>
      <c r="I379" s="29"/>
      <c r="K379" s="36" t="str">
        <f>IF(ISNUMBER($D379),IF(YEAR($D379)=대시보드!$C$2,$D379+ROW()/100000,""),"")</f>
        <v/>
      </c>
    </row>
    <row r="380" spans="1:11">
      <c r="A380" s="33"/>
      <c r="B380" s="29"/>
      <c r="C380" s="29"/>
      <c r="D380" s="30"/>
      <c r="E380" s="30"/>
      <c r="F380" s="35"/>
      <c r="G380" s="35"/>
      <c r="H380" s="35" t="str">
        <f t="shared" si="5"/>
        <v/>
      </c>
      <c r="I380" s="29"/>
      <c r="K380" s="36" t="str">
        <f>IF(ISNUMBER($D380),IF(YEAR($D380)=대시보드!$C$2,$D380+ROW()/100000,""),"")</f>
        <v/>
      </c>
    </row>
    <row r="381" spans="1:11">
      <c r="A381" s="33"/>
      <c r="B381" s="29"/>
      <c r="C381" s="29"/>
      <c r="D381" s="30"/>
      <c r="E381" s="30"/>
      <c r="F381" s="35"/>
      <c r="G381" s="35"/>
      <c r="H381" s="35" t="str">
        <f t="shared" si="5"/>
        <v/>
      </c>
      <c r="I381" s="29"/>
      <c r="K381" s="36" t="str">
        <f>IF(ISNUMBER($D381),IF(YEAR($D381)=대시보드!$C$2,$D381+ROW()/100000,""),"")</f>
        <v/>
      </c>
    </row>
    <row r="382" spans="1:11">
      <c r="A382" s="33"/>
      <c r="B382" s="29"/>
      <c r="C382" s="29"/>
      <c r="D382" s="30"/>
      <c r="E382" s="30"/>
      <c r="F382" s="35"/>
      <c r="G382" s="35"/>
      <c r="H382" s="35" t="str">
        <f t="shared" si="5"/>
        <v/>
      </c>
      <c r="I382" s="29"/>
      <c r="K382" s="36" t="str">
        <f>IF(ISNUMBER($D382),IF(YEAR($D382)=대시보드!$C$2,$D382+ROW()/100000,""),"")</f>
        <v/>
      </c>
    </row>
    <row r="383" spans="1:11">
      <c r="A383" s="33"/>
      <c r="B383" s="29"/>
      <c r="C383" s="29"/>
      <c r="D383" s="30"/>
      <c r="E383" s="30"/>
      <c r="F383" s="35"/>
      <c r="G383" s="35"/>
      <c r="H383" s="35" t="str">
        <f t="shared" si="5"/>
        <v/>
      </c>
      <c r="I383" s="29"/>
      <c r="K383" s="36" t="str">
        <f>IF(ISNUMBER($D383),IF(YEAR($D383)=대시보드!$C$2,$D383+ROW()/100000,""),"")</f>
        <v/>
      </c>
    </row>
    <row r="384" spans="1:11">
      <c r="A384" s="33"/>
      <c r="B384" s="29"/>
      <c r="C384" s="29"/>
      <c r="D384" s="30"/>
      <c r="E384" s="30"/>
      <c r="F384" s="35"/>
      <c r="G384" s="35"/>
      <c r="H384" s="35" t="str">
        <f t="shared" si="5"/>
        <v/>
      </c>
      <c r="I384" s="29"/>
      <c r="K384" s="36" t="str">
        <f>IF(ISNUMBER($D384),IF(YEAR($D384)=대시보드!$C$2,$D384+ROW()/100000,""),"")</f>
        <v/>
      </c>
    </row>
    <row r="385" spans="1:11">
      <c r="A385" s="33"/>
      <c r="B385" s="29"/>
      <c r="C385" s="29"/>
      <c r="D385" s="30"/>
      <c r="E385" s="30"/>
      <c r="F385" s="35"/>
      <c r="G385" s="35"/>
      <c r="H385" s="35" t="str">
        <f t="shared" si="5"/>
        <v/>
      </c>
      <c r="I385" s="29"/>
      <c r="K385" s="36" t="str">
        <f>IF(ISNUMBER($D385),IF(YEAR($D385)=대시보드!$C$2,$D385+ROW()/100000,""),"")</f>
        <v/>
      </c>
    </row>
    <row r="386" spans="1:11">
      <c r="A386" s="33"/>
      <c r="B386" s="29"/>
      <c r="C386" s="29"/>
      <c r="D386" s="30"/>
      <c r="E386" s="30"/>
      <c r="F386" s="35"/>
      <c r="G386" s="35"/>
      <c r="H386" s="35" t="str">
        <f t="shared" si="5"/>
        <v/>
      </c>
      <c r="I386" s="29"/>
      <c r="K386" s="36" t="str">
        <f>IF(ISNUMBER($D386),IF(YEAR($D386)=대시보드!$C$2,$D386+ROW()/100000,""),"")</f>
        <v/>
      </c>
    </row>
    <row r="387" spans="1:11">
      <c r="A387" s="33"/>
      <c r="B387" s="29"/>
      <c r="C387" s="29"/>
      <c r="D387" s="30"/>
      <c r="E387" s="30"/>
      <c r="F387" s="35"/>
      <c r="G387" s="35"/>
      <c r="H387" s="35" t="str">
        <f t="shared" si="5"/>
        <v/>
      </c>
      <c r="I387" s="29"/>
      <c r="K387" s="36" t="str">
        <f>IF(ISNUMBER($D387),IF(YEAR($D387)=대시보드!$C$2,$D387+ROW()/100000,""),"")</f>
        <v/>
      </c>
    </row>
    <row r="388" spans="1:11">
      <c r="A388" s="33"/>
      <c r="B388" s="29"/>
      <c r="C388" s="29"/>
      <c r="D388" s="30"/>
      <c r="E388" s="30"/>
      <c r="F388" s="35"/>
      <c r="G388" s="35"/>
      <c r="H388" s="35" t="str">
        <f t="shared" ref="H388:H451" si="6">IF(F388="","",F388-G388)</f>
        <v/>
      </c>
      <c r="I388" s="29"/>
      <c r="K388" s="36" t="str">
        <f>IF(ISNUMBER($D388),IF(YEAR($D388)=대시보드!$C$2,$D388+ROW()/100000,""),"")</f>
        <v/>
      </c>
    </row>
    <row r="389" spans="1:11">
      <c r="A389" s="33"/>
      <c r="B389" s="29"/>
      <c r="C389" s="29"/>
      <c r="D389" s="30"/>
      <c r="E389" s="30"/>
      <c r="F389" s="35"/>
      <c r="G389" s="35"/>
      <c r="H389" s="35" t="str">
        <f t="shared" si="6"/>
        <v/>
      </c>
      <c r="I389" s="29"/>
      <c r="K389" s="36" t="str">
        <f>IF(ISNUMBER($D389),IF(YEAR($D389)=대시보드!$C$2,$D389+ROW()/100000,""),"")</f>
        <v/>
      </c>
    </row>
    <row r="390" spans="1:11">
      <c r="A390" s="33"/>
      <c r="B390" s="29"/>
      <c r="C390" s="29"/>
      <c r="D390" s="30"/>
      <c r="E390" s="30"/>
      <c r="F390" s="35"/>
      <c r="G390" s="35"/>
      <c r="H390" s="35" t="str">
        <f t="shared" si="6"/>
        <v/>
      </c>
      <c r="I390" s="29"/>
      <c r="K390" s="36" t="str">
        <f>IF(ISNUMBER($D390),IF(YEAR($D390)=대시보드!$C$2,$D390+ROW()/100000,""),"")</f>
        <v/>
      </c>
    </row>
    <row r="391" spans="1:11">
      <c r="A391" s="33"/>
      <c r="B391" s="29"/>
      <c r="C391" s="29"/>
      <c r="D391" s="30"/>
      <c r="E391" s="30"/>
      <c r="F391" s="35"/>
      <c r="G391" s="35"/>
      <c r="H391" s="35" t="str">
        <f t="shared" si="6"/>
        <v/>
      </c>
      <c r="I391" s="29"/>
      <c r="K391" s="36" t="str">
        <f>IF(ISNUMBER($D391),IF(YEAR($D391)=대시보드!$C$2,$D391+ROW()/100000,""),"")</f>
        <v/>
      </c>
    </row>
    <row r="392" spans="1:11">
      <c r="A392" s="33"/>
      <c r="B392" s="29"/>
      <c r="C392" s="29"/>
      <c r="D392" s="30"/>
      <c r="E392" s="30"/>
      <c r="F392" s="35"/>
      <c r="G392" s="35"/>
      <c r="H392" s="35" t="str">
        <f t="shared" si="6"/>
        <v/>
      </c>
      <c r="I392" s="29"/>
      <c r="K392" s="36" t="str">
        <f>IF(ISNUMBER($D392),IF(YEAR($D392)=대시보드!$C$2,$D392+ROW()/100000,""),"")</f>
        <v/>
      </c>
    </row>
    <row r="393" spans="1:11">
      <c r="A393" s="33"/>
      <c r="B393" s="29"/>
      <c r="C393" s="29"/>
      <c r="D393" s="30"/>
      <c r="E393" s="30"/>
      <c r="F393" s="35"/>
      <c r="G393" s="35"/>
      <c r="H393" s="35" t="str">
        <f t="shared" si="6"/>
        <v/>
      </c>
      <c r="I393" s="29"/>
      <c r="K393" s="36" t="str">
        <f>IF(ISNUMBER($D393),IF(YEAR($D393)=대시보드!$C$2,$D393+ROW()/100000,""),"")</f>
        <v/>
      </c>
    </row>
    <row r="394" spans="1:11">
      <c r="A394" s="33"/>
      <c r="B394" s="29"/>
      <c r="C394" s="29"/>
      <c r="D394" s="30"/>
      <c r="E394" s="30"/>
      <c r="F394" s="35"/>
      <c r="G394" s="35"/>
      <c r="H394" s="35" t="str">
        <f t="shared" si="6"/>
        <v/>
      </c>
      <c r="I394" s="29"/>
      <c r="K394" s="36" t="str">
        <f>IF(ISNUMBER($D394),IF(YEAR($D394)=대시보드!$C$2,$D394+ROW()/100000,""),"")</f>
        <v/>
      </c>
    </row>
    <row r="395" spans="1:11">
      <c r="A395" s="33"/>
      <c r="B395" s="29"/>
      <c r="C395" s="29"/>
      <c r="D395" s="30"/>
      <c r="E395" s="30"/>
      <c r="F395" s="35"/>
      <c r="G395" s="35"/>
      <c r="H395" s="35" t="str">
        <f t="shared" si="6"/>
        <v/>
      </c>
      <c r="I395" s="29"/>
      <c r="K395" s="36" t="str">
        <f>IF(ISNUMBER($D395),IF(YEAR($D395)=대시보드!$C$2,$D395+ROW()/100000,""),"")</f>
        <v/>
      </c>
    </row>
    <row r="396" spans="1:11">
      <c r="A396" s="33"/>
      <c r="B396" s="29"/>
      <c r="C396" s="29"/>
      <c r="D396" s="30"/>
      <c r="E396" s="30"/>
      <c r="F396" s="35"/>
      <c r="G396" s="35"/>
      <c r="H396" s="35" t="str">
        <f t="shared" si="6"/>
        <v/>
      </c>
      <c r="I396" s="29"/>
      <c r="K396" s="36" t="str">
        <f>IF(ISNUMBER($D396),IF(YEAR($D396)=대시보드!$C$2,$D396+ROW()/100000,""),"")</f>
        <v/>
      </c>
    </row>
    <row r="397" spans="1:11">
      <c r="A397" s="33"/>
      <c r="B397" s="29"/>
      <c r="C397" s="29"/>
      <c r="D397" s="30"/>
      <c r="E397" s="30"/>
      <c r="F397" s="35"/>
      <c r="G397" s="35"/>
      <c r="H397" s="35" t="str">
        <f t="shared" si="6"/>
        <v/>
      </c>
      <c r="I397" s="29"/>
      <c r="K397" s="36" t="str">
        <f>IF(ISNUMBER($D397),IF(YEAR($D397)=대시보드!$C$2,$D397+ROW()/100000,""),"")</f>
        <v/>
      </c>
    </row>
    <row r="398" spans="1:11">
      <c r="A398" s="33"/>
      <c r="B398" s="29"/>
      <c r="C398" s="29"/>
      <c r="D398" s="30"/>
      <c r="E398" s="30"/>
      <c r="F398" s="35"/>
      <c r="G398" s="35"/>
      <c r="H398" s="35" t="str">
        <f t="shared" si="6"/>
        <v/>
      </c>
      <c r="I398" s="29"/>
      <c r="K398" s="36" t="str">
        <f>IF(ISNUMBER($D398),IF(YEAR($D398)=대시보드!$C$2,$D398+ROW()/100000,""),"")</f>
        <v/>
      </c>
    </row>
    <row r="399" spans="1:11">
      <c r="A399" s="33"/>
      <c r="B399" s="29"/>
      <c r="C399" s="29"/>
      <c r="D399" s="30"/>
      <c r="E399" s="30"/>
      <c r="F399" s="35"/>
      <c r="G399" s="35"/>
      <c r="H399" s="35" t="str">
        <f t="shared" si="6"/>
        <v/>
      </c>
      <c r="I399" s="29"/>
      <c r="K399" s="36" t="str">
        <f>IF(ISNUMBER($D399),IF(YEAR($D399)=대시보드!$C$2,$D399+ROW()/100000,""),"")</f>
        <v/>
      </c>
    </row>
    <row r="400" spans="1:11">
      <c r="A400" s="33"/>
      <c r="B400" s="29"/>
      <c r="C400" s="29"/>
      <c r="D400" s="30"/>
      <c r="E400" s="30"/>
      <c r="F400" s="35"/>
      <c r="G400" s="35"/>
      <c r="H400" s="35" t="str">
        <f t="shared" si="6"/>
        <v/>
      </c>
      <c r="I400" s="29"/>
      <c r="K400" s="36" t="str">
        <f>IF(ISNUMBER($D400),IF(YEAR($D400)=대시보드!$C$2,$D400+ROW()/100000,""),"")</f>
        <v/>
      </c>
    </row>
    <row r="401" spans="1:11">
      <c r="A401" s="33"/>
      <c r="B401" s="29"/>
      <c r="C401" s="29"/>
      <c r="D401" s="30"/>
      <c r="E401" s="30"/>
      <c r="F401" s="35"/>
      <c r="G401" s="35"/>
      <c r="H401" s="35" t="str">
        <f t="shared" si="6"/>
        <v/>
      </c>
      <c r="I401" s="29"/>
      <c r="K401" s="36" t="str">
        <f>IF(ISNUMBER($D401),IF(YEAR($D401)=대시보드!$C$2,$D401+ROW()/100000,""),"")</f>
        <v/>
      </c>
    </row>
    <row r="402" spans="1:11">
      <c r="A402" s="33"/>
      <c r="B402" s="29"/>
      <c r="C402" s="29"/>
      <c r="D402" s="30"/>
      <c r="E402" s="30"/>
      <c r="F402" s="35"/>
      <c r="G402" s="35"/>
      <c r="H402" s="35" t="str">
        <f t="shared" si="6"/>
        <v/>
      </c>
      <c r="I402" s="29"/>
      <c r="K402" s="36" t="str">
        <f>IF(ISNUMBER($D402),IF(YEAR($D402)=대시보드!$C$2,$D402+ROW()/100000,""),"")</f>
        <v/>
      </c>
    </row>
    <row r="403" spans="1:11">
      <c r="A403" s="33"/>
      <c r="B403" s="29"/>
      <c r="C403" s="29"/>
      <c r="D403" s="30"/>
      <c r="E403" s="30"/>
      <c r="F403" s="35"/>
      <c r="G403" s="35"/>
      <c r="H403" s="35" t="str">
        <f t="shared" si="6"/>
        <v/>
      </c>
      <c r="I403" s="29"/>
      <c r="K403" s="36" t="str">
        <f>IF(ISNUMBER($D403),IF(YEAR($D403)=대시보드!$C$2,$D403+ROW()/100000,""),"")</f>
        <v/>
      </c>
    </row>
    <row r="404" spans="1:11">
      <c r="A404" s="33"/>
      <c r="B404" s="29"/>
      <c r="C404" s="29"/>
      <c r="D404" s="30"/>
      <c r="E404" s="30"/>
      <c r="F404" s="35"/>
      <c r="G404" s="35"/>
      <c r="H404" s="35" t="str">
        <f t="shared" si="6"/>
        <v/>
      </c>
      <c r="I404" s="29"/>
      <c r="K404" s="36" t="str">
        <f>IF(ISNUMBER($D404),IF(YEAR($D404)=대시보드!$C$2,$D404+ROW()/100000,""),"")</f>
        <v/>
      </c>
    </row>
    <row r="405" spans="1:11">
      <c r="A405" s="33"/>
      <c r="B405" s="29"/>
      <c r="C405" s="29"/>
      <c r="D405" s="30"/>
      <c r="E405" s="30"/>
      <c r="F405" s="35"/>
      <c r="G405" s="35"/>
      <c r="H405" s="35" t="str">
        <f t="shared" si="6"/>
        <v/>
      </c>
      <c r="I405" s="29"/>
      <c r="K405" s="36" t="str">
        <f>IF(ISNUMBER($D405),IF(YEAR($D405)=대시보드!$C$2,$D405+ROW()/100000,""),"")</f>
        <v/>
      </c>
    </row>
    <row r="406" spans="1:11">
      <c r="A406" s="33"/>
      <c r="B406" s="29"/>
      <c r="C406" s="29"/>
      <c r="D406" s="30"/>
      <c r="E406" s="30"/>
      <c r="F406" s="35"/>
      <c r="G406" s="35"/>
      <c r="H406" s="35" t="str">
        <f t="shared" si="6"/>
        <v/>
      </c>
      <c r="I406" s="29"/>
      <c r="K406" s="36" t="str">
        <f>IF(ISNUMBER($D406),IF(YEAR($D406)=대시보드!$C$2,$D406+ROW()/100000,""),"")</f>
        <v/>
      </c>
    </row>
    <row r="407" spans="1:11">
      <c r="A407" s="33"/>
      <c r="B407" s="29"/>
      <c r="C407" s="29"/>
      <c r="D407" s="30"/>
      <c r="E407" s="30"/>
      <c r="F407" s="35"/>
      <c r="G407" s="35"/>
      <c r="H407" s="35" t="str">
        <f t="shared" si="6"/>
        <v/>
      </c>
      <c r="I407" s="29"/>
      <c r="K407" s="36" t="str">
        <f>IF(ISNUMBER($D407),IF(YEAR($D407)=대시보드!$C$2,$D407+ROW()/100000,""),"")</f>
        <v/>
      </c>
    </row>
    <row r="408" spans="1:11">
      <c r="A408" s="33"/>
      <c r="B408" s="29"/>
      <c r="C408" s="29"/>
      <c r="D408" s="30"/>
      <c r="E408" s="30"/>
      <c r="F408" s="35"/>
      <c r="G408" s="35"/>
      <c r="H408" s="35" t="str">
        <f t="shared" si="6"/>
        <v/>
      </c>
      <c r="I408" s="29"/>
      <c r="K408" s="36" t="str">
        <f>IF(ISNUMBER($D408),IF(YEAR($D408)=대시보드!$C$2,$D408+ROW()/100000,""),"")</f>
        <v/>
      </c>
    </row>
    <row r="409" spans="1:11">
      <c r="A409" s="33"/>
      <c r="B409" s="29"/>
      <c r="C409" s="29"/>
      <c r="D409" s="30"/>
      <c r="E409" s="30"/>
      <c r="F409" s="35"/>
      <c r="G409" s="35"/>
      <c r="H409" s="35" t="str">
        <f t="shared" si="6"/>
        <v/>
      </c>
      <c r="I409" s="29"/>
      <c r="K409" s="36" t="str">
        <f>IF(ISNUMBER($D409),IF(YEAR($D409)=대시보드!$C$2,$D409+ROW()/100000,""),"")</f>
        <v/>
      </c>
    </row>
    <row r="410" spans="1:11">
      <c r="A410" s="33"/>
      <c r="B410" s="29"/>
      <c r="C410" s="29"/>
      <c r="D410" s="30"/>
      <c r="E410" s="30"/>
      <c r="F410" s="35"/>
      <c r="G410" s="35"/>
      <c r="H410" s="35" t="str">
        <f t="shared" si="6"/>
        <v/>
      </c>
      <c r="I410" s="29"/>
      <c r="K410" s="36" t="str">
        <f>IF(ISNUMBER($D410),IF(YEAR($D410)=대시보드!$C$2,$D410+ROW()/100000,""),"")</f>
        <v/>
      </c>
    </row>
    <row r="411" spans="1:11">
      <c r="A411" s="33"/>
      <c r="B411" s="29"/>
      <c r="C411" s="29"/>
      <c r="D411" s="30"/>
      <c r="E411" s="30"/>
      <c r="F411" s="35"/>
      <c r="G411" s="35"/>
      <c r="H411" s="35" t="str">
        <f t="shared" si="6"/>
        <v/>
      </c>
      <c r="I411" s="29"/>
      <c r="K411" s="36" t="str">
        <f>IF(ISNUMBER($D411),IF(YEAR($D411)=대시보드!$C$2,$D411+ROW()/100000,""),"")</f>
        <v/>
      </c>
    </row>
    <row r="412" spans="1:11">
      <c r="A412" s="33"/>
      <c r="B412" s="29"/>
      <c r="C412" s="29"/>
      <c r="D412" s="30"/>
      <c r="E412" s="30"/>
      <c r="F412" s="35"/>
      <c r="G412" s="35"/>
      <c r="H412" s="35" t="str">
        <f t="shared" si="6"/>
        <v/>
      </c>
      <c r="I412" s="29"/>
      <c r="K412" s="36" t="str">
        <f>IF(ISNUMBER($D412),IF(YEAR($D412)=대시보드!$C$2,$D412+ROW()/100000,""),"")</f>
        <v/>
      </c>
    </row>
    <row r="413" spans="1:11">
      <c r="A413" s="33"/>
      <c r="B413" s="29"/>
      <c r="C413" s="29"/>
      <c r="D413" s="30"/>
      <c r="E413" s="30"/>
      <c r="F413" s="35"/>
      <c r="G413" s="35"/>
      <c r="H413" s="35" t="str">
        <f t="shared" si="6"/>
        <v/>
      </c>
      <c r="I413" s="29"/>
      <c r="K413" s="36" t="str">
        <f>IF(ISNUMBER($D413),IF(YEAR($D413)=대시보드!$C$2,$D413+ROW()/100000,""),"")</f>
        <v/>
      </c>
    </row>
    <row r="414" spans="1:11">
      <c r="A414" s="33"/>
      <c r="B414" s="29"/>
      <c r="C414" s="29"/>
      <c r="D414" s="30"/>
      <c r="E414" s="30"/>
      <c r="F414" s="35"/>
      <c r="G414" s="35"/>
      <c r="H414" s="35" t="str">
        <f t="shared" si="6"/>
        <v/>
      </c>
      <c r="I414" s="29"/>
      <c r="K414" s="36" t="str">
        <f>IF(ISNUMBER($D414),IF(YEAR($D414)=대시보드!$C$2,$D414+ROW()/100000,""),"")</f>
        <v/>
      </c>
    </row>
    <row r="415" spans="1:11">
      <c r="A415" s="33"/>
      <c r="B415" s="29"/>
      <c r="C415" s="29"/>
      <c r="D415" s="30"/>
      <c r="E415" s="30"/>
      <c r="F415" s="35"/>
      <c r="G415" s="35"/>
      <c r="H415" s="35" t="str">
        <f t="shared" si="6"/>
        <v/>
      </c>
      <c r="I415" s="29"/>
      <c r="K415" s="36" t="str">
        <f>IF(ISNUMBER($D415),IF(YEAR($D415)=대시보드!$C$2,$D415+ROW()/100000,""),"")</f>
        <v/>
      </c>
    </row>
    <row r="416" spans="1:11">
      <c r="A416" s="33"/>
      <c r="B416" s="29"/>
      <c r="C416" s="29"/>
      <c r="D416" s="30"/>
      <c r="E416" s="30"/>
      <c r="F416" s="35"/>
      <c r="G416" s="35"/>
      <c r="H416" s="35" t="str">
        <f t="shared" si="6"/>
        <v/>
      </c>
      <c r="I416" s="29"/>
      <c r="K416" s="36" t="str">
        <f>IF(ISNUMBER($D416),IF(YEAR($D416)=대시보드!$C$2,$D416+ROW()/100000,""),"")</f>
        <v/>
      </c>
    </row>
    <row r="417" spans="1:11">
      <c r="A417" s="33"/>
      <c r="B417" s="29"/>
      <c r="C417" s="29"/>
      <c r="D417" s="30"/>
      <c r="E417" s="30"/>
      <c r="F417" s="35"/>
      <c r="G417" s="35"/>
      <c r="H417" s="35" t="str">
        <f t="shared" si="6"/>
        <v/>
      </c>
      <c r="I417" s="29"/>
      <c r="K417" s="36" t="str">
        <f>IF(ISNUMBER($D417),IF(YEAR($D417)=대시보드!$C$2,$D417+ROW()/100000,""),"")</f>
        <v/>
      </c>
    </row>
    <row r="418" spans="1:11">
      <c r="A418" s="33"/>
      <c r="B418" s="29"/>
      <c r="C418" s="29"/>
      <c r="D418" s="30"/>
      <c r="E418" s="30"/>
      <c r="F418" s="35"/>
      <c r="G418" s="35"/>
      <c r="H418" s="35" t="str">
        <f t="shared" si="6"/>
        <v/>
      </c>
      <c r="I418" s="29"/>
      <c r="K418" s="36" t="str">
        <f>IF(ISNUMBER($D418),IF(YEAR($D418)=대시보드!$C$2,$D418+ROW()/100000,""),"")</f>
        <v/>
      </c>
    </row>
    <row r="419" spans="1:11">
      <c r="A419" s="33"/>
      <c r="B419" s="29"/>
      <c r="C419" s="29"/>
      <c r="D419" s="30"/>
      <c r="E419" s="30"/>
      <c r="F419" s="35"/>
      <c r="G419" s="35"/>
      <c r="H419" s="35" t="str">
        <f t="shared" si="6"/>
        <v/>
      </c>
      <c r="I419" s="29"/>
      <c r="K419" s="36" t="str">
        <f>IF(ISNUMBER($D419),IF(YEAR($D419)=대시보드!$C$2,$D419+ROW()/100000,""),"")</f>
        <v/>
      </c>
    </row>
    <row r="420" spans="1:11">
      <c r="A420" s="33"/>
      <c r="B420" s="29"/>
      <c r="C420" s="29"/>
      <c r="D420" s="30"/>
      <c r="E420" s="30"/>
      <c r="F420" s="35"/>
      <c r="G420" s="35"/>
      <c r="H420" s="35" t="str">
        <f t="shared" si="6"/>
        <v/>
      </c>
      <c r="I420" s="29"/>
      <c r="K420" s="36" t="str">
        <f>IF(ISNUMBER($D420),IF(YEAR($D420)=대시보드!$C$2,$D420+ROW()/100000,""),"")</f>
        <v/>
      </c>
    </row>
    <row r="421" spans="1:11">
      <c r="A421" s="33"/>
      <c r="B421" s="29"/>
      <c r="C421" s="29"/>
      <c r="D421" s="30"/>
      <c r="E421" s="30"/>
      <c r="F421" s="35"/>
      <c r="G421" s="35"/>
      <c r="H421" s="35" t="str">
        <f t="shared" si="6"/>
        <v/>
      </c>
      <c r="I421" s="29"/>
      <c r="K421" s="36" t="str">
        <f>IF(ISNUMBER($D421),IF(YEAR($D421)=대시보드!$C$2,$D421+ROW()/100000,""),"")</f>
        <v/>
      </c>
    </row>
    <row r="422" spans="1:11">
      <c r="A422" s="33"/>
      <c r="B422" s="29"/>
      <c r="C422" s="29"/>
      <c r="D422" s="30"/>
      <c r="E422" s="30"/>
      <c r="F422" s="35"/>
      <c r="G422" s="35"/>
      <c r="H422" s="35" t="str">
        <f t="shared" si="6"/>
        <v/>
      </c>
      <c r="I422" s="29"/>
      <c r="K422" s="36" t="str">
        <f>IF(ISNUMBER($D422),IF(YEAR($D422)=대시보드!$C$2,$D422+ROW()/100000,""),"")</f>
        <v/>
      </c>
    </row>
    <row r="423" spans="1:11">
      <c r="A423" s="33"/>
      <c r="B423" s="29"/>
      <c r="C423" s="29"/>
      <c r="D423" s="30"/>
      <c r="E423" s="30"/>
      <c r="F423" s="35"/>
      <c r="G423" s="35"/>
      <c r="H423" s="35" t="str">
        <f t="shared" si="6"/>
        <v/>
      </c>
      <c r="I423" s="29"/>
      <c r="K423" s="36" t="str">
        <f>IF(ISNUMBER($D423),IF(YEAR($D423)=대시보드!$C$2,$D423+ROW()/100000,""),"")</f>
        <v/>
      </c>
    </row>
    <row r="424" spans="1:11">
      <c r="A424" s="33"/>
      <c r="B424" s="29"/>
      <c r="C424" s="29"/>
      <c r="D424" s="30"/>
      <c r="E424" s="30"/>
      <c r="F424" s="35"/>
      <c r="G424" s="35"/>
      <c r="H424" s="35" t="str">
        <f t="shared" si="6"/>
        <v/>
      </c>
      <c r="I424" s="29"/>
      <c r="K424" s="36" t="str">
        <f>IF(ISNUMBER($D424),IF(YEAR($D424)=대시보드!$C$2,$D424+ROW()/100000,""),"")</f>
        <v/>
      </c>
    </row>
    <row r="425" spans="1:11">
      <c r="A425" s="33"/>
      <c r="B425" s="29"/>
      <c r="C425" s="29"/>
      <c r="D425" s="30"/>
      <c r="E425" s="30"/>
      <c r="F425" s="35"/>
      <c r="G425" s="35"/>
      <c r="H425" s="35" t="str">
        <f t="shared" si="6"/>
        <v/>
      </c>
      <c r="I425" s="29"/>
      <c r="K425" s="36" t="str">
        <f>IF(ISNUMBER($D425),IF(YEAR($D425)=대시보드!$C$2,$D425+ROW()/100000,""),"")</f>
        <v/>
      </c>
    </row>
    <row r="426" spans="1:11">
      <c r="A426" s="33"/>
      <c r="B426" s="29"/>
      <c r="C426" s="29"/>
      <c r="D426" s="30"/>
      <c r="E426" s="30"/>
      <c r="F426" s="35"/>
      <c r="G426" s="35"/>
      <c r="H426" s="35" t="str">
        <f t="shared" si="6"/>
        <v/>
      </c>
      <c r="I426" s="29"/>
      <c r="K426" s="36" t="str">
        <f>IF(ISNUMBER($D426),IF(YEAR($D426)=대시보드!$C$2,$D426+ROW()/100000,""),"")</f>
        <v/>
      </c>
    </row>
    <row r="427" spans="1:11">
      <c r="A427" s="33"/>
      <c r="B427" s="29"/>
      <c r="C427" s="29"/>
      <c r="D427" s="30"/>
      <c r="E427" s="30"/>
      <c r="F427" s="35"/>
      <c r="G427" s="35"/>
      <c r="H427" s="35" t="str">
        <f t="shared" si="6"/>
        <v/>
      </c>
      <c r="I427" s="29"/>
      <c r="K427" s="36" t="str">
        <f>IF(ISNUMBER($D427),IF(YEAR($D427)=대시보드!$C$2,$D427+ROW()/100000,""),"")</f>
        <v/>
      </c>
    </row>
    <row r="428" spans="1:11">
      <c r="A428" s="33"/>
      <c r="B428" s="29"/>
      <c r="C428" s="29"/>
      <c r="D428" s="30"/>
      <c r="E428" s="30"/>
      <c r="F428" s="35"/>
      <c r="G428" s="35"/>
      <c r="H428" s="35" t="str">
        <f t="shared" si="6"/>
        <v/>
      </c>
      <c r="I428" s="29"/>
      <c r="K428" s="36" t="str">
        <f>IF(ISNUMBER($D428),IF(YEAR($D428)=대시보드!$C$2,$D428+ROW()/100000,""),"")</f>
        <v/>
      </c>
    </row>
    <row r="429" spans="1:11">
      <c r="A429" s="33"/>
      <c r="B429" s="29"/>
      <c r="C429" s="29"/>
      <c r="D429" s="30"/>
      <c r="E429" s="30"/>
      <c r="F429" s="35"/>
      <c r="G429" s="35"/>
      <c r="H429" s="35" t="str">
        <f t="shared" si="6"/>
        <v/>
      </c>
      <c r="I429" s="29"/>
      <c r="K429" s="36" t="str">
        <f>IF(ISNUMBER($D429),IF(YEAR($D429)=대시보드!$C$2,$D429+ROW()/100000,""),"")</f>
        <v/>
      </c>
    </row>
    <row r="430" spans="1:11">
      <c r="A430" s="33"/>
      <c r="B430" s="29"/>
      <c r="C430" s="29"/>
      <c r="D430" s="30"/>
      <c r="E430" s="30"/>
      <c r="F430" s="35"/>
      <c r="G430" s="35"/>
      <c r="H430" s="35" t="str">
        <f t="shared" si="6"/>
        <v/>
      </c>
      <c r="I430" s="29"/>
      <c r="K430" s="36" t="str">
        <f>IF(ISNUMBER($D430),IF(YEAR($D430)=대시보드!$C$2,$D430+ROW()/100000,""),"")</f>
        <v/>
      </c>
    </row>
    <row r="431" spans="1:11">
      <c r="A431" s="33"/>
      <c r="B431" s="29"/>
      <c r="C431" s="29"/>
      <c r="D431" s="30"/>
      <c r="E431" s="30"/>
      <c r="F431" s="35"/>
      <c r="G431" s="35"/>
      <c r="H431" s="35" t="str">
        <f t="shared" si="6"/>
        <v/>
      </c>
      <c r="I431" s="29"/>
      <c r="K431" s="36" t="str">
        <f>IF(ISNUMBER($D431),IF(YEAR($D431)=대시보드!$C$2,$D431+ROW()/100000,""),"")</f>
        <v/>
      </c>
    </row>
    <row r="432" spans="1:11">
      <c r="A432" s="33"/>
      <c r="B432" s="29"/>
      <c r="C432" s="29"/>
      <c r="D432" s="30"/>
      <c r="E432" s="30"/>
      <c r="F432" s="35"/>
      <c r="G432" s="35"/>
      <c r="H432" s="35" t="str">
        <f t="shared" si="6"/>
        <v/>
      </c>
      <c r="I432" s="29"/>
      <c r="K432" s="36" t="str">
        <f>IF(ISNUMBER($D432),IF(YEAR($D432)=대시보드!$C$2,$D432+ROW()/100000,""),"")</f>
        <v/>
      </c>
    </row>
    <row r="433" spans="1:11">
      <c r="A433" s="33"/>
      <c r="B433" s="29"/>
      <c r="C433" s="29"/>
      <c r="D433" s="30"/>
      <c r="E433" s="30"/>
      <c r="F433" s="35"/>
      <c r="G433" s="35"/>
      <c r="H433" s="35" t="str">
        <f t="shared" si="6"/>
        <v/>
      </c>
      <c r="I433" s="29"/>
      <c r="K433" s="36" t="str">
        <f>IF(ISNUMBER($D433),IF(YEAR($D433)=대시보드!$C$2,$D433+ROW()/100000,""),"")</f>
        <v/>
      </c>
    </row>
    <row r="434" spans="1:11">
      <c r="A434" s="33"/>
      <c r="B434" s="29"/>
      <c r="C434" s="29"/>
      <c r="D434" s="30"/>
      <c r="E434" s="30"/>
      <c r="F434" s="35"/>
      <c r="G434" s="35"/>
      <c r="H434" s="35" t="str">
        <f t="shared" si="6"/>
        <v/>
      </c>
      <c r="I434" s="29"/>
      <c r="K434" s="36" t="str">
        <f>IF(ISNUMBER($D434),IF(YEAR($D434)=대시보드!$C$2,$D434+ROW()/100000,""),"")</f>
        <v/>
      </c>
    </row>
    <row r="435" spans="1:11">
      <c r="A435" s="33"/>
      <c r="B435" s="29"/>
      <c r="C435" s="29"/>
      <c r="D435" s="30"/>
      <c r="E435" s="30"/>
      <c r="F435" s="35"/>
      <c r="G435" s="35"/>
      <c r="H435" s="35" t="str">
        <f t="shared" si="6"/>
        <v/>
      </c>
      <c r="I435" s="29"/>
      <c r="K435" s="36" t="str">
        <f>IF(ISNUMBER($D435),IF(YEAR($D435)=대시보드!$C$2,$D435+ROW()/100000,""),"")</f>
        <v/>
      </c>
    </row>
    <row r="436" spans="1:11">
      <c r="A436" s="33"/>
      <c r="B436" s="29"/>
      <c r="C436" s="29"/>
      <c r="D436" s="30"/>
      <c r="E436" s="30"/>
      <c r="F436" s="35"/>
      <c r="G436" s="35"/>
      <c r="H436" s="35" t="str">
        <f t="shared" si="6"/>
        <v/>
      </c>
      <c r="I436" s="29"/>
      <c r="K436" s="36" t="str">
        <f>IF(ISNUMBER($D436),IF(YEAR($D436)=대시보드!$C$2,$D436+ROW()/100000,""),"")</f>
        <v/>
      </c>
    </row>
    <row r="437" spans="1:11">
      <c r="A437" s="33"/>
      <c r="B437" s="29"/>
      <c r="C437" s="29"/>
      <c r="D437" s="30"/>
      <c r="E437" s="30"/>
      <c r="F437" s="35"/>
      <c r="G437" s="35"/>
      <c r="H437" s="35" t="str">
        <f t="shared" si="6"/>
        <v/>
      </c>
      <c r="I437" s="29"/>
      <c r="K437" s="36" t="str">
        <f>IF(ISNUMBER($D437),IF(YEAR($D437)=대시보드!$C$2,$D437+ROW()/100000,""),"")</f>
        <v/>
      </c>
    </row>
    <row r="438" spans="1:11">
      <c r="A438" s="33"/>
      <c r="B438" s="29"/>
      <c r="C438" s="29"/>
      <c r="D438" s="30"/>
      <c r="E438" s="30"/>
      <c r="F438" s="35"/>
      <c r="G438" s="35"/>
      <c r="H438" s="35" t="str">
        <f t="shared" si="6"/>
        <v/>
      </c>
      <c r="I438" s="29"/>
      <c r="K438" s="36" t="str">
        <f>IF(ISNUMBER($D438),IF(YEAR($D438)=대시보드!$C$2,$D438+ROW()/100000,""),"")</f>
        <v/>
      </c>
    </row>
    <row r="439" spans="1:11">
      <c r="A439" s="33"/>
      <c r="B439" s="29"/>
      <c r="C439" s="29"/>
      <c r="D439" s="30"/>
      <c r="E439" s="30"/>
      <c r="F439" s="35"/>
      <c r="G439" s="35"/>
      <c r="H439" s="35" t="str">
        <f t="shared" si="6"/>
        <v/>
      </c>
      <c r="I439" s="29"/>
      <c r="K439" s="36" t="str">
        <f>IF(ISNUMBER($D439),IF(YEAR($D439)=대시보드!$C$2,$D439+ROW()/100000,""),"")</f>
        <v/>
      </c>
    </row>
    <row r="440" spans="1:11">
      <c r="A440" s="33"/>
      <c r="B440" s="29"/>
      <c r="C440" s="29"/>
      <c r="D440" s="30"/>
      <c r="E440" s="30"/>
      <c r="F440" s="35"/>
      <c r="G440" s="35"/>
      <c r="H440" s="35" t="str">
        <f t="shared" si="6"/>
        <v/>
      </c>
      <c r="I440" s="29"/>
      <c r="K440" s="36" t="str">
        <f>IF(ISNUMBER($D440),IF(YEAR($D440)=대시보드!$C$2,$D440+ROW()/100000,""),"")</f>
        <v/>
      </c>
    </row>
    <row r="441" spans="1:11">
      <c r="A441" s="33"/>
      <c r="B441" s="29"/>
      <c r="C441" s="29"/>
      <c r="D441" s="30"/>
      <c r="E441" s="30"/>
      <c r="F441" s="35"/>
      <c r="G441" s="35"/>
      <c r="H441" s="35" t="str">
        <f t="shared" si="6"/>
        <v/>
      </c>
      <c r="I441" s="29"/>
      <c r="K441" s="36" t="str">
        <f>IF(ISNUMBER($D441),IF(YEAR($D441)=대시보드!$C$2,$D441+ROW()/100000,""),"")</f>
        <v/>
      </c>
    </row>
    <row r="442" spans="1:11">
      <c r="A442" s="33"/>
      <c r="B442" s="29"/>
      <c r="C442" s="29"/>
      <c r="D442" s="30"/>
      <c r="E442" s="30"/>
      <c r="F442" s="35"/>
      <c r="G442" s="35"/>
      <c r="H442" s="35" t="str">
        <f t="shared" si="6"/>
        <v/>
      </c>
      <c r="I442" s="29"/>
      <c r="K442" s="36" t="str">
        <f>IF(ISNUMBER($D442),IF(YEAR($D442)=대시보드!$C$2,$D442+ROW()/100000,""),"")</f>
        <v/>
      </c>
    </row>
    <row r="443" spans="1:11">
      <c r="A443" s="33"/>
      <c r="B443" s="29"/>
      <c r="C443" s="29"/>
      <c r="D443" s="30"/>
      <c r="E443" s="30"/>
      <c r="F443" s="35"/>
      <c r="G443" s="35"/>
      <c r="H443" s="35" t="str">
        <f t="shared" si="6"/>
        <v/>
      </c>
      <c r="I443" s="29"/>
      <c r="K443" s="36" t="str">
        <f>IF(ISNUMBER($D443),IF(YEAR($D443)=대시보드!$C$2,$D443+ROW()/100000,""),"")</f>
        <v/>
      </c>
    </row>
    <row r="444" spans="1:11">
      <c r="A444" s="33"/>
      <c r="B444" s="29"/>
      <c r="C444" s="29"/>
      <c r="D444" s="30"/>
      <c r="E444" s="30"/>
      <c r="F444" s="35"/>
      <c r="G444" s="35"/>
      <c r="H444" s="35" t="str">
        <f t="shared" si="6"/>
        <v/>
      </c>
      <c r="I444" s="29"/>
      <c r="K444" s="36" t="str">
        <f>IF(ISNUMBER($D444),IF(YEAR($D444)=대시보드!$C$2,$D444+ROW()/100000,""),"")</f>
        <v/>
      </c>
    </row>
    <row r="445" spans="1:11">
      <c r="A445" s="33"/>
      <c r="B445" s="29"/>
      <c r="C445" s="29"/>
      <c r="D445" s="30"/>
      <c r="E445" s="30"/>
      <c r="F445" s="35"/>
      <c r="G445" s="35"/>
      <c r="H445" s="35" t="str">
        <f t="shared" si="6"/>
        <v/>
      </c>
      <c r="I445" s="29"/>
      <c r="K445" s="36" t="str">
        <f>IF(ISNUMBER($D445),IF(YEAR($D445)=대시보드!$C$2,$D445+ROW()/100000,""),"")</f>
        <v/>
      </c>
    </row>
    <row r="446" spans="1:11">
      <c r="A446" s="33"/>
      <c r="B446" s="29"/>
      <c r="C446" s="29"/>
      <c r="D446" s="30"/>
      <c r="E446" s="30"/>
      <c r="F446" s="35"/>
      <c r="G446" s="35"/>
      <c r="H446" s="35" t="str">
        <f t="shared" si="6"/>
        <v/>
      </c>
      <c r="I446" s="29"/>
      <c r="K446" s="36" t="str">
        <f>IF(ISNUMBER($D446),IF(YEAR($D446)=대시보드!$C$2,$D446+ROW()/100000,""),"")</f>
        <v/>
      </c>
    </row>
    <row r="447" spans="1:11">
      <c r="A447" s="33"/>
      <c r="B447" s="29"/>
      <c r="C447" s="29"/>
      <c r="D447" s="30"/>
      <c r="E447" s="30"/>
      <c r="F447" s="35"/>
      <c r="G447" s="35"/>
      <c r="H447" s="35" t="str">
        <f t="shared" si="6"/>
        <v/>
      </c>
      <c r="I447" s="29"/>
      <c r="K447" s="36" t="str">
        <f>IF(ISNUMBER($D447),IF(YEAR($D447)=대시보드!$C$2,$D447+ROW()/100000,""),"")</f>
        <v/>
      </c>
    </row>
    <row r="448" spans="1:11">
      <c r="A448" s="33"/>
      <c r="B448" s="29"/>
      <c r="C448" s="29"/>
      <c r="D448" s="30"/>
      <c r="E448" s="30"/>
      <c r="F448" s="35"/>
      <c r="G448" s="35"/>
      <c r="H448" s="35" t="str">
        <f t="shared" si="6"/>
        <v/>
      </c>
      <c r="I448" s="29"/>
      <c r="K448" s="36" t="str">
        <f>IF(ISNUMBER($D448),IF(YEAR($D448)=대시보드!$C$2,$D448+ROW()/100000,""),"")</f>
        <v/>
      </c>
    </row>
    <row r="449" spans="1:11">
      <c r="A449" s="33"/>
      <c r="B449" s="29"/>
      <c r="C449" s="29"/>
      <c r="D449" s="30"/>
      <c r="E449" s="30"/>
      <c r="F449" s="35"/>
      <c r="G449" s="35"/>
      <c r="H449" s="35" t="str">
        <f t="shared" si="6"/>
        <v/>
      </c>
      <c r="I449" s="29"/>
      <c r="K449" s="36" t="str">
        <f>IF(ISNUMBER($D449),IF(YEAR($D449)=대시보드!$C$2,$D449+ROW()/100000,""),"")</f>
        <v/>
      </c>
    </row>
    <row r="450" spans="1:11">
      <c r="A450" s="33"/>
      <c r="B450" s="29"/>
      <c r="C450" s="29"/>
      <c r="D450" s="30"/>
      <c r="E450" s="30"/>
      <c r="F450" s="35"/>
      <c r="G450" s="35"/>
      <c r="H450" s="35" t="str">
        <f t="shared" si="6"/>
        <v/>
      </c>
      <c r="I450" s="29"/>
      <c r="K450" s="36" t="str">
        <f>IF(ISNUMBER($D450),IF(YEAR($D450)=대시보드!$C$2,$D450+ROW()/100000,""),"")</f>
        <v/>
      </c>
    </row>
    <row r="451" spans="1:11">
      <c r="A451" s="33"/>
      <c r="B451" s="29"/>
      <c r="C451" s="29"/>
      <c r="D451" s="30"/>
      <c r="E451" s="30"/>
      <c r="F451" s="35"/>
      <c r="G451" s="35"/>
      <c r="H451" s="35" t="str">
        <f t="shared" si="6"/>
        <v/>
      </c>
      <c r="I451" s="29"/>
      <c r="K451" s="36" t="str">
        <f>IF(ISNUMBER($D451),IF(YEAR($D451)=대시보드!$C$2,$D451+ROW()/100000,""),"")</f>
        <v/>
      </c>
    </row>
    <row r="452" spans="1:11">
      <c r="A452" s="33"/>
      <c r="B452" s="29"/>
      <c r="C452" s="29"/>
      <c r="D452" s="30"/>
      <c r="E452" s="30"/>
      <c r="F452" s="35"/>
      <c r="G452" s="35"/>
      <c r="H452" s="35" t="str">
        <f t="shared" ref="H452:H515" si="7">IF(F452="","",F452-G452)</f>
        <v/>
      </c>
      <c r="I452" s="29"/>
      <c r="K452" s="36" t="str">
        <f>IF(ISNUMBER($D452),IF(YEAR($D452)=대시보드!$C$2,$D452+ROW()/100000,""),"")</f>
        <v/>
      </c>
    </row>
    <row r="453" spans="1:11">
      <c r="A453" s="33"/>
      <c r="B453" s="29"/>
      <c r="C453" s="29"/>
      <c r="D453" s="30"/>
      <c r="E453" s="30"/>
      <c r="F453" s="35"/>
      <c r="G453" s="35"/>
      <c r="H453" s="35" t="str">
        <f t="shared" si="7"/>
        <v/>
      </c>
      <c r="I453" s="29"/>
      <c r="K453" s="36" t="str">
        <f>IF(ISNUMBER($D453),IF(YEAR($D453)=대시보드!$C$2,$D453+ROW()/100000,""),"")</f>
        <v/>
      </c>
    </row>
    <row r="454" spans="1:11">
      <c r="A454" s="33"/>
      <c r="B454" s="29"/>
      <c r="C454" s="29"/>
      <c r="D454" s="30"/>
      <c r="E454" s="30"/>
      <c r="F454" s="35"/>
      <c r="G454" s="35"/>
      <c r="H454" s="35" t="str">
        <f t="shared" si="7"/>
        <v/>
      </c>
      <c r="I454" s="29"/>
      <c r="K454" s="36" t="str">
        <f>IF(ISNUMBER($D454),IF(YEAR($D454)=대시보드!$C$2,$D454+ROW()/100000,""),"")</f>
        <v/>
      </c>
    </row>
    <row r="455" spans="1:11">
      <c r="A455" s="33"/>
      <c r="B455" s="29"/>
      <c r="C455" s="29"/>
      <c r="D455" s="30"/>
      <c r="E455" s="30"/>
      <c r="F455" s="35"/>
      <c r="G455" s="35"/>
      <c r="H455" s="35" t="str">
        <f t="shared" si="7"/>
        <v/>
      </c>
      <c r="I455" s="29"/>
      <c r="K455" s="36" t="str">
        <f>IF(ISNUMBER($D455),IF(YEAR($D455)=대시보드!$C$2,$D455+ROW()/100000,""),"")</f>
        <v/>
      </c>
    </row>
    <row r="456" spans="1:11">
      <c r="A456" s="33"/>
      <c r="B456" s="29"/>
      <c r="C456" s="29"/>
      <c r="D456" s="30"/>
      <c r="E456" s="30"/>
      <c r="F456" s="35"/>
      <c r="G456" s="35"/>
      <c r="H456" s="35" t="str">
        <f t="shared" si="7"/>
        <v/>
      </c>
      <c r="I456" s="29"/>
      <c r="K456" s="36" t="str">
        <f>IF(ISNUMBER($D456),IF(YEAR($D456)=대시보드!$C$2,$D456+ROW()/100000,""),"")</f>
        <v/>
      </c>
    </row>
    <row r="457" spans="1:11">
      <c r="A457" s="33"/>
      <c r="B457" s="29"/>
      <c r="C457" s="29"/>
      <c r="D457" s="30"/>
      <c r="E457" s="30"/>
      <c r="F457" s="35"/>
      <c r="G457" s="35"/>
      <c r="H457" s="35" t="str">
        <f t="shared" si="7"/>
        <v/>
      </c>
      <c r="I457" s="29"/>
      <c r="K457" s="36" t="str">
        <f>IF(ISNUMBER($D457),IF(YEAR($D457)=대시보드!$C$2,$D457+ROW()/100000,""),"")</f>
        <v/>
      </c>
    </row>
    <row r="458" spans="1:11">
      <c r="A458" s="33"/>
      <c r="B458" s="29"/>
      <c r="C458" s="29"/>
      <c r="D458" s="30"/>
      <c r="E458" s="30"/>
      <c r="F458" s="35"/>
      <c r="G458" s="35"/>
      <c r="H458" s="35" t="str">
        <f t="shared" si="7"/>
        <v/>
      </c>
      <c r="I458" s="29"/>
      <c r="K458" s="36" t="str">
        <f>IF(ISNUMBER($D458),IF(YEAR($D458)=대시보드!$C$2,$D458+ROW()/100000,""),"")</f>
        <v/>
      </c>
    </row>
    <row r="459" spans="1:11">
      <c r="A459" s="33"/>
      <c r="B459" s="29"/>
      <c r="C459" s="29"/>
      <c r="D459" s="30"/>
      <c r="E459" s="30"/>
      <c r="F459" s="35"/>
      <c r="G459" s="35"/>
      <c r="H459" s="35" t="str">
        <f t="shared" si="7"/>
        <v/>
      </c>
      <c r="I459" s="29"/>
      <c r="K459" s="36" t="str">
        <f>IF(ISNUMBER($D459),IF(YEAR($D459)=대시보드!$C$2,$D459+ROW()/100000,""),"")</f>
        <v/>
      </c>
    </row>
    <row r="460" spans="1:11">
      <c r="A460" s="33"/>
      <c r="B460" s="29"/>
      <c r="C460" s="29"/>
      <c r="D460" s="30"/>
      <c r="E460" s="30"/>
      <c r="F460" s="35"/>
      <c r="G460" s="35"/>
      <c r="H460" s="35" t="str">
        <f t="shared" si="7"/>
        <v/>
      </c>
      <c r="I460" s="29"/>
      <c r="K460" s="36" t="str">
        <f>IF(ISNUMBER($D460),IF(YEAR($D460)=대시보드!$C$2,$D460+ROW()/100000,""),"")</f>
        <v/>
      </c>
    </row>
    <row r="461" spans="1:11">
      <c r="A461" s="33"/>
      <c r="B461" s="29"/>
      <c r="C461" s="29"/>
      <c r="D461" s="30"/>
      <c r="E461" s="30"/>
      <c r="F461" s="35"/>
      <c r="G461" s="35"/>
      <c r="H461" s="35" t="str">
        <f t="shared" si="7"/>
        <v/>
      </c>
      <c r="I461" s="29"/>
      <c r="K461" s="36" t="str">
        <f>IF(ISNUMBER($D461),IF(YEAR($D461)=대시보드!$C$2,$D461+ROW()/100000,""),"")</f>
        <v/>
      </c>
    </row>
    <row r="462" spans="1:11">
      <c r="A462" s="33"/>
      <c r="B462" s="29"/>
      <c r="C462" s="29"/>
      <c r="D462" s="30"/>
      <c r="E462" s="30"/>
      <c r="F462" s="35"/>
      <c r="G462" s="35"/>
      <c r="H462" s="35" t="str">
        <f t="shared" si="7"/>
        <v/>
      </c>
      <c r="I462" s="29"/>
      <c r="K462" s="36" t="str">
        <f>IF(ISNUMBER($D462),IF(YEAR($D462)=대시보드!$C$2,$D462+ROW()/100000,""),"")</f>
        <v/>
      </c>
    </row>
    <row r="463" spans="1:11">
      <c r="A463" s="33"/>
      <c r="B463" s="29"/>
      <c r="C463" s="29"/>
      <c r="D463" s="30"/>
      <c r="E463" s="30"/>
      <c r="F463" s="35"/>
      <c r="G463" s="35"/>
      <c r="H463" s="35" t="str">
        <f t="shared" si="7"/>
        <v/>
      </c>
      <c r="I463" s="29"/>
      <c r="K463" s="36" t="str">
        <f>IF(ISNUMBER($D463),IF(YEAR($D463)=대시보드!$C$2,$D463+ROW()/100000,""),"")</f>
        <v/>
      </c>
    </row>
    <row r="464" spans="1:11">
      <c r="A464" s="33"/>
      <c r="B464" s="29"/>
      <c r="C464" s="29"/>
      <c r="D464" s="30"/>
      <c r="E464" s="30"/>
      <c r="F464" s="35"/>
      <c r="G464" s="35"/>
      <c r="H464" s="35" t="str">
        <f t="shared" si="7"/>
        <v/>
      </c>
      <c r="I464" s="29"/>
      <c r="K464" s="36" t="str">
        <f>IF(ISNUMBER($D464),IF(YEAR($D464)=대시보드!$C$2,$D464+ROW()/100000,""),"")</f>
        <v/>
      </c>
    </row>
    <row r="465" spans="1:11">
      <c r="A465" s="33"/>
      <c r="B465" s="29"/>
      <c r="C465" s="29"/>
      <c r="D465" s="30"/>
      <c r="E465" s="30"/>
      <c r="F465" s="35"/>
      <c r="G465" s="35"/>
      <c r="H465" s="35" t="str">
        <f t="shared" si="7"/>
        <v/>
      </c>
      <c r="I465" s="29"/>
      <c r="K465" s="36" t="str">
        <f>IF(ISNUMBER($D465),IF(YEAR($D465)=대시보드!$C$2,$D465+ROW()/100000,""),"")</f>
        <v/>
      </c>
    </row>
    <row r="466" spans="1:11">
      <c r="A466" s="33"/>
      <c r="B466" s="29"/>
      <c r="C466" s="29"/>
      <c r="D466" s="30"/>
      <c r="E466" s="30"/>
      <c r="F466" s="35"/>
      <c r="G466" s="35"/>
      <c r="H466" s="35" t="str">
        <f t="shared" si="7"/>
        <v/>
      </c>
      <c r="I466" s="29"/>
      <c r="K466" s="36" t="str">
        <f>IF(ISNUMBER($D466),IF(YEAR($D466)=대시보드!$C$2,$D466+ROW()/100000,""),"")</f>
        <v/>
      </c>
    </row>
    <row r="467" spans="1:11">
      <c r="A467" s="33"/>
      <c r="B467" s="29"/>
      <c r="C467" s="29"/>
      <c r="D467" s="30"/>
      <c r="E467" s="30"/>
      <c r="F467" s="35"/>
      <c r="G467" s="35"/>
      <c r="H467" s="35" t="str">
        <f t="shared" si="7"/>
        <v/>
      </c>
      <c r="I467" s="29"/>
      <c r="K467" s="36" t="str">
        <f>IF(ISNUMBER($D467),IF(YEAR($D467)=대시보드!$C$2,$D467+ROW()/100000,""),"")</f>
        <v/>
      </c>
    </row>
    <row r="468" spans="1:11">
      <c r="A468" s="33"/>
      <c r="B468" s="29"/>
      <c r="C468" s="29"/>
      <c r="D468" s="30"/>
      <c r="E468" s="30"/>
      <c r="F468" s="35"/>
      <c r="G468" s="35"/>
      <c r="H468" s="35" t="str">
        <f t="shared" si="7"/>
        <v/>
      </c>
      <c r="I468" s="29"/>
      <c r="K468" s="36" t="str">
        <f>IF(ISNUMBER($D468),IF(YEAR($D468)=대시보드!$C$2,$D468+ROW()/100000,""),"")</f>
        <v/>
      </c>
    </row>
    <row r="469" spans="1:11">
      <c r="A469" s="33"/>
      <c r="B469" s="29"/>
      <c r="C469" s="29"/>
      <c r="D469" s="30"/>
      <c r="E469" s="30"/>
      <c r="F469" s="35"/>
      <c r="G469" s="35"/>
      <c r="H469" s="35" t="str">
        <f t="shared" si="7"/>
        <v/>
      </c>
      <c r="I469" s="29"/>
      <c r="K469" s="36" t="str">
        <f>IF(ISNUMBER($D469),IF(YEAR($D469)=대시보드!$C$2,$D469+ROW()/100000,""),"")</f>
        <v/>
      </c>
    </row>
    <row r="470" spans="1:11">
      <c r="A470" s="33"/>
      <c r="B470" s="29"/>
      <c r="C470" s="29"/>
      <c r="D470" s="30"/>
      <c r="E470" s="30"/>
      <c r="F470" s="35"/>
      <c r="G470" s="35"/>
      <c r="H470" s="35" t="str">
        <f t="shared" si="7"/>
        <v/>
      </c>
      <c r="I470" s="29"/>
      <c r="K470" s="36" t="str">
        <f>IF(ISNUMBER($D470),IF(YEAR($D470)=대시보드!$C$2,$D470+ROW()/100000,""),"")</f>
        <v/>
      </c>
    </row>
    <row r="471" spans="1:11">
      <c r="A471" s="33"/>
      <c r="B471" s="29"/>
      <c r="C471" s="29"/>
      <c r="D471" s="30"/>
      <c r="E471" s="30"/>
      <c r="F471" s="35"/>
      <c r="G471" s="35"/>
      <c r="H471" s="35" t="str">
        <f t="shared" si="7"/>
        <v/>
      </c>
      <c r="I471" s="29"/>
      <c r="K471" s="36" t="str">
        <f>IF(ISNUMBER($D471),IF(YEAR($D471)=대시보드!$C$2,$D471+ROW()/100000,""),"")</f>
        <v/>
      </c>
    </row>
    <row r="472" spans="1:11">
      <c r="A472" s="33"/>
      <c r="B472" s="29"/>
      <c r="C472" s="29"/>
      <c r="D472" s="30"/>
      <c r="E472" s="30"/>
      <c r="F472" s="35"/>
      <c r="G472" s="35"/>
      <c r="H472" s="35" t="str">
        <f t="shared" si="7"/>
        <v/>
      </c>
      <c r="I472" s="29"/>
      <c r="K472" s="36" t="str">
        <f>IF(ISNUMBER($D472),IF(YEAR($D472)=대시보드!$C$2,$D472+ROW()/100000,""),"")</f>
        <v/>
      </c>
    </row>
    <row r="473" spans="1:11">
      <c r="A473" s="33"/>
      <c r="B473" s="29"/>
      <c r="C473" s="29"/>
      <c r="D473" s="30"/>
      <c r="E473" s="30"/>
      <c r="F473" s="35"/>
      <c r="G473" s="35"/>
      <c r="H473" s="35" t="str">
        <f t="shared" si="7"/>
        <v/>
      </c>
      <c r="I473" s="29"/>
      <c r="K473" s="36" t="str">
        <f>IF(ISNUMBER($D473),IF(YEAR($D473)=대시보드!$C$2,$D473+ROW()/100000,""),"")</f>
        <v/>
      </c>
    </row>
    <row r="474" spans="1:11">
      <c r="A474" s="33"/>
      <c r="B474" s="29"/>
      <c r="C474" s="29"/>
      <c r="D474" s="30"/>
      <c r="E474" s="30"/>
      <c r="F474" s="35"/>
      <c r="G474" s="35"/>
      <c r="H474" s="35" t="str">
        <f t="shared" si="7"/>
        <v/>
      </c>
      <c r="I474" s="29"/>
      <c r="K474" s="36" t="str">
        <f>IF(ISNUMBER($D474),IF(YEAR($D474)=대시보드!$C$2,$D474+ROW()/100000,""),"")</f>
        <v/>
      </c>
    </row>
    <row r="475" spans="1:11">
      <c r="A475" s="33"/>
      <c r="B475" s="29"/>
      <c r="C475" s="29"/>
      <c r="D475" s="30"/>
      <c r="E475" s="30"/>
      <c r="F475" s="35"/>
      <c r="G475" s="35"/>
      <c r="H475" s="35" t="str">
        <f t="shared" si="7"/>
        <v/>
      </c>
      <c r="I475" s="29"/>
      <c r="K475" s="36" t="str">
        <f>IF(ISNUMBER($D475),IF(YEAR($D475)=대시보드!$C$2,$D475+ROW()/100000,""),"")</f>
        <v/>
      </c>
    </row>
    <row r="476" spans="1:11">
      <c r="A476" s="33"/>
      <c r="B476" s="29"/>
      <c r="C476" s="29"/>
      <c r="D476" s="30"/>
      <c r="E476" s="30"/>
      <c r="F476" s="35"/>
      <c r="G476" s="35"/>
      <c r="H476" s="35" t="str">
        <f t="shared" si="7"/>
        <v/>
      </c>
      <c r="I476" s="29"/>
      <c r="K476" s="36" t="str">
        <f>IF(ISNUMBER($D476),IF(YEAR($D476)=대시보드!$C$2,$D476+ROW()/100000,""),"")</f>
        <v/>
      </c>
    </row>
    <row r="477" spans="1:11">
      <c r="A477" s="33"/>
      <c r="B477" s="29"/>
      <c r="C477" s="29"/>
      <c r="D477" s="30"/>
      <c r="E477" s="30"/>
      <c r="F477" s="35"/>
      <c r="G477" s="35"/>
      <c r="H477" s="35" t="str">
        <f t="shared" si="7"/>
        <v/>
      </c>
      <c r="I477" s="29"/>
      <c r="K477" s="36" t="str">
        <f>IF(ISNUMBER($D477),IF(YEAR($D477)=대시보드!$C$2,$D477+ROW()/100000,""),"")</f>
        <v/>
      </c>
    </row>
    <row r="478" spans="1:11">
      <c r="A478" s="33"/>
      <c r="B478" s="29"/>
      <c r="C478" s="29"/>
      <c r="D478" s="30"/>
      <c r="E478" s="30"/>
      <c r="F478" s="35"/>
      <c r="G478" s="35"/>
      <c r="H478" s="35" t="str">
        <f t="shared" si="7"/>
        <v/>
      </c>
      <c r="I478" s="29"/>
      <c r="K478" s="36" t="str">
        <f>IF(ISNUMBER($D478),IF(YEAR($D478)=대시보드!$C$2,$D478+ROW()/100000,""),"")</f>
        <v/>
      </c>
    </row>
    <row r="479" spans="1:11">
      <c r="A479" s="33"/>
      <c r="B479" s="29"/>
      <c r="C479" s="29"/>
      <c r="D479" s="30"/>
      <c r="E479" s="30"/>
      <c r="F479" s="35"/>
      <c r="G479" s="35"/>
      <c r="H479" s="35" t="str">
        <f t="shared" si="7"/>
        <v/>
      </c>
      <c r="I479" s="29"/>
      <c r="K479" s="36" t="str">
        <f>IF(ISNUMBER($D479),IF(YEAR($D479)=대시보드!$C$2,$D479+ROW()/100000,""),"")</f>
        <v/>
      </c>
    </row>
    <row r="480" spans="1:11">
      <c r="A480" s="33"/>
      <c r="B480" s="29"/>
      <c r="C480" s="29"/>
      <c r="D480" s="30"/>
      <c r="E480" s="30"/>
      <c r="F480" s="35"/>
      <c r="G480" s="35"/>
      <c r="H480" s="35" t="str">
        <f t="shared" si="7"/>
        <v/>
      </c>
      <c r="I480" s="29"/>
      <c r="K480" s="36" t="str">
        <f>IF(ISNUMBER($D480),IF(YEAR($D480)=대시보드!$C$2,$D480+ROW()/100000,""),"")</f>
        <v/>
      </c>
    </row>
    <row r="481" spans="1:11">
      <c r="A481" s="33"/>
      <c r="B481" s="29"/>
      <c r="C481" s="29"/>
      <c r="D481" s="30"/>
      <c r="E481" s="30"/>
      <c r="F481" s="35"/>
      <c r="G481" s="35"/>
      <c r="H481" s="35" t="str">
        <f t="shared" si="7"/>
        <v/>
      </c>
      <c r="I481" s="29"/>
      <c r="K481" s="36" t="str">
        <f>IF(ISNUMBER($D481),IF(YEAR($D481)=대시보드!$C$2,$D481+ROW()/100000,""),"")</f>
        <v/>
      </c>
    </row>
    <row r="482" spans="1:11">
      <c r="A482" s="33"/>
      <c r="B482" s="29"/>
      <c r="C482" s="29"/>
      <c r="D482" s="30"/>
      <c r="E482" s="30"/>
      <c r="F482" s="35"/>
      <c r="G482" s="35"/>
      <c r="H482" s="35" t="str">
        <f t="shared" si="7"/>
        <v/>
      </c>
      <c r="I482" s="29"/>
      <c r="K482" s="36" t="str">
        <f>IF(ISNUMBER($D482),IF(YEAR($D482)=대시보드!$C$2,$D482+ROW()/100000,""),"")</f>
        <v/>
      </c>
    </row>
    <row r="483" spans="1:11">
      <c r="A483" s="33"/>
      <c r="B483" s="29"/>
      <c r="C483" s="29"/>
      <c r="D483" s="30"/>
      <c r="E483" s="30"/>
      <c r="F483" s="35"/>
      <c r="G483" s="35"/>
      <c r="H483" s="35" t="str">
        <f t="shared" si="7"/>
        <v/>
      </c>
      <c r="I483" s="29"/>
      <c r="K483" s="36" t="str">
        <f>IF(ISNUMBER($D483),IF(YEAR($D483)=대시보드!$C$2,$D483+ROW()/100000,""),"")</f>
        <v/>
      </c>
    </row>
    <row r="484" spans="1:11">
      <c r="A484" s="33"/>
      <c r="B484" s="29"/>
      <c r="C484" s="29"/>
      <c r="D484" s="30"/>
      <c r="E484" s="30"/>
      <c r="F484" s="35"/>
      <c r="G484" s="35"/>
      <c r="H484" s="35" t="str">
        <f t="shared" si="7"/>
        <v/>
      </c>
      <c r="I484" s="29"/>
      <c r="K484" s="36" t="str">
        <f>IF(ISNUMBER($D484),IF(YEAR($D484)=대시보드!$C$2,$D484+ROW()/100000,""),"")</f>
        <v/>
      </c>
    </row>
    <row r="485" spans="1:11">
      <c r="A485" s="33"/>
      <c r="B485" s="29"/>
      <c r="C485" s="29"/>
      <c r="D485" s="30"/>
      <c r="E485" s="30"/>
      <c r="F485" s="35"/>
      <c r="G485" s="35"/>
      <c r="H485" s="35" t="str">
        <f t="shared" si="7"/>
        <v/>
      </c>
      <c r="I485" s="29"/>
      <c r="K485" s="36" t="str">
        <f>IF(ISNUMBER($D485),IF(YEAR($D485)=대시보드!$C$2,$D485+ROW()/100000,""),"")</f>
        <v/>
      </c>
    </row>
    <row r="486" spans="1:11">
      <c r="A486" s="33"/>
      <c r="B486" s="29"/>
      <c r="C486" s="29"/>
      <c r="D486" s="30"/>
      <c r="E486" s="30"/>
      <c r="F486" s="35"/>
      <c r="G486" s="35"/>
      <c r="H486" s="35" t="str">
        <f t="shared" si="7"/>
        <v/>
      </c>
      <c r="I486" s="29"/>
      <c r="K486" s="36" t="str">
        <f>IF(ISNUMBER($D486),IF(YEAR($D486)=대시보드!$C$2,$D486+ROW()/100000,""),"")</f>
        <v/>
      </c>
    </row>
    <row r="487" spans="1:11">
      <c r="A487" s="33"/>
      <c r="B487" s="29"/>
      <c r="C487" s="29"/>
      <c r="D487" s="30"/>
      <c r="E487" s="30"/>
      <c r="F487" s="35"/>
      <c r="G487" s="35"/>
      <c r="H487" s="35" t="str">
        <f t="shared" si="7"/>
        <v/>
      </c>
      <c r="I487" s="29"/>
      <c r="K487" s="36" t="str">
        <f>IF(ISNUMBER($D487),IF(YEAR($D487)=대시보드!$C$2,$D487+ROW()/100000,""),"")</f>
        <v/>
      </c>
    </row>
    <row r="488" spans="1:11">
      <c r="A488" s="33"/>
      <c r="B488" s="29"/>
      <c r="C488" s="29"/>
      <c r="D488" s="30"/>
      <c r="E488" s="30"/>
      <c r="F488" s="35"/>
      <c r="G488" s="35"/>
      <c r="H488" s="35" t="str">
        <f t="shared" si="7"/>
        <v/>
      </c>
      <c r="I488" s="29"/>
      <c r="K488" s="36" t="str">
        <f>IF(ISNUMBER($D488),IF(YEAR($D488)=대시보드!$C$2,$D488+ROW()/100000,""),"")</f>
        <v/>
      </c>
    </row>
    <row r="489" spans="1:11">
      <c r="A489" s="33"/>
      <c r="B489" s="29"/>
      <c r="C489" s="29"/>
      <c r="D489" s="30"/>
      <c r="E489" s="30"/>
      <c r="F489" s="35"/>
      <c r="G489" s="35"/>
      <c r="H489" s="35" t="str">
        <f t="shared" si="7"/>
        <v/>
      </c>
      <c r="I489" s="29"/>
      <c r="K489" s="36" t="str">
        <f>IF(ISNUMBER($D489),IF(YEAR($D489)=대시보드!$C$2,$D489+ROW()/100000,""),"")</f>
        <v/>
      </c>
    </row>
    <row r="490" spans="1:11">
      <c r="A490" s="33"/>
      <c r="B490" s="29"/>
      <c r="C490" s="29"/>
      <c r="D490" s="30"/>
      <c r="E490" s="30"/>
      <c r="F490" s="35"/>
      <c r="G490" s="35"/>
      <c r="H490" s="35" t="str">
        <f t="shared" si="7"/>
        <v/>
      </c>
      <c r="I490" s="29"/>
      <c r="K490" s="36" t="str">
        <f>IF(ISNUMBER($D490),IF(YEAR($D490)=대시보드!$C$2,$D490+ROW()/100000,""),"")</f>
        <v/>
      </c>
    </row>
    <row r="491" spans="1:11">
      <c r="A491" s="33"/>
      <c r="B491" s="29"/>
      <c r="C491" s="29"/>
      <c r="D491" s="30"/>
      <c r="E491" s="30"/>
      <c r="F491" s="35"/>
      <c r="G491" s="35"/>
      <c r="H491" s="35" t="str">
        <f t="shared" si="7"/>
        <v/>
      </c>
      <c r="I491" s="29"/>
      <c r="K491" s="36" t="str">
        <f>IF(ISNUMBER($D491),IF(YEAR($D491)=대시보드!$C$2,$D491+ROW()/100000,""),"")</f>
        <v/>
      </c>
    </row>
    <row r="492" spans="1:11">
      <c r="A492" s="33"/>
      <c r="B492" s="29"/>
      <c r="C492" s="29"/>
      <c r="D492" s="30"/>
      <c r="E492" s="30"/>
      <c r="F492" s="35"/>
      <c r="G492" s="35"/>
      <c r="H492" s="35" t="str">
        <f t="shared" si="7"/>
        <v/>
      </c>
      <c r="I492" s="29"/>
      <c r="K492" s="36" t="str">
        <f>IF(ISNUMBER($D492),IF(YEAR($D492)=대시보드!$C$2,$D492+ROW()/100000,""),"")</f>
        <v/>
      </c>
    </row>
    <row r="493" spans="1:11">
      <c r="A493" s="33"/>
      <c r="B493" s="29"/>
      <c r="C493" s="29"/>
      <c r="D493" s="30"/>
      <c r="E493" s="30"/>
      <c r="F493" s="35"/>
      <c r="G493" s="35"/>
      <c r="H493" s="35" t="str">
        <f t="shared" si="7"/>
        <v/>
      </c>
      <c r="I493" s="29"/>
      <c r="K493" s="36" t="str">
        <f>IF(ISNUMBER($D493),IF(YEAR($D493)=대시보드!$C$2,$D493+ROW()/100000,""),"")</f>
        <v/>
      </c>
    </row>
    <row r="494" spans="1:11">
      <c r="A494" s="33"/>
      <c r="B494" s="29"/>
      <c r="C494" s="29"/>
      <c r="D494" s="30"/>
      <c r="E494" s="30"/>
      <c r="F494" s="35"/>
      <c r="G494" s="35"/>
      <c r="H494" s="35" t="str">
        <f t="shared" si="7"/>
        <v/>
      </c>
      <c r="I494" s="29"/>
      <c r="K494" s="36" t="str">
        <f>IF(ISNUMBER($D494),IF(YEAR($D494)=대시보드!$C$2,$D494+ROW()/100000,""),"")</f>
        <v/>
      </c>
    </row>
    <row r="495" spans="1:11">
      <c r="A495" s="33"/>
      <c r="B495" s="29"/>
      <c r="C495" s="29"/>
      <c r="D495" s="30"/>
      <c r="E495" s="30"/>
      <c r="F495" s="35"/>
      <c r="G495" s="35"/>
      <c r="H495" s="35" t="str">
        <f t="shared" si="7"/>
        <v/>
      </c>
      <c r="I495" s="29"/>
      <c r="K495" s="36" t="str">
        <f>IF(ISNUMBER($D495),IF(YEAR($D495)=대시보드!$C$2,$D495+ROW()/100000,""),"")</f>
        <v/>
      </c>
    </row>
    <row r="496" spans="1:11">
      <c r="A496" s="33"/>
      <c r="B496" s="29"/>
      <c r="C496" s="29"/>
      <c r="D496" s="30"/>
      <c r="E496" s="30"/>
      <c r="F496" s="35"/>
      <c r="G496" s="35"/>
      <c r="H496" s="35" t="str">
        <f t="shared" si="7"/>
        <v/>
      </c>
      <c r="I496" s="29"/>
      <c r="K496" s="36" t="str">
        <f>IF(ISNUMBER($D496),IF(YEAR($D496)=대시보드!$C$2,$D496+ROW()/100000,""),"")</f>
        <v/>
      </c>
    </row>
    <row r="497" spans="1:11">
      <c r="A497" s="33"/>
      <c r="B497" s="29"/>
      <c r="C497" s="29"/>
      <c r="D497" s="30"/>
      <c r="E497" s="30"/>
      <c r="F497" s="35"/>
      <c r="G497" s="35"/>
      <c r="H497" s="35" t="str">
        <f t="shared" si="7"/>
        <v/>
      </c>
      <c r="I497" s="29"/>
      <c r="K497" s="36" t="str">
        <f>IF(ISNUMBER($D497),IF(YEAR($D497)=대시보드!$C$2,$D497+ROW()/100000,""),"")</f>
        <v/>
      </c>
    </row>
    <row r="498" spans="1:11">
      <c r="A498" s="33"/>
      <c r="B498" s="29"/>
      <c r="C498" s="29"/>
      <c r="D498" s="30"/>
      <c r="E498" s="30"/>
      <c r="F498" s="35"/>
      <c r="G498" s="35"/>
      <c r="H498" s="35" t="str">
        <f t="shared" si="7"/>
        <v/>
      </c>
      <c r="I498" s="29"/>
      <c r="K498" s="36" t="str">
        <f>IF(ISNUMBER($D498),IF(YEAR($D498)=대시보드!$C$2,$D498+ROW()/100000,""),"")</f>
        <v/>
      </c>
    </row>
    <row r="499" spans="1:11">
      <c r="A499" s="33"/>
      <c r="B499" s="29"/>
      <c r="C499" s="29"/>
      <c r="D499" s="30"/>
      <c r="E499" s="30"/>
      <c r="F499" s="35"/>
      <c r="G499" s="35"/>
      <c r="H499" s="35" t="str">
        <f t="shared" si="7"/>
        <v/>
      </c>
      <c r="I499" s="29"/>
      <c r="K499" s="36" t="str">
        <f>IF(ISNUMBER($D499),IF(YEAR($D499)=대시보드!$C$2,$D499+ROW()/100000,""),"")</f>
        <v/>
      </c>
    </row>
    <row r="500" spans="1:11">
      <c r="A500" s="33"/>
      <c r="B500" s="29"/>
      <c r="C500" s="29"/>
      <c r="D500" s="30"/>
      <c r="E500" s="30"/>
      <c r="F500" s="35"/>
      <c r="G500" s="35"/>
      <c r="H500" s="35" t="str">
        <f t="shared" si="7"/>
        <v/>
      </c>
      <c r="I500" s="29"/>
      <c r="K500" s="36" t="str">
        <f>IF(ISNUMBER($D500),IF(YEAR($D500)=대시보드!$C$2,$D500+ROW()/100000,""),"")</f>
        <v/>
      </c>
    </row>
    <row r="501" spans="1:11">
      <c r="A501" s="33"/>
      <c r="B501" s="29"/>
      <c r="C501" s="29"/>
      <c r="D501" s="30"/>
      <c r="E501" s="30"/>
      <c r="F501" s="35"/>
      <c r="G501" s="35"/>
      <c r="H501" s="35" t="str">
        <f t="shared" si="7"/>
        <v/>
      </c>
      <c r="I501" s="29"/>
      <c r="K501" s="36" t="str">
        <f>IF(ISNUMBER($D501),IF(YEAR($D501)=대시보드!$C$2,$D501+ROW()/100000,""),"")</f>
        <v/>
      </c>
    </row>
    <row r="502" spans="1:11">
      <c r="A502" s="33"/>
      <c r="B502" s="29"/>
      <c r="C502" s="29"/>
      <c r="D502" s="30"/>
      <c r="E502" s="30"/>
      <c r="F502" s="35"/>
      <c r="G502" s="35"/>
      <c r="H502" s="35" t="str">
        <f t="shared" si="7"/>
        <v/>
      </c>
      <c r="I502" s="29"/>
      <c r="K502" s="36" t="str">
        <f>IF(ISNUMBER($D502),IF(YEAR($D502)=대시보드!$C$2,$D502+ROW()/100000,""),"")</f>
        <v/>
      </c>
    </row>
    <row r="503" spans="1:11">
      <c r="A503" s="33"/>
      <c r="B503" s="29"/>
      <c r="C503" s="29"/>
      <c r="D503" s="30"/>
      <c r="E503" s="30"/>
      <c r="F503" s="35"/>
      <c r="G503" s="35"/>
      <c r="H503" s="35" t="str">
        <f t="shared" si="7"/>
        <v/>
      </c>
      <c r="I503" s="29"/>
      <c r="K503" s="36" t="str">
        <f>IF(ISNUMBER($D503),IF(YEAR($D503)=대시보드!$C$2,$D503+ROW()/100000,""),"")</f>
        <v/>
      </c>
    </row>
    <row r="504" spans="1:11">
      <c r="A504" s="33"/>
      <c r="B504" s="29"/>
      <c r="C504" s="29"/>
      <c r="D504" s="30"/>
      <c r="E504" s="30"/>
      <c r="F504" s="35"/>
      <c r="G504" s="35"/>
      <c r="H504" s="35" t="str">
        <f t="shared" si="7"/>
        <v/>
      </c>
      <c r="I504" s="29"/>
      <c r="K504" s="36" t="str">
        <f>IF(ISNUMBER($D504),IF(YEAR($D504)=대시보드!$C$2,$D504+ROW()/100000,""),"")</f>
        <v/>
      </c>
    </row>
    <row r="505" spans="1:11">
      <c r="A505" s="33"/>
      <c r="B505" s="29"/>
      <c r="C505" s="29"/>
      <c r="D505" s="30"/>
      <c r="E505" s="30"/>
      <c r="F505" s="35"/>
      <c r="G505" s="35"/>
      <c r="H505" s="35" t="str">
        <f t="shared" si="7"/>
        <v/>
      </c>
      <c r="I505" s="29"/>
      <c r="K505" s="36" t="str">
        <f>IF(ISNUMBER($D505),IF(YEAR($D505)=대시보드!$C$2,$D505+ROW()/100000,""),"")</f>
        <v/>
      </c>
    </row>
    <row r="506" spans="1:11">
      <c r="A506" s="33"/>
      <c r="B506" s="29"/>
      <c r="C506" s="29"/>
      <c r="D506" s="30"/>
      <c r="E506" s="30"/>
      <c r="F506" s="35"/>
      <c r="G506" s="35"/>
      <c r="H506" s="35" t="str">
        <f t="shared" si="7"/>
        <v/>
      </c>
      <c r="I506" s="29"/>
      <c r="K506" s="36" t="str">
        <f>IF(ISNUMBER($D506),IF(YEAR($D506)=대시보드!$C$2,$D506+ROW()/100000,""),"")</f>
        <v/>
      </c>
    </row>
    <row r="507" spans="1:11">
      <c r="A507" s="33"/>
      <c r="B507" s="29"/>
      <c r="C507" s="29"/>
      <c r="D507" s="30"/>
      <c r="E507" s="30"/>
      <c r="F507" s="35"/>
      <c r="G507" s="35"/>
      <c r="H507" s="35" t="str">
        <f t="shared" si="7"/>
        <v/>
      </c>
      <c r="I507" s="29"/>
      <c r="K507" s="36" t="str">
        <f>IF(ISNUMBER($D507),IF(YEAR($D507)=대시보드!$C$2,$D507+ROW()/100000,""),"")</f>
        <v/>
      </c>
    </row>
    <row r="508" spans="1:11">
      <c r="A508" s="33"/>
      <c r="B508" s="29"/>
      <c r="C508" s="29"/>
      <c r="D508" s="30"/>
      <c r="E508" s="30"/>
      <c r="F508" s="35"/>
      <c r="G508" s="35"/>
      <c r="H508" s="35" t="str">
        <f t="shared" si="7"/>
        <v/>
      </c>
      <c r="I508" s="29"/>
      <c r="K508" s="36" t="str">
        <f>IF(ISNUMBER($D508),IF(YEAR($D508)=대시보드!$C$2,$D508+ROW()/100000,""),"")</f>
        <v/>
      </c>
    </row>
    <row r="509" spans="1:11">
      <c r="A509" s="33"/>
      <c r="B509" s="29"/>
      <c r="C509" s="29"/>
      <c r="D509" s="30"/>
      <c r="E509" s="30"/>
      <c r="F509" s="35"/>
      <c r="G509" s="35"/>
      <c r="H509" s="35" t="str">
        <f t="shared" si="7"/>
        <v/>
      </c>
      <c r="I509" s="29"/>
      <c r="K509" s="36" t="str">
        <f>IF(ISNUMBER($D509),IF(YEAR($D509)=대시보드!$C$2,$D509+ROW()/100000,""),"")</f>
        <v/>
      </c>
    </row>
    <row r="510" spans="1:11">
      <c r="A510" s="33"/>
      <c r="B510" s="29"/>
      <c r="C510" s="29"/>
      <c r="D510" s="30"/>
      <c r="E510" s="30"/>
      <c r="F510" s="35"/>
      <c r="G510" s="35"/>
      <c r="H510" s="35" t="str">
        <f t="shared" si="7"/>
        <v/>
      </c>
      <c r="I510" s="29"/>
      <c r="K510" s="36" t="str">
        <f>IF(ISNUMBER($D510),IF(YEAR($D510)=대시보드!$C$2,$D510+ROW()/100000,""),"")</f>
        <v/>
      </c>
    </row>
    <row r="511" spans="1:11">
      <c r="A511" s="33"/>
      <c r="B511" s="29"/>
      <c r="C511" s="29"/>
      <c r="D511" s="30"/>
      <c r="E511" s="30"/>
      <c r="F511" s="35"/>
      <c r="G511" s="35"/>
      <c r="H511" s="35" t="str">
        <f t="shared" si="7"/>
        <v/>
      </c>
      <c r="I511" s="29"/>
      <c r="K511" s="36" t="str">
        <f>IF(ISNUMBER($D511),IF(YEAR($D511)=대시보드!$C$2,$D511+ROW()/100000,""),"")</f>
        <v/>
      </c>
    </row>
    <row r="512" spans="1:11">
      <c r="A512" s="33"/>
      <c r="B512" s="29"/>
      <c r="C512" s="29"/>
      <c r="D512" s="30"/>
      <c r="E512" s="30"/>
      <c r="F512" s="35"/>
      <c r="G512" s="35"/>
      <c r="H512" s="35" t="str">
        <f t="shared" si="7"/>
        <v/>
      </c>
      <c r="I512" s="29"/>
      <c r="K512" s="36" t="str">
        <f>IF(ISNUMBER($D512),IF(YEAR($D512)=대시보드!$C$2,$D512+ROW()/100000,""),"")</f>
        <v/>
      </c>
    </row>
    <row r="513" spans="1:11">
      <c r="A513" s="33"/>
      <c r="B513" s="29"/>
      <c r="C513" s="29"/>
      <c r="D513" s="30"/>
      <c r="E513" s="30"/>
      <c r="F513" s="35"/>
      <c r="G513" s="35"/>
      <c r="H513" s="35" t="str">
        <f t="shared" si="7"/>
        <v/>
      </c>
      <c r="I513" s="29"/>
      <c r="K513" s="36" t="str">
        <f>IF(ISNUMBER($D513),IF(YEAR($D513)=대시보드!$C$2,$D513+ROW()/100000,""),"")</f>
        <v/>
      </c>
    </row>
    <row r="514" spans="1:11">
      <c r="A514" s="33"/>
      <c r="B514" s="29"/>
      <c r="C514" s="29"/>
      <c r="D514" s="30"/>
      <c r="E514" s="30"/>
      <c r="F514" s="35"/>
      <c r="G514" s="35"/>
      <c r="H514" s="35" t="str">
        <f t="shared" si="7"/>
        <v/>
      </c>
      <c r="I514" s="29"/>
      <c r="K514" s="36" t="str">
        <f>IF(ISNUMBER($D514),IF(YEAR($D514)=대시보드!$C$2,$D514+ROW()/100000,""),"")</f>
        <v/>
      </c>
    </row>
    <row r="515" spans="1:11">
      <c r="A515" s="33"/>
      <c r="B515" s="29"/>
      <c r="C515" s="29"/>
      <c r="D515" s="30"/>
      <c r="E515" s="30"/>
      <c r="F515" s="35"/>
      <c r="G515" s="35"/>
      <c r="H515" s="35" t="str">
        <f t="shared" si="7"/>
        <v/>
      </c>
      <c r="I515" s="29"/>
      <c r="K515" s="36" t="str">
        <f>IF(ISNUMBER($D515),IF(YEAR($D515)=대시보드!$C$2,$D515+ROW()/100000,""),"")</f>
        <v/>
      </c>
    </row>
    <row r="516" spans="1:11">
      <c r="A516" s="33"/>
      <c r="B516" s="29"/>
      <c r="C516" s="29"/>
      <c r="D516" s="30"/>
      <c r="E516" s="30"/>
      <c r="F516" s="35"/>
      <c r="G516" s="35"/>
      <c r="H516" s="35" t="str">
        <f t="shared" ref="H516:H579" si="8">IF(F516="","",F516-G516)</f>
        <v/>
      </c>
      <c r="I516" s="29"/>
      <c r="K516" s="36" t="str">
        <f>IF(ISNUMBER($D516),IF(YEAR($D516)=대시보드!$C$2,$D516+ROW()/100000,""),"")</f>
        <v/>
      </c>
    </row>
    <row r="517" spans="1:11">
      <c r="A517" s="33"/>
      <c r="B517" s="29"/>
      <c r="C517" s="29"/>
      <c r="D517" s="30"/>
      <c r="E517" s="30"/>
      <c r="F517" s="35"/>
      <c r="G517" s="35"/>
      <c r="H517" s="35" t="str">
        <f t="shared" si="8"/>
        <v/>
      </c>
      <c r="I517" s="29"/>
      <c r="K517" s="36" t="str">
        <f>IF(ISNUMBER($D517),IF(YEAR($D517)=대시보드!$C$2,$D517+ROW()/100000,""),"")</f>
        <v/>
      </c>
    </row>
    <row r="518" spans="1:11">
      <c r="A518" s="33"/>
      <c r="B518" s="29"/>
      <c r="C518" s="29"/>
      <c r="D518" s="30"/>
      <c r="E518" s="30"/>
      <c r="F518" s="35"/>
      <c r="G518" s="35"/>
      <c r="H518" s="35" t="str">
        <f t="shared" si="8"/>
        <v/>
      </c>
      <c r="I518" s="29"/>
      <c r="K518" s="36" t="str">
        <f>IF(ISNUMBER($D518),IF(YEAR($D518)=대시보드!$C$2,$D518+ROW()/100000,""),"")</f>
        <v/>
      </c>
    </row>
    <row r="519" spans="1:11">
      <c r="A519" s="33"/>
      <c r="B519" s="29"/>
      <c r="C519" s="29"/>
      <c r="D519" s="30"/>
      <c r="E519" s="30"/>
      <c r="F519" s="35"/>
      <c r="G519" s="35"/>
      <c r="H519" s="35" t="str">
        <f t="shared" si="8"/>
        <v/>
      </c>
      <c r="I519" s="29"/>
      <c r="K519" s="36" t="str">
        <f>IF(ISNUMBER($D519),IF(YEAR($D519)=대시보드!$C$2,$D519+ROW()/100000,""),"")</f>
        <v/>
      </c>
    </row>
    <row r="520" spans="1:11">
      <c r="A520" s="33"/>
      <c r="B520" s="29"/>
      <c r="C520" s="29"/>
      <c r="D520" s="30"/>
      <c r="E520" s="30"/>
      <c r="F520" s="35"/>
      <c r="G520" s="35"/>
      <c r="H520" s="35" t="str">
        <f t="shared" si="8"/>
        <v/>
      </c>
      <c r="I520" s="29"/>
      <c r="K520" s="36" t="str">
        <f>IF(ISNUMBER($D520),IF(YEAR($D520)=대시보드!$C$2,$D520+ROW()/100000,""),"")</f>
        <v/>
      </c>
    </row>
    <row r="521" spans="1:11">
      <c r="A521" s="33"/>
      <c r="B521" s="29"/>
      <c r="C521" s="29"/>
      <c r="D521" s="30"/>
      <c r="E521" s="30"/>
      <c r="F521" s="35"/>
      <c r="G521" s="35"/>
      <c r="H521" s="35" t="str">
        <f t="shared" si="8"/>
        <v/>
      </c>
      <c r="I521" s="29"/>
      <c r="K521" s="36" t="str">
        <f>IF(ISNUMBER($D521),IF(YEAR($D521)=대시보드!$C$2,$D521+ROW()/100000,""),"")</f>
        <v/>
      </c>
    </row>
    <row r="522" spans="1:11">
      <c r="A522" s="33"/>
      <c r="B522" s="29"/>
      <c r="C522" s="29"/>
      <c r="D522" s="30"/>
      <c r="E522" s="30"/>
      <c r="F522" s="35"/>
      <c r="G522" s="35"/>
      <c r="H522" s="35" t="str">
        <f t="shared" si="8"/>
        <v/>
      </c>
      <c r="I522" s="29"/>
      <c r="K522" s="36" t="str">
        <f>IF(ISNUMBER($D522),IF(YEAR($D522)=대시보드!$C$2,$D522+ROW()/100000,""),"")</f>
        <v/>
      </c>
    </row>
    <row r="523" spans="1:11">
      <c r="A523" s="33"/>
      <c r="B523" s="29"/>
      <c r="C523" s="29"/>
      <c r="D523" s="30"/>
      <c r="E523" s="30"/>
      <c r="F523" s="35"/>
      <c r="G523" s="35"/>
      <c r="H523" s="35" t="str">
        <f t="shared" si="8"/>
        <v/>
      </c>
      <c r="I523" s="29"/>
      <c r="K523" s="36" t="str">
        <f>IF(ISNUMBER($D523),IF(YEAR($D523)=대시보드!$C$2,$D523+ROW()/100000,""),"")</f>
        <v/>
      </c>
    </row>
    <row r="524" spans="1:11">
      <c r="A524" s="33"/>
      <c r="B524" s="29"/>
      <c r="C524" s="29"/>
      <c r="D524" s="30"/>
      <c r="E524" s="30"/>
      <c r="F524" s="35"/>
      <c r="G524" s="35"/>
      <c r="H524" s="35" t="str">
        <f t="shared" si="8"/>
        <v/>
      </c>
      <c r="I524" s="29"/>
      <c r="K524" s="36" t="str">
        <f>IF(ISNUMBER($D524),IF(YEAR($D524)=대시보드!$C$2,$D524+ROW()/100000,""),"")</f>
        <v/>
      </c>
    </row>
    <row r="525" spans="1:11">
      <c r="A525" s="33"/>
      <c r="B525" s="29"/>
      <c r="C525" s="29"/>
      <c r="D525" s="30"/>
      <c r="E525" s="30"/>
      <c r="F525" s="35"/>
      <c r="G525" s="35"/>
      <c r="H525" s="35" t="str">
        <f t="shared" si="8"/>
        <v/>
      </c>
      <c r="I525" s="29"/>
      <c r="K525" s="36" t="str">
        <f>IF(ISNUMBER($D525),IF(YEAR($D525)=대시보드!$C$2,$D525+ROW()/100000,""),"")</f>
        <v/>
      </c>
    </row>
    <row r="526" spans="1:11">
      <c r="A526" s="33"/>
      <c r="B526" s="29"/>
      <c r="C526" s="29"/>
      <c r="D526" s="30"/>
      <c r="E526" s="30"/>
      <c r="F526" s="35"/>
      <c r="G526" s="35"/>
      <c r="H526" s="35" t="str">
        <f t="shared" si="8"/>
        <v/>
      </c>
      <c r="I526" s="29"/>
      <c r="K526" s="36" t="str">
        <f>IF(ISNUMBER($D526),IF(YEAR($D526)=대시보드!$C$2,$D526+ROW()/100000,""),"")</f>
        <v/>
      </c>
    </row>
    <row r="527" spans="1:11">
      <c r="A527" s="33"/>
      <c r="B527" s="29"/>
      <c r="C527" s="29"/>
      <c r="D527" s="30"/>
      <c r="E527" s="30"/>
      <c r="F527" s="35"/>
      <c r="G527" s="35"/>
      <c r="H527" s="35" t="str">
        <f t="shared" si="8"/>
        <v/>
      </c>
      <c r="I527" s="29"/>
      <c r="K527" s="36" t="str">
        <f>IF(ISNUMBER($D527),IF(YEAR($D527)=대시보드!$C$2,$D527+ROW()/100000,""),"")</f>
        <v/>
      </c>
    </row>
    <row r="528" spans="1:11">
      <c r="A528" s="33"/>
      <c r="B528" s="29"/>
      <c r="C528" s="29"/>
      <c r="D528" s="30"/>
      <c r="E528" s="30"/>
      <c r="F528" s="35"/>
      <c r="G528" s="35"/>
      <c r="H528" s="35" t="str">
        <f t="shared" si="8"/>
        <v/>
      </c>
      <c r="I528" s="29"/>
      <c r="K528" s="36" t="str">
        <f>IF(ISNUMBER($D528),IF(YEAR($D528)=대시보드!$C$2,$D528+ROW()/100000,""),"")</f>
        <v/>
      </c>
    </row>
    <row r="529" spans="1:11">
      <c r="A529" s="33"/>
      <c r="B529" s="29"/>
      <c r="C529" s="29"/>
      <c r="D529" s="30"/>
      <c r="E529" s="30"/>
      <c r="F529" s="35"/>
      <c r="G529" s="35"/>
      <c r="H529" s="35" t="str">
        <f t="shared" si="8"/>
        <v/>
      </c>
      <c r="I529" s="29"/>
      <c r="K529" s="36" t="str">
        <f>IF(ISNUMBER($D529),IF(YEAR($D529)=대시보드!$C$2,$D529+ROW()/100000,""),"")</f>
        <v/>
      </c>
    </row>
    <row r="530" spans="1:11">
      <c r="A530" s="33"/>
      <c r="B530" s="29"/>
      <c r="C530" s="29"/>
      <c r="D530" s="30"/>
      <c r="E530" s="30"/>
      <c r="F530" s="35"/>
      <c r="G530" s="35"/>
      <c r="H530" s="35" t="str">
        <f t="shared" si="8"/>
        <v/>
      </c>
      <c r="I530" s="29"/>
      <c r="K530" s="36" t="str">
        <f>IF(ISNUMBER($D530),IF(YEAR($D530)=대시보드!$C$2,$D530+ROW()/100000,""),"")</f>
        <v/>
      </c>
    </row>
    <row r="531" spans="1:11">
      <c r="A531" s="33"/>
      <c r="B531" s="29"/>
      <c r="C531" s="29"/>
      <c r="D531" s="30"/>
      <c r="E531" s="30"/>
      <c r="F531" s="35"/>
      <c r="G531" s="35"/>
      <c r="H531" s="35" t="str">
        <f t="shared" si="8"/>
        <v/>
      </c>
      <c r="I531" s="29"/>
      <c r="K531" s="36" t="str">
        <f>IF(ISNUMBER($D531),IF(YEAR($D531)=대시보드!$C$2,$D531+ROW()/100000,""),"")</f>
        <v/>
      </c>
    </row>
    <row r="532" spans="1:11">
      <c r="A532" s="33"/>
      <c r="B532" s="29"/>
      <c r="C532" s="29"/>
      <c r="D532" s="30"/>
      <c r="E532" s="30"/>
      <c r="F532" s="35"/>
      <c r="G532" s="35"/>
      <c r="H532" s="35" t="str">
        <f t="shared" si="8"/>
        <v/>
      </c>
      <c r="I532" s="29"/>
      <c r="K532" s="36" t="str">
        <f>IF(ISNUMBER($D532),IF(YEAR($D532)=대시보드!$C$2,$D532+ROW()/100000,""),"")</f>
        <v/>
      </c>
    </row>
    <row r="533" spans="1:11">
      <c r="A533" s="33"/>
      <c r="B533" s="29"/>
      <c r="C533" s="29"/>
      <c r="D533" s="30"/>
      <c r="E533" s="30"/>
      <c r="F533" s="35"/>
      <c r="G533" s="35"/>
      <c r="H533" s="35" t="str">
        <f t="shared" si="8"/>
        <v/>
      </c>
      <c r="I533" s="29"/>
      <c r="K533" s="36" t="str">
        <f>IF(ISNUMBER($D533),IF(YEAR($D533)=대시보드!$C$2,$D533+ROW()/100000,""),"")</f>
        <v/>
      </c>
    </row>
    <row r="534" spans="1:11">
      <c r="A534" s="33"/>
      <c r="B534" s="29"/>
      <c r="C534" s="29"/>
      <c r="D534" s="30"/>
      <c r="E534" s="30"/>
      <c r="F534" s="35"/>
      <c r="G534" s="35"/>
      <c r="H534" s="35" t="str">
        <f t="shared" si="8"/>
        <v/>
      </c>
      <c r="I534" s="29"/>
      <c r="K534" s="36" t="str">
        <f>IF(ISNUMBER($D534),IF(YEAR($D534)=대시보드!$C$2,$D534+ROW()/100000,""),"")</f>
        <v/>
      </c>
    </row>
    <row r="535" spans="1:11">
      <c r="A535" s="33"/>
      <c r="B535" s="29"/>
      <c r="C535" s="29"/>
      <c r="D535" s="30"/>
      <c r="E535" s="30"/>
      <c r="F535" s="35"/>
      <c r="G535" s="35"/>
      <c r="H535" s="35" t="str">
        <f t="shared" si="8"/>
        <v/>
      </c>
      <c r="I535" s="29"/>
      <c r="K535" s="36" t="str">
        <f>IF(ISNUMBER($D535),IF(YEAR($D535)=대시보드!$C$2,$D535+ROW()/100000,""),"")</f>
        <v/>
      </c>
    </row>
    <row r="536" spans="1:11">
      <c r="A536" s="33"/>
      <c r="B536" s="29"/>
      <c r="C536" s="29"/>
      <c r="D536" s="30"/>
      <c r="E536" s="30"/>
      <c r="F536" s="35"/>
      <c r="G536" s="35"/>
      <c r="H536" s="35" t="str">
        <f t="shared" si="8"/>
        <v/>
      </c>
      <c r="I536" s="29"/>
      <c r="K536" s="36" t="str">
        <f>IF(ISNUMBER($D536),IF(YEAR($D536)=대시보드!$C$2,$D536+ROW()/100000,""),"")</f>
        <v/>
      </c>
    </row>
    <row r="537" spans="1:11">
      <c r="A537" s="33"/>
      <c r="B537" s="29"/>
      <c r="C537" s="29"/>
      <c r="D537" s="30"/>
      <c r="E537" s="30"/>
      <c r="F537" s="35"/>
      <c r="G537" s="35"/>
      <c r="H537" s="35" t="str">
        <f t="shared" si="8"/>
        <v/>
      </c>
      <c r="I537" s="29"/>
      <c r="K537" s="36" t="str">
        <f>IF(ISNUMBER($D537),IF(YEAR($D537)=대시보드!$C$2,$D537+ROW()/100000,""),"")</f>
        <v/>
      </c>
    </row>
    <row r="538" spans="1:11">
      <c r="A538" s="33"/>
      <c r="B538" s="29"/>
      <c r="C538" s="29"/>
      <c r="D538" s="30"/>
      <c r="E538" s="30"/>
      <c r="F538" s="35"/>
      <c r="G538" s="35"/>
      <c r="H538" s="35" t="str">
        <f t="shared" si="8"/>
        <v/>
      </c>
      <c r="I538" s="29"/>
      <c r="K538" s="36" t="str">
        <f>IF(ISNUMBER($D538),IF(YEAR($D538)=대시보드!$C$2,$D538+ROW()/100000,""),"")</f>
        <v/>
      </c>
    </row>
    <row r="539" spans="1:11">
      <c r="A539" s="33"/>
      <c r="B539" s="29"/>
      <c r="C539" s="29"/>
      <c r="D539" s="30"/>
      <c r="E539" s="30"/>
      <c r="F539" s="35"/>
      <c r="G539" s="35"/>
      <c r="H539" s="35" t="str">
        <f t="shared" si="8"/>
        <v/>
      </c>
      <c r="I539" s="29"/>
      <c r="K539" s="36" t="str">
        <f>IF(ISNUMBER($D539),IF(YEAR($D539)=대시보드!$C$2,$D539+ROW()/100000,""),"")</f>
        <v/>
      </c>
    </row>
    <row r="540" spans="1:11">
      <c r="A540" s="33"/>
      <c r="B540" s="29"/>
      <c r="C540" s="29"/>
      <c r="D540" s="30"/>
      <c r="E540" s="30"/>
      <c r="F540" s="35"/>
      <c r="G540" s="35"/>
      <c r="H540" s="35" t="str">
        <f t="shared" si="8"/>
        <v/>
      </c>
      <c r="I540" s="29"/>
      <c r="K540" s="36" t="str">
        <f>IF(ISNUMBER($D540),IF(YEAR($D540)=대시보드!$C$2,$D540+ROW()/100000,""),"")</f>
        <v/>
      </c>
    </row>
    <row r="541" spans="1:11">
      <c r="A541" s="33"/>
      <c r="B541" s="29"/>
      <c r="C541" s="29"/>
      <c r="D541" s="30"/>
      <c r="E541" s="30"/>
      <c r="F541" s="35"/>
      <c r="G541" s="35"/>
      <c r="H541" s="35" t="str">
        <f t="shared" si="8"/>
        <v/>
      </c>
      <c r="I541" s="29"/>
      <c r="K541" s="36" t="str">
        <f>IF(ISNUMBER($D541),IF(YEAR($D541)=대시보드!$C$2,$D541+ROW()/100000,""),"")</f>
        <v/>
      </c>
    </row>
    <row r="542" spans="1:11">
      <c r="A542" s="33"/>
      <c r="B542" s="29"/>
      <c r="C542" s="29"/>
      <c r="D542" s="30"/>
      <c r="E542" s="30"/>
      <c r="F542" s="35"/>
      <c r="G542" s="35"/>
      <c r="H542" s="35" t="str">
        <f t="shared" si="8"/>
        <v/>
      </c>
      <c r="I542" s="29"/>
      <c r="K542" s="36" t="str">
        <f>IF(ISNUMBER($D542),IF(YEAR($D542)=대시보드!$C$2,$D542+ROW()/100000,""),"")</f>
        <v/>
      </c>
    </row>
    <row r="543" spans="1:11">
      <c r="A543" s="33"/>
      <c r="B543" s="29"/>
      <c r="C543" s="29"/>
      <c r="D543" s="30"/>
      <c r="E543" s="30"/>
      <c r="F543" s="35"/>
      <c r="G543" s="35"/>
      <c r="H543" s="35" t="str">
        <f t="shared" si="8"/>
        <v/>
      </c>
      <c r="I543" s="29"/>
      <c r="K543" s="36" t="str">
        <f>IF(ISNUMBER($D543),IF(YEAR($D543)=대시보드!$C$2,$D543+ROW()/100000,""),"")</f>
        <v/>
      </c>
    </row>
    <row r="544" spans="1:11">
      <c r="A544" s="33"/>
      <c r="B544" s="29"/>
      <c r="C544" s="29"/>
      <c r="D544" s="30"/>
      <c r="E544" s="30"/>
      <c r="F544" s="35"/>
      <c r="G544" s="35"/>
      <c r="H544" s="35" t="str">
        <f t="shared" si="8"/>
        <v/>
      </c>
      <c r="I544" s="29"/>
      <c r="K544" s="36" t="str">
        <f>IF(ISNUMBER($D544),IF(YEAR($D544)=대시보드!$C$2,$D544+ROW()/100000,""),"")</f>
        <v/>
      </c>
    </row>
    <row r="545" spans="1:11">
      <c r="A545" s="33"/>
      <c r="B545" s="29"/>
      <c r="C545" s="29"/>
      <c r="D545" s="30"/>
      <c r="E545" s="30"/>
      <c r="F545" s="35"/>
      <c r="G545" s="35"/>
      <c r="H545" s="35" t="str">
        <f t="shared" si="8"/>
        <v/>
      </c>
      <c r="I545" s="29"/>
      <c r="K545" s="36" t="str">
        <f>IF(ISNUMBER($D545),IF(YEAR($D545)=대시보드!$C$2,$D545+ROW()/100000,""),"")</f>
        <v/>
      </c>
    </row>
    <row r="546" spans="1:11">
      <c r="A546" s="33"/>
      <c r="B546" s="29"/>
      <c r="C546" s="29"/>
      <c r="D546" s="30"/>
      <c r="E546" s="30"/>
      <c r="F546" s="35"/>
      <c r="G546" s="35"/>
      <c r="H546" s="35" t="str">
        <f t="shared" si="8"/>
        <v/>
      </c>
      <c r="I546" s="29"/>
      <c r="K546" s="36" t="str">
        <f>IF(ISNUMBER($D546),IF(YEAR($D546)=대시보드!$C$2,$D546+ROW()/100000,""),"")</f>
        <v/>
      </c>
    </row>
    <row r="547" spans="1:11">
      <c r="A547" s="33"/>
      <c r="B547" s="29"/>
      <c r="C547" s="29"/>
      <c r="D547" s="30"/>
      <c r="E547" s="30"/>
      <c r="F547" s="35"/>
      <c r="G547" s="35"/>
      <c r="H547" s="35" t="str">
        <f t="shared" si="8"/>
        <v/>
      </c>
      <c r="I547" s="29"/>
      <c r="K547" s="36" t="str">
        <f>IF(ISNUMBER($D547),IF(YEAR($D547)=대시보드!$C$2,$D547+ROW()/100000,""),"")</f>
        <v/>
      </c>
    </row>
    <row r="548" spans="1:11">
      <c r="A548" s="33"/>
      <c r="B548" s="29"/>
      <c r="C548" s="29"/>
      <c r="D548" s="30"/>
      <c r="E548" s="30"/>
      <c r="F548" s="35"/>
      <c r="G548" s="35"/>
      <c r="H548" s="35" t="str">
        <f t="shared" si="8"/>
        <v/>
      </c>
      <c r="I548" s="29"/>
      <c r="K548" s="36" t="str">
        <f>IF(ISNUMBER($D548),IF(YEAR($D548)=대시보드!$C$2,$D548+ROW()/100000,""),"")</f>
        <v/>
      </c>
    </row>
    <row r="549" spans="1:11">
      <c r="A549" s="33"/>
      <c r="B549" s="29"/>
      <c r="C549" s="29"/>
      <c r="D549" s="30"/>
      <c r="E549" s="30"/>
      <c r="F549" s="35"/>
      <c r="G549" s="35"/>
      <c r="H549" s="35" t="str">
        <f t="shared" si="8"/>
        <v/>
      </c>
      <c r="I549" s="29"/>
      <c r="K549" s="36" t="str">
        <f>IF(ISNUMBER($D549),IF(YEAR($D549)=대시보드!$C$2,$D549+ROW()/100000,""),"")</f>
        <v/>
      </c>
    </row>
    <row r="550" spans="1:11">
      <c r="A550" s="33"/>
      <c r="B550" s="29"/>
      <c r="C550" s="29"/>
      <c r="D550" s="30"/>
      <c r="E550" s="30"/>
      <c r="F550" s="35"/>
      <c r="G550" s="35"/>
      <c r="H550" s="35" t="str">
        <f t="shared" si="8"/>
        <v/>
      </c>
      <c r="I550" s="29"/>
      <c r="K550" s="36" t="str">
        <f>IF(ISNUMBER($D550),IF(YEAR($D550)=대시보드!$C$2,$D550+ROW()/100000,""),"")</f>
        <v/>
      </c>
    </row>
    <row r="551" spans="1:11">
      <c r="A551" s="33"/>
      <c r="B551" s="29"/>
      <c r="C551" s="29"/>
      <c r="D551" s="30"/>
      <c r="E551" s="30"/>
      <c r="F551" s="35"/>
      <c r="G551" s="35"/>
      <c r="H551" s="35" t="str">
        <f t="shared" si="8"/>
        <v/>
      </c>
      <c r="I551" s="29"/>
      <c r="K551" s="36" t="str">
        <f>IF(ISNUMBER($D551),IF(YEAR($D551)=대시보드!$C$2,$D551+ROW()/100000,""),"")</f>
        <v/>
      </c>
    </row>
    <row r="552" spans="1:11">
      <c r="A552" s="33"/>
      <c r="B552" s="29"/>
      <c r="C552" s="29"/>
      <c r="D552" s="30"/>
      <c r="E552" s="30"/>
      <c r="F552" s="35"/>
      <c r="G552" s="35"/>
      <c r="H552" s="35" t="str">
        <f t="shared" si="8"/>
        <v/>
      </c>
      <c r="I552" s="29"/>
      <c r="K552" s="36" t="str">
        <f>IF(ISNUMBER($D552),IF(YEAR($D552)=대시보드!$C$2,$D552+ROW()/100000,""),"")</f>
        <v/>
      </c>
    </row>
    <row r="553" spans="1:11">
      <c r="A553" s="33"/>
      <c r="B553" s="29"/>
      <c r="C553" s="29"/>
      <c r="D553" s="30"/>
      <c r="E553" s="30"/>
      <c r="F553" s="35"/>
      <c r="G553" s="35"/>
      <c r="H553" s="35" t="str">
        <f t="shared" si="8"/>
        <v/>
      </c>
      <c r="I553" s="29"/>
      <c r="K553" s="36" t="str">
        <f>IF(ISNUMBER($D553),IF(YEAR($D553)=대시보드!$C$2,$D553+ROW()/100000,""),"")</f>
        <v/>
      </c>
    </row>
    <row r="554" spans="1:11">
      <c r="A554" s="33"/>
      <c r="B554" s="29"/>
      <c r="C554" s="29"/>
      <c r="D554" s="30"/>
      <c r="E554" s="30"/>
      <c r="F554" s="35"/>
      <c r="G554" s="35"/>
      <c r="H554" s="35" t="str">
        <f t="shared" si="8"/>
        <v/>
      </c>
      <c r="I554" s="29"/>
      <c r="K554" s="36" t="str">
        <f>IF(ISNUMBER($D554),IF(YEAR($D554)=대시보드!$C$2,$D554+ROW()/100000,""),"")</f>
        <v/>
      </c>
    </row>
    <row r="555" spans="1:11">
      <c r="A555" s="33"/>
      <c r="B555" s="29"/>
      <c r="C555" s="29"/>
      <c r="D555" s="30"/>
      <c r="E555" s="30"/>
      <c r="F555" s="35"/>
      <c r="G555" s="35"/>
      <c r="H555" s="35" t="str">
        <f t="shared" si="8"/>
        <v/>
      </c>
      <c r="I555" s="29"/>
      <c r="K555" s="36" t="str">
        <f>IF(ISNUMBER($D555),IF(YEAR($D555)=대시보드!$C$2,$D555+ROW()/100000,""),"")</f>
        <v/>
      </c>
    </row>
    <row r="556" spans="1:11">
      <c r="A556" s="33"/>
      <c r="B556" s="29"/>
      <c r="C556" s="29"/>
      <c r="D556" s="30"/>
      <c r="E556" s="30"/>
      <c r="F556" s="35"/>
      <c r="G556" s="35"/>
      <c r="H556" s="35" t="str">
        <f t="shared" si="8"/>
        <v/>
      </c>
      <c r="I556" s="29"/>
      <c r="K556" s="36" t="str">
        <f>IF(ISNUMBER($D556),IF(YEAR($D556)=대시보드!$C$2,$D556+ROW()/100000,""),"")</f>
        <v/>
      </c>
    </row>
    <row r="557" spans="1:11">
      <c r="A557" s="33"/>
      <c r="B557" s="29"/>
      <c r="C557" s="29"/>
      <c r="D557" s="30"/>
      <c r="E557" s="30"/>
      <c r="F557" s="35"/>
      <c r="G557" s="35"/>
      <c r="H557" s="35" t="str">
        <f t="shared" si="8"/>
        <v/>
      </c>
      <c r="I557" s="29"/>
      <c r="K557" s="36" t="str">
        <f>IF(ISNUMBER($D557),IF(YEAR($D557)=대시보드!$C$2,$D557+ROW()/100000,""),"")</f>
        <v/>
      </c>
    </row>
    <row r="558" spans="1:11">
      <c r="A558" s="33"/>
      <c r="B558" s="29"/>
      <c r="C558" s="29"/>
      <c r="D558" s="30"/>
      <c r="E558" s="30"/>
      <c r="F558" s="35"/>
      <c r="G558" s="35"/>
      <c r="H558" s="35" t="str">
        <f t="shared" si="8"/>
        <v/>
      </c>
      <c r="I558" s="29"/>
      <c r="K558" s="36" t="str">
        <f>IF(ISNUMBER($D558),IF(YEAR($D558)=대시보드!$C$2,$D558+ROW()/100000,""),"")</f>
        <v/>
      </c>
    </row>
    <row r="559" spans="1:11">
      <c r="A559" s="33"/>
      <c r="B559" s="29"/>
      <c r="C559" s="29"/>
      <c r="D559" s="30"/>
      <c r="E559" s="30"/>
      <c r="F559" s="35"/>
      <c r="G559" s="35"/>
      <c r="H559" s="35" t="str">
        <f t="shared" si="8"/>
        <v/>
      </c>
      <c r="I559" s="29"/>
      <c r="K559" s="36" t="str">
        <f>IF(ISNUMBER($D559),IF(YEAR($D559)=대시보드!$C$2,$D559+ROW()/100000,""),"")</f>
        <v/>
      </c>
    </row>
    <row r="560" spans="1:11">
      <c r="A560" s="33"/>
      <c r="B560" s="29"/>
      <c r="C560" s="29"/>
      <c r="D560" s="30"/>
      <c r="E560" s="30"/>
      <c r="F560" s="35"/>
      <c r="G560" s="35"/>
      <c r="H560" s="35" t="str">
        <f t="shared" si="8"/>
        <v/>
      </c>
      <c r="I560" s="29"/>
      <c r="K560" s="36" t="str">
        <f>IF(ISNUMBER($D560),IF(YEAR($D560)=대시보드!$C$2,$D560+ROW()/100000,""),"")</f>
        <v/>
      </c>
    </row>
    <row r="561" spans="1:11">
      <c r="A561" s="33"/>
      <c r="B561" s="29"/>
      <c r="C561" s="29"/>
      <c r="D561" s="30"/>
      <c r="E561" s="30"/>
      <c r="F561" s="35"/>
      <c r="G561" s="35"/>
      <c r="H561" s="35" t="str">
        <f t="shared" si="8"/>
        <v/>
      </c>
      <c r="I561" s="29"/>
      <c r="K561" s="36" t="str">
        <f>IF(ISNUMBER($D561),IF(YEAR($D561)=대시보드!$C$2,$D561+ROW()/100000,""),"")</f>
        <v/>
      </c>
    </row>
    <row r="562" spans="1:11">
      <c r="A562" s="33"/>
      <c r="B562" s="29"/>
      <c r="C562" s="29"/>
      <c r="D562" s="30"/>
      <c r="E562" s="30"/>
      <c r="F562" s="35"/>
      <c r="G562" s="35"/>
      <c r="H562" s="35" t="str">
        <f t="shared" si="8"/>
        <v/>
      </c>
      <c r="I562" s="29"/>
      <c r="K562" s="36" t="str">
        <f>IF(ISNUMBER($D562),IF(YEAR($D562)=대시보드!$C$2,$D562+ROW()/100000,""),"")</f>
        <v/>
      </c>
    </row>
    <row r="563" spans="1:11">
      <c r="A563" s="33"/>
      <c r="B563" s="29"/>
      <c r="C563" s="29"/>
      <c r="D563" s="30"/>
      <c r="E563" s="30"/>
      <c r="F563" s="35"/>
      <c r="G563" s="35"/>
      <c r="H563" s="35" t="str">
        <f t="shared" si="8"/>
        <v/>
      </c>
      <c r="I563" s="29"/>
      <c r="K563" s="36" t="str">
        <f>IF(ISNUMBER($D563),IF(YEAR($D563)=대시보드!$C$2,$D563+ROW()/100000,""),"")</f>
        <v/>
      </c>
    </row>
    <row r="564" spans="1:11">
      <c r="A564" s="33"/>
      <c r="B564" s="29"/>
      <c r="C564" s="29"/>
      <c r="D564" s="30"/>
      <c r="E564" s="30"/>
      <c r="F564" s="35"/>
      <c r="G564" s="35"/>
      <c r="H564" s="35" t="str">
        <f t="shared" si="8"/>
        <v/>
      </c>
      <c r="I564" s="29"/>
      <c r="K564" s="36" t="str">
        <f>IF(ISNUMBER($D564),IF(YEAR($D564)=대시보드!$C$2,$D564+ROW()/100000,""),"")</f>
        <v/>
      </c>
    </row>
    <row r="565" spans="1:11">
      <c r="A565" s="33"/>
      <c r="B565" s="29"/>
      <c r="C565" s="29"/>
      <c r="D565" s="30"/>
      <c r="E565" s="30"/>
      <c r="F565" s="35"/>
      <c r="G565" s="35"/>
      <c r="H565" s="35" t="str">
        <f t="shared" si="8"/>
        <v/>
      </c>
      <c r="I565" s="29"/>
      <c r="K565" s="36" t="str">
        <f>IF(ISNUMBER($D565),IF(YEAR($D565)=대시보드!$C$2,$D565+ROW()/100000,""),"")</f>
        <v/>
      </c>
    </row>
    <row r="566" spans="1:11">
      <c r="A566" s="33"/>
      <c r="B566" s="29"/>
      <c r="C566" s="29"/>
      <c r="D566" s="30"/>
      <c r="E566" s="30"/>
      <c r="F566" s="35"/>
      <c r="G566" s="35"/>
      <c r="H566" s="35" t="str">
        <f t="shared" si="8"/>
        <v/>
      </c>
      <c r="I566" s="29"/>
      <c r="K566" s="36" t="str">
        <f>IF(ISNUMBER($D566),IF(YEAR($D566)=대시보드!$C$2,$D566+ROW()/100000,""),"")</f>
        <v/>
      </c>
    </row>
    <row r="567" spans="1:11">
      <c r="A567" s="33"/>
      <c r="B567" s="29"/>
      <c r="C567" s="29"/>
      <c r="D567" s="30"/>
      <c r="E567" s="30"/>
      <c r="F567" s="35"/>
      <c r="G567" s="35"/>
      <c r="H567" s="35" t="str">
        <f t="shared" si="8"/>
        <v/>
      </c>
      <c r="I567" s="29"/>
      <c r="K567" s="36" t="str">
        <f>IF(ISNUMBER($D567),IF(YEAR($D567)=대시보드!$C$2,$D567+ROW()/100000,""),"")</f>
        <v/>
      </c>
    </row>
    <row r="568" spans="1:11">
      <c r="A568" s="33"/>
      <c r="B568" s="29"/>
      <c r="C568" s="29"/>
      <c r="D568" s="30"/>
      <c r="E568" s="30"/>
      <c r="F568" s="35"/>
      <c r="G568" s="35"/>
      <c r="H568" s="35" t="str">
        <f t="shared" si="8"/>
        <v/>
      </c>
      <c r="I568" s="29"/>
      <c r="K568" s="36" t="str">
        <f>IF(ISNUMBER($D568),IF(YEAR($D568)=대시보드!$C$2,$D568+ROW()/100000,""),"")</f>
        <v/>
      </c>
    </row>
    <row r="569" spans="1:11">
      <c r="A569" s="33"/>
      <c r="B569" s="29"/>
      <c r="C569" s="29"/>
      <c r="D569" s="30"/>
      <c r="E569" s="30"/>
      <c r="F569" s="35"/>
      <c r="G569" s="35"/>
      <c r="H569" s="35" t="str">
        <f t="shared" si="8"/>
        <v/>
      </c>
      <c r="I569" s="29"/>
      <c r="K569" s="36" t="str">
        <f>IF(ISNUMBER($D569),IF(YEAR($D569)=대시보드!$C$2,$D569+ROW()/100000,""),"")</f>
        <v/>
      </c>
    </row>
    <row r="570" spans="1:11">
      <c r="A570" s="33"/>
      <c r="B570" s="29"/>
      <c r="C570" s="29"/>
      <c r="D570" s="30"/>
      <c r="E570" s="30"/>
      <c r="F570" s="35"/>
      <c r="G570" s="35"/>
      <c r="H570" s="35" t="str">
        <f t="shared" si="8"/>
        <v/>
      </c>
      <c r="I570" s="29"/>
      <c r="K570" s="36" t="str">
        <f>IF(ISNUMBER($D570),IF(YEAR($D570)=대시보드!$C$2,$D570+ROW()/100000,""),"")</f>
        <v/>
      </c>
    </row>
    <row r="571" spans="1:11">
      <c r="A571" s="33"/>
      <c r="B571" s="29"/>
      <c r="C571" s="29"/>
      <c r="D571" s="30"/>
      <c r="E571" s="30"/>
      <c r="F571" s="35"/>
      <c r="G571" s="35"/>
      <c r="H571" s="35" t="str">
        <f t="shared" si="8"/>
        <v/>
      </c>
      <c r="I571" s="29"/>
      <c r="K571" s="36" t="str">
        <f>IF(ISNUMBER($D571),IF(YEAR($D571)=대시보드!$C$2,$D571+ROW()/100000,""),"")</f>
        <v/>
      </c>
    </row>
    <row r="572" spans="1:11">
      <c r="A572" s="33"/>
      <c r="B572" s="29"/>
      <c r="C572" s="29"/>
      <c r="D572" s="30"/>
      <c r="E572" s="30"/>
      <c r="F572" s="35"/>
      <c r="G572" s="35"/>
      <c r="H572" s="35" t="str">
        <f t="shared" si="8"/>
        <v/>
      </c>
      <c r="I572" s="29"/>
      <c r="K572" s="36" t="str">
        <f>IF(ISNUMBER($D572),IF(YEAR($D572)=대시보드!$C$2,$D572+ROW()/100000,""),"")</f>
        <v/>
      </c>
    </row>
    <row r="573" spans="1:11">
      <c r="A573" s="33"/>
      <c r="B573" s="29"/>
      <c r="C573" s="29"/>
      <c r="D573" s="30"/>
      <c r="E573" s="30"/>
      <c r="F573" s="35"/>
      <c r="G573" s="35"/>
      <c r="H573" s="35" t="str">
        <f t="shared" si="8"/>
        <v/>
      </c>
      <c r="I573" s="29"/>
      <c r="K573" s="36" t="str">
        <f>IF(ISNUMBER($D573),IF(YEAR($D573)=대시보드!$C$2,$D573+ROW()/100000,""),"")</f>
        <v/>
      </c>
    </row>
    <row r="574" spans="1:11">
      <c r="A574" s="33"/>
      <c r="B574" s="29"/>
      <c r="C574" s="29"/>
      <c r="D574" s="30"/>
      <c r="E574" s="30"/>
      <c r="F574" s="35"/>
      <c r="G574" s="35"/>
      <c r="H574" s="35" t="str">
        <f t="shared" si="8"/>
        <v/>
      </c>
      <c r="I574" s="29"/>
      <c r="K574" s="36" t="str">
        <f>IF(ISNUMBER($D574),IF(YEAR($D574)=대시보드!$C$2,$D574+ROW()/100000,""),"")</f>
        <v/>
      </c>
    </row>
    <row r="575" spans="1:11">
      <c r="A575" s="33"/>
      <c r="B575" s="29"/>
      <c r="C575" s="29"/>
      <c r="D575" s="30"/>
      <c r="E575" s="30"/>
      <c r="F575" s="35"/>
      <c r="G575" s="35"/>
      <c r="H575" s="35" t="str">
        <f t="shared" si="8"/>
        <v/>
      </c>
      <c r="I575" s="29"/>
      <c r="K575" s="36" t="str">
        <f>IF(ISNUMBER($D575),IF(YEAR($D575)=대시보드!$C$2,$D575+ROW()/100000,""),"")</f>
        <v/>
      </c>
    </row>
    <row r="576" spans="1:11">
      <c r="A576" s="33"/>
      <c r="B576" s="29"/>
      <c r="C576" s="29"/>
      <c r="D576" s="30"/>
      <c r="E576" s="30"/>
      <c r="F576" s="35"/>
      <c r="G576" s="35"/>
      <c r="H576" s="35" t="str">
        <f t="shared" si="8"/>
        <v/>
      </c>
      <c r="I576" s="29"/>
      <c r="K576" s="36" t="str">
        <f>IF(ISNUMBER($D576),IF(YEAR($D576)=대시보드!$C$2,$D576+ROW()/100000,""),"")</f>
        <v/>
      </c>
    </row>
    <row r="577" spans="1:11">
      <c r="A577" s="33"/>
      <c r="B577" s="29"/>
      <c r="C577" s="29"/>
      <c r="D577" s="30"/>
      <c r="E577" s="30"/>
      <c r="F577" s="35"/>
      <c r="G577" s="35"/>
      <c r="H577" s="35" t="str">
        <f t="shared" si="8"/>
        <v/>
      </c>
      <c r="I577" s="29"/>
      <c r="K577" s="36" t="str">
        <f>IF(ISNUMBER($D577),IF(YEAR($D577)=대시보드!$C$2,$D577+ROW()/100000,""),"")</f>
        <v/>
      </c>
    </row>
    <row r="578" spans="1:11">
      <c r="A578" s="33"/>
      <c r="B578" s="29"/>
      <c r="C578" s="29"/>
      <c r="D578" s="30"/>
      <c r="E578" s="30"/>
      <c r="F578" s="35"/>
      <c r="G578" s="35"/>
      <c r="H578" s="35" t="str">
        <f t="shared" si="8"/>
        <v/>
      </c>
      <c r="I578" s="29"/>
      <c r="K578" s="36" t="str">
        <f>IF(ISNUMBER($D578),IF(YEAR($D578)=대시보드!$C$2,$D578+ROW()/100000,""),"")</f>
        <v/>
      </c>
    </row>
    <row r="579" spans="1:11">
      <c r="A579" s="33"/>
      <c r="B579" s="29"/>
      <c r="C579" s="29"/>
      <c r="D579" s="30"/>
      <c r="E579" s="30"/>
      <c r="F579" s="35"/>
      <c r="G579" s="35"/>
      <c r="H579" s="35" t="str">
        <f t="shared" si="8"/>
        <v/>
      </c>
      <c r="I579" s="29"/>
      <c r="K579" s="36" t="str">
        <f>IF(ISNUMBER($D579),IF(YEAR($D579)=대시보드!$C$2,$D579+ROW()/100000,""),"")</f>
        <v/>
      </c>
    </row>
    <row r="580" spans="1:11">
      <c r="A580" s="33"/>
      <c r="B580" s="29"/>
      <c r="C580" s="29"/>
      <c r="D580" s="30"/>
      <c r="E580" s="30"/>
      <c r="F580" s="35"/>
      <c r="G580" s="35"/>
      <c r="H580" s="35" t="str">
        <f t="shared" ref="H580:H643" si="9">IF(F580="","",F580-G580)</f>
        <v/>
      </c>
      <c r="I580" s="29"/>
      <c r="K580" s="36" t="str">
        <f>IF(ISNUMBER($D580),IF(YEAR($D580)=대시보드!$C$2,$D580+ROW()/100000,""),"")</f>
        <v/>
      </c>
    </row>
    <row r="581" spans="1:11">
      <c r="A581" s="33"/>
      <c r="B581" s="29"/>
      <c r="C581" s="29"/>
      <c r="D581" s="30"/>
      <c r="E581" s="30"/>
      <c r="F581" s="35"/>
      <c r="G581" s="35"/>
      <c r="H581" s="35" t="str">
        <f t="shared" si="9"/>
        <v/>
      </c>
      <c r="I581" s="29"/>
      <c r="K581" s="36" t="str">
        <f>IF(ISNUMBER($D581),IF(YEAR($D581)=대시보드!$C$2,$D581+ROW()/100000,""),"")</f>
        <v/>
      </c>
    </row>
    <row r="582" spans="1:11">
      <c r="A582" s="33"/>
      <c r="B582" s="29"/>
      <c r="C582" s="29"/>
      <c r="D582" s="30"/>
      <c r="E582" s="30"/>
      <c r="F582" s="35"/>
      <c r="G582" s="35"/>
      <c r="H582" s="35" t="str">
        <f t="shared" si="9"/>
        <v/>
      </c>
      <c r="I582" s="29"/>
      <c r="K582" s="36" t="str">
        <f>IF(ISNUMBER($D582),IF(YEAR($D582)=대시보드!$C$2,$D582+ROW()/100000,""),"")</f>
        <v/>
      </c>
    </row>
    <row r="583" spans="1:11">
      <c r="A583" s="33"/>
      <c r="B583" s="29"/>
      <c r="C583" s="29"/>
      <c r="D583" s="30"/>
      <c r="E583" s="30"/>
      <c r="F583" s="35"/>
      <c r="G583" s="35"/>
      <c r="H583" s="35" t="str">
        <f t="shared" si="9"/>
        <v/>
      </c>
      <c r="I583" s="29"/>
      <c r="K583" s="36" t="str">
        <f>IF(ISNUMBER($D583),IF(YEAR($D583)=대시보드!$C$2,$D583+ROW()/100000,""),"")</f>
        <v/>
      </c>
    </row>
    <row r="584" spans="1:11">
      <c r="A584" s="33"/>
      <c r="B584" s="29"/>
      <c r="C584" s="29"/>
      <c r="D584" s="30"/>
      <c r="E584" s="30"/>
      <c r="F584" s="35"/>
      <c r="G584" s="35"/>
      <c r="H584" s="35" t="str">
        <f t="shared" si="9"/>
        <v/>
      </c>
      <c r="I584" s="29"/>
      <c r="K584" s="36" t="str">
        <f>IF(ISNUMBER($D584),IF(YEAR($D584)=대시보드!$C$2,$D584+ROW()/100000,""),"")</f>
        <v/>
      </c>
    </row>
    <row r="585" spans="1:11">
      <c r="A585" s="33"/>
      <c r="B585" s="29"/>
      <c r="C585" s="29"/>
      <c r="D585" s="30"/>
      <c r="E585" s="30"/>
      <c r="F585" s="35"/>
      <c r="G585" s="35"/>
      <c r="H585" s="35" t="str">
        <f t="shared" si="9"/>
        <v/>
      </c>
      <c r="I585" s="29"/>
      <c r="K585" s="36" t="str">
        <f>IF(ISNUMBER($D585),IF(YEAR($D585)=대시보드!$C$2,$D585+ROW()/100000,""),"")</f>
        <v/>
      </c>
    </row>
    <row r="586" spans="1:11">
      <c r="A586" s="33"/>
      <c r="B586" s="29"/>
      <c r="C586" s="29"/>
      <c r="D586" s="30"/>
      <c r="E586" s="30"/>
      <c r="F586" s="35"/>
      <c r="G586" s="35"/>
      <c r="H586" s="35" t="str">
        <f t="shared" si="9"/>
        <v/>
      </c>
      <c r="I586" s="29"/>
      <c r="K586" s="36" t="str">
        <f>IF(ISNUMBER($D586),IF(YEAR($D586)=대시보드!$C$2,$D586+ROW()/100000,""),"")</f>
        <v/>
      </c>
    </row>
    <row r="587" spans="1:11">
      <c r="A587" s="33"/>
      <c r="B587" s="29"/>
      <c r="C587" s="29"/>
      <c r="D587" s="30"/>
      <c r="E587" s="30"/>
      <c r="F587" s="35"/>
      <c r="G587" s="35"/>
      <c r="H587" s="35" t="str">
        <f t="shared" si="9"/>
        <v/>
      </c>
      <c r="I587" s="29"/>
      <c r="K587" s="36" t="str">
        <f>IF(ISNUMBER($D587),IF(YEAR($D587)=대시보드!$C$2,$D587+ROW()/100000,""),"")</f>
        <v/>
      </c>
    </row>
    <row r="588" spans="1:11">
      <c r="A588" s="33"/>
      <c r="B588" s="29"/>
      <c r="C588" s="29"/>
      <c r="D588" s="30"/>
      <c r="E588" s="30"/>
      <c r="F588" s="35"/>
      <c r="G588" s="35"/>
      <c r="H588" s="35" t="str">
        <f t="shared" si="9"/>
        <v/>
      </c>
      <c r="I588" s="29"/>
      <c r="K588" s="36" t="str">
        <f>IF(ISNUMBER($D588),IF(YEAR($D588)=대시보드!$C$2,$D588+ROW()/100000,""),"")</f>
        <v/>
      </c>
    </row>
    <row r="589" spans="1:11">
      <c r="A589" s="33"/>
      <c r="B589" s="29"/>
      <c r="C589" s="29"/>
      <c r="D589" s="30"/>
      <c r="E589" s="30"/>
      <c r="F589" s="35"/>
      <c r="G589" s="35"/>
      <c r="H589" s="35" t="str">
        <f t="shared" si="9"/>
        <v/>
      </c>
      <c r="I589" s="29"/>
      <c r="K589" s="36" t="str">
        <f>IF(ISNUMBER($D589),IF(YEAR($D589)=대시보드!$C$2,$D589+ROW()/100000,""),"")</f>
        <v/>
      </c>
    </row>
    <row r="590" spans="1:11">
      <c r="A590" s="33"/>
      <c r="B590" s="29"/>
      <c r="C590" s="29"/>
      <c r="D590" s="30"/>
      <c r="E590" s="30"/>
      <c r="F590" s="35"/>
      <c r="G590" s="35"/>
      <c r="H590" s="35" t="str">
        <f t="shared" si="9"/>
        <v/>
      </c>
      <c r="I590" s="29"/>
      <c r="K590" s="36" t="str">
        <f>IF(ISNUMBER($D590),IF(YEAR($D590)=대시보드!$C$2,$D590+ROW()/100000,""),"")</f>
        <v/>
      </c>
    </row>
    <row r="591" spans="1:11">
      <c r="A591" s="33"/>
      <c r="B591" s="29"/>
      <c r="C591" s="29"/>
      <c r="D591" s="30"/>
      <c r="E591" s="30"/>
      <c r="F591" s="35"/>
      <c r="G591" s="35"/>
      <c r="H591" s="35" t="str">
        <f t="shared" si="9"/>
        <v/>
      </c>
      <c r="I591" s="29"/>
      <c r="K591" s="36" t="str">
        <f>IF(ISNUMBER($D591),IF(YEAR($D591)=대시보드!$C$2,$D591+ROW()/100000,""),"")</f>
        <v/>
      </c>
    </row>
    <row r="592" spans="1:11">
      <c r="A592" s="33"/>
      <c r="B592" s="29"/>
      <c r="C592" s="29"/>
      <c r="D592" s="30"/>
      <c r="E592" s="30"/>
      <c r="F592" s="35"/>
      <c r="G592" s="35"/>
      <c r="H592" s="35" t="str">
        <f t="shared" si="9"/>
        <v/>
      </c>
      <c r="I592" s="29"/>
      <c r="K592" s="36" t="str">
        <f>IF(ISNUMBER($D592),IF(YEAR($D592)=대시보드!$C$2,$D592+ROW()/100000,""),"")</f>
        <v/>
      </c>
    </row>
    <row r="593" spans="1:11">
      <c r="A593" s="33"/>
      <c r="B593" s="29"/>
      <c r="C593" s="29"/>
      <c r="D593" s="30"/>
      <c r="E593" s="30"/>
      <c r="F593" s="35"/>
      <c r="G593" s="35"/>
      <c r="H593" s="35" t="str">
        <f t="shared" si="9"/>
        <v/>
      </c>
      <c r="I593" s="29"/>
      <c r="K593" s="36" t="str">
        <f>IF(ISNUMBER($D593),IF(YEAR($D593)=대시보드!$C$2,$D593+ROW()/100000,""),"")</f>
        <v/>
      </c>
    </row>
    <row r="594" spans="1:11">
      <c r="A594" s="33"/>
      <c r="B594" s="29"/>
      <c r="C594" s="29"/>
      <c r="D594" s="30"/>
      <c r="E594" s="30"/>
      <c r="F594" s="35"/>
      <c r="G594" s="35"/>
      <c r="H594" s="35" t="str">
        <f t="shared" si="9"/>
        <v/>
      </c>
      <c r="I594" s="29"/>
      <c r="K594" s="36" t="str">
        <f>IF(ISNUMBER($D594),IF(YEAR($D594)=대시보드!$C$2,$D594+ROW()/100000,""),"")</f>
        <v/>
      </c>
    </row>
    <row r="595" spans="1:11">
      <c r="A595" s="33"/>
      <c r="B595" s="29"/>
      <c r="C595" s="29"/>
      <c r="D595" s="30"/>
      <c r="E595" s="30"/>
      <c r="F595" s="35"/>
      <c r="G595" s="35"/>
      <c r="H595" s="35" t="str">
        <f t="shared" si="9"/>
        <v/>
      </c>
      <c r="I595" s="29"/>
      <c r="K595" s="36" t="str">
        <f>IF(ISNUMBER($D595),IF(YEAR($D595)=대시보드!$C$2,$D595+ROW()/100000,""),"")</f>
        <v/>
      </c>
    </row>
    <row r="596" spans="1:11">
      <c r="A596" s="33"/>
      <c r="B596" s="29"/>
      <c r="C596" s="29"/>
      <c r="D596" s="30"/>
      <c r="E596" s="30"/>
      <c r="F596" s="35"/>
      <c r="G596" s="35"/>
      <c r="H596" s="35" t="str">
        <f t="shared" si="9"/>
        <v/>
      </c>
      <c r="I596" s="29"/>
      <c r="K596" s="36" t="str">
        <f>IF(ISNUMBER($D596),IF(YEAR($D596)=대시보드!$C$2,$D596+ROW()/100000,""),"")</f>
        <v/>
      </c>
    </row>
    <row r="597" spans="1:11">
      <c r="A597" s="33"/>
      <c r="B597" s="29"/>
      <c r="C597" s="29"/>
      <c r="D597" s="30"/>
      <c r="E597" s="30"/>
      <c r="F597" s="35"/>
      <c r="G597" s="35"/>
      <c r="H597" s="35" t="str">
        <f t="shared" si="9"/>
        <v/>
      </c>
      <c r="I597" s="29"/>
      <c r="K597" s="36" t="str">
        <f>IF(ISNUMBER($D597),IF(YEAR($D597)=대시보드!$C$2,$D597+ROW()/100000,""),"")</f>
        <v/>
      </c>
    </row>
    <row r="598" spans="1:11">
      <c r="A598" s="33"/>
      <c r="B598" s="29"/>
      <c r="C598" s="29"/>
      <c r="D598" s="30"/>
      <c r="E598" s="30"/>
      <c r="F598" s="35"/>
      <c r="G598" s="35"/>
      <c r="H598" s="35" t="str">
        <f t="shared" si="9"/>
        <v/>
      </c>
      <c r="I598" s="29"/>
      <c r="K598" s="36" t="str">
        <f>IF(ISNUMBER($D598),IF(YEAR($D598)=대시보드!$C$2,$D598+ROW()/100000,""),"")</f>
        <v/>
      </c>
    </row>
    <row r="599" spans="1:11">
      <c r="A599" s="33"/>
      <c r="B599" s="29"/>
      <c r="C599" s="29"/>
      <c r="D599" s="30"/>
      <c r="E599" s="30"/>
      <c r="F599" s="35"/>
      <c r="G599" s="35"/>
      <c r="H599" s="35" t="str">
        <f t="shared" si="9"/>
        <v/>
      </c>
      <c r="I599" s="29"/>
      <c r="K599" s="36" t="str">
        <f>IF(ISNUMBER($D599),IF(YEAR($D599)=대시보드!$C$2,$D599+ROW()/100000,""),"")</f>
        <v/>
      </c>
    </row>
    <row r="600" spans="1:11">
      <c r="A600" s="33"/>
      <c r="B600" s="29"/>
      <c r="C600" s="29"/>
      <c r="D600" s="30"/>
      <c r="E600" s="30"/>
      <c r="F600" s="35"/>
      <c r="G600" s="35"/>
      <c r="H600" s="35" t="str">
        <f t="shared" si="9"/>
        <v/>
      </c>
      <c r="I600" s="29"/>
      <c r="K600" s="36" t="str">
        <f>IF(ISNUMBER($D600),IF(YEAR($D600)=대시보드!$C$2,$D600+ROW()/100000,""),"")</f>
        <v/>
      </c>
    </row>
    <row r="601" spans="1:11">
      <c r="A601" s="33"/>
      <c r="B601" s="29"/>
      <c r="C601" s="29"/>
      <c r="D601" s="30"/>
      <c r="E601" s="30"/>
      <c r="F601" s="35"/>
      <c r="G601" s="35"/>
      <c r="H601" s="35" t="str">
        <f t="shared" si="9"/>
        <v/>
      </c>
      <c r="I601" s="29"/>
      <c r="K601" s="36" t="str">
        <f>IF(ISNUMBER($D601),IF(YEAR($D601)=대시보드!$C$2,$D601+ROW()/100000,""),"")</f>
        <v/>
      </c>
    </row>
    <row r="602" spans="1:11">
      <c r="A602" s="33"/>
      <c r="B602" s="29"/>
      <c r="C602" s="29"/>
      <c r="D602" s="30"/>
      <c r="E602" s="30"/>
      <c r="F602" s="35"/>
      <c r="G602" s="35"/>
      <c r="H602" s="35" t="str">
        <f t="shared" si="9"/>
        <v/>
      </c>
      <c r="I602" s="29"/>
      <c r="K602" s="36" t="str">
        <f>IF(ISNUMBER($D602),IF(YEAR($D602)=대시보드!$C$2,$D602+ROW()/100000,""),"")</f>
        <v/>
      </c>
    </row>
    <row r="603" spans="1:11">
      <c r="A603" s="33"/>
      <c r="B603" s="29"/>
      <c r="C603" s="29"/>
      <c r="D603" s="30"/>
      <c r="E603" s="30"/>
      <c r="F603" s="35"/>
      <c r="G603" s="35"/>
      <c r="H603" s="35" t="str">
        <f t="shared" si="9"/>
        <v/>
      </c>
      <c r="I603" s="29"/>
      <c r="K603" s="36" t="str">
        <f>IF(ISNUMBER($D603),IF(YEAR($D603)=대시보드!$C$2,$D603+ROW()/100000,""),"")</f>
        <v/>
      </c>
    </row>
    <row r="604" spans="1:11">
      <c r="A604" s="33"/>
      <c r="B604" s="29"/>
      <c r="C604" s="29"/>
      <c r="D604" s="30"/>
      <c r="E604" s="30"/>
      <c r="F604" s="35"/>
      <c r="G604" s="35"/>
      <c r="H604" s="35" t="str">
        <f t="shared" si="9"/>
        <v/>
      </c>
      <c r="I604" s="29"/>
      <c r="K604" s="36" t="str">
        <f>IF(ISNUMBER($D604),IF(YEAR($D604)=대시보드!$C$2,$D604+ROW()/100000,""),"")</f>
        <v/>
      </c>
    </row>
    <row r="605" spans="1:11">
      <c r="A605" s="33"/>
      <c r="B605" s="29"/>
      <c r="C605" s="29"/>
      <c r="D605" s="30"/>
      <c r="E605" s="30"/>
      <c r="F605" s="35"/>
      <c r="G605" s="35"/>
      <c r="H605" s="35" t="str">
        <f t="shared" si="9"/>
        <v/>
      </c>
      <c r="I605" s="29"/>
      <c r="K605" s="36" t="str">
        <f>IF(ISNUMBER($D605),IF(YEAR($D605)=대시보드!$C$2,$D605+ROW()/100000,""),"")</f>
        <v/>
      </c>
    </row>
    <row r="606" spans="1:11">
      <c r="A606" s="33"/>
      <c r="B606" s="29"/>
      <c r="C606" s="29"/>
      <c r="D606" s="30"/>
      <c r="E606" s="30"/>
      <c r="F606" s="35"/>
      <c r="G606" s="35"/>
      <c r="H606" s="35" t="str">
        <f t="shared" si="9"/>
        <v/>
      </c>
      <c r="I606" s="29"/>
      <c r="K606" s="36" t="str">
        <f>IF(ISNUMBER($D606),IF(YEAR($D606)=대시보드!$C$2,$D606+ROW()/100000,""),"")</f>
        <v/>
      </c>
    </row>
    <row r="607" spans="1:11">
      <c r="A607" s="33"/>
      <c r="B607" s="29"/>
      <c r="C607" s="29"/>
      <c r="D607" s="30"/>
      <c r="E607" s="30"/>
      <c r="F607" s="35"/>
      <c r="G607" s="35"/>
      <c r="H607" s="35" t="str">
        <f t="shared" si="9"/>
        <v/>
      </c>
      <c r="I607" s="29"/>
      <c r="K607" s="36" t="str">
        <f>IF(ISNUMBER($D607),IF(YEAR($D607)=대시보드!$C$2,$D607+ROW()/100000,""),"")</f>
        <v/>
      </c>
    </row>
    <row r="608" spans="1:11">
      <c r="A608" s="33"/>
      <c r="B608" s="29"/>
      <c r="C608" s="29"/>
      <c r="D608" s="30"/>
      <c r="E608" s="30"/>
      <c r="F608" s="35"/>
      <c r="G608" s="35"/>
      <c r="H608" s="35" t="str">
        <f t="shared" si="9"/>
        <v/>
      </c>
      <c r="I608" s="29"/>
      <c r="K608" s="36" t="str">
        <f>IF(ISNUMBER($D608),IF(YEAR($D608)=대시보드!$C$2,$D608+ROW()/100000,""),"")</f>
        <v/>
      </c>
    </row>
    <row r="609" spans="1:11">
      <c r="A609" s="33"/>
      <c r="B609" s="29"/>
      <c r="C609" s="29"/>
      <c r="D609" s="30"/>
      <c r="E609" s="30"/>
      <c r="F609" s="35"/>
      <c r="G609" s="35"/>
      <c r="H609" s="35" t="str">
        <f t="shared" si="9"/>
        <v/>
      </c>
      <c r="I609" s="29"/>
      <c r="K609" s="36" t="str">
        <f>IF(ISNUMBER($D609),IF(YEAR($D609)=대시보드!$C$2,$D609+ROW()/100000,""),"")</f>
        <v/>
      </c>
    </row>
    <row r="610" spans="1:11">
      <c r="A610" s="33"/>
      <c r="B610" s="29"/>
      <c r="C610" s="29"/>
      <c r="D610" s="30"/>
      <c r="E610" s="30"/>
      <c r="F610" s="35"/>
      <c r="G610" s="35"/>
      <c r="H610" s="35" t="str">
        <f t="shared" si="9"/>
        <v/>
      </c>
      <c r="I610" s="29"/>
      <c r="K610" s="36" t="str">
        <f>IF(ISNUMBER($D610),IF(YEAR($D610)=대시보드!$C$2,$D610+ROW()/100000,""),"")</f>
        <v/>
      </c>
    </row>
    <row r="611" spans="1:11">
      <c r="A611" s="33"/>
      <c r="B611" s="29"/>
      <c r="C611" s="29"/>
      <c r="D611" s="30"/>
      <c r="E611" s="30"/>
      <c r="F611" s="35"/>
      <c r="G611" s="35"/>
      <c r="H611" s="35" t="str">
        <f t="shared" si="9"/>
        <v/>
      </c>
      <c r="I611" s="29"/>
      <c r="K611" s="36" t="str">
        <f>IF(ISNUMBER($D611),IF(YEAR($D611)=대시보드!$C$2,$D611+ROW()/100000,""),"")</f>
        <v/>
      </c>
    </row>
    <row r="612" spans="1:11">
      <c r="A612" s="33"/>
      <c r="B612" s="29"/>
      <c r="C612" s="29"/>
      <c r="D612" s="30"/>
      <c r="E612" s="30"/>
      <c r="F612" s="35"/>
      <c r="G612" s="35"/>
      <c r="H612" s="35" t="str">
        <f t="shared" si="9"/>
        <v/>
      </c>
      <c r="I612" s="29"/>
      <c r="K612" s="36" t="str">
        <f>IF(ISNUMBER($D612),IF(YEAR($D612)=대시보드!$C$2,$D612+ROW()/100000,""),"")</f>
        <v/>
      </c>
    </row>
    <row r="613" spans="1:11">
      <c r="A613" s="33"/>
      <c r="B613" s="29"/>
      <c r="C613" s="29"/>
      <c r="D613" s="30"/>
      <c r="E613" s="30"/>
      <c r="F613" s="35"/>
      <c r="G613" s="35"/>
      <c r="H613" s="35" t="str">
        <f t="shared" si="9"/>
        <v/>
      </c>
      <c r="I613" s="29"/>
      <c r="K613" s="36" t="str">
        <f>IF(ISNUMBER($D613),IF(YEAR($D613)=대시보드!$C$2,$D613+ROW()/100000,""),"")</f>
        <v/>
      </c>
    </row>
    <row r="614" spans="1:11">
      <c r="A614" s="33"/>
      <c r="B614" s="29"/>
      <c r="C614" s="29"/>
      <c r="D614" s="30"/>
      <c r="E614" s="30"/>
      <c r="F614" s="35"/>
      <c r="G614" s="35"/>
      <c r="H614" s="35" t="str">
        <f t="shared" si="9"/>
        <v/>
      </c>
      <c r="I614" s="29"/>
      <c r="K614" s="36" t="str">
        <f>IF(ISNUMBER($D614),IF(YEAR($D614)=대시보드!$C$2,$D614+ROW()/100000,""),"")</f>
        <v/>
      </c>
    </row>
    <row r="615" spans="1:11">
      <c r="A615" s="33"/>
      <c r="B615" s="29"/>
      <c r="C615" s="29"/>
      <c r="D615" s="30"/>
      <c r="E615" s="30"/>
      <c r="F615" s="35"/>
      <c r="G615" s="35"/>
      <c r="H615" s="35" t="str">
        <f t="shared" si="9"/>
        <v/>
      </c>
      <c r="I615" s="29"/>
      <c r="K615" s="36" t="str">
        <f>IF(ISNUMBER($D615),IF(YEAR($D615)=대시보드!$C$2,$D615+ROW()/100000,""),"")</f>
        <v/>
      </c>
    </row>
    <row r="616" spans="1:11">
      <c r="A616" s="33"/>
      <c r="B616" s="29"/>
      <c r="C616" s="29"/>
      <c r="D616" s="30"/>
      <c r="E616" s="30"/>
      <c r="F616" s="35"/>
      <c r="G616" s="35"/>
      <c r="H616" s="35" t="str">
        <f t="shared" si="9"/>
        <v/>
      </c>
      <c r="I616" s="29"/>
      <c r="K616" s="36" t="str">
        <f>IF(ISNUMBER($D616),IF(YEAR($D616)=대시보드!$C$2,$D616+ROW()/100000,""),"")</f>
        <v/>
      </c>
    </row>
    <row r="617" spans="1:11">
      <c r="A617" s="33"/>
      <c r="B617" s="29"/>
      <c r="C617" s="29"/>
      <c r="D617" s="30"/>
      <c r="E617" s="30"/>
      <c r="F617" s="35"/>
      <c r="G617" s="35"/>
      <c r="H617" s="35" t="str">
        <f t="shared" si="9"/>
        <v/>
      </c>
      <c r="I617" s="29"/>
      <c r="K617" s="36" t="str">
        <f>IF(ISNUMBER($D617),IF(YEAR($D617)=대시보드!$C$2,$D617+ROW()/100000,""),"")</f>
        <v/>
      </c>
    </row>
    <row r="618" spans="1:11">
      <c r="A618" s="33"/>
      <c r="B618" s="29"/>
      <c r="C618" s="29"/>
      <c r="D618" s="30"/>
      <c r="E618" s="30"/>
      <c r="F618" s="35"/>
      <c r="G618" s="35"/>
      <c r="H618" s="35" t="str">
        <f t="shared" si="9"/>
        <v/>
      </c>
      <c r="I618" s="29"/>
      <c r="K618" s="36" t="str">
        <f>IF(ISNUMBER($D618),IF(YEAR($D618)=대시보드!$C$2,$D618+ROW()/100000,""),"")</f>
        <v/>
      </c>
    </row>
    <row r="619" spans="1:11">
      <c r="A619" s="33"/>
      <c r="B619" s="29"/>
      <c r="C619" s="29"/>
      <c r="D619" s="30"/>
      <c r="E619" s="30"/>
      <c r="F619" s="35"/>
      <c r="G619" s="35"/>
      <c r="H619" s="35" t="str">
        <f t="shared" si="9"/>
        <v/>
      </c>
      <c r="I619" s="29"/>
      <c r="K619" s="36" t="str">
        <f>IF(ISNUMBER($D619),IF(YEAR($D619)=대시보드!$C$2,$D619+ROW()/100000,""),"")</f>
        <v/>
      </c>
    </row>
    <row r="620" spans="1:11">
      <c r="A620" s="33"/>
      <c r="B620" s="29"/>
      <c r="C620" s="29"/>
      <c r="D620" s="30"/>
      <c r="E620" s="30"/>
      <c r="F620" s="35"/>
      <c r="G620" s="35"/>
      <c r="H620" s="35" t="str">
        <f t="shared" si="9"/>
        <v/>
      </c>
      <c r="I620" s="29"/>
      <c r="K620" s="36" t="str">
        <f>IF(ISNUMBER($D620),IF(YEAR($D620)=대시보드!$C$2,$D620+ROW()/100000,""),"")</f>
        <v/>
      </c>
    </row>
    <row r="621" spans="1:11">
      <c r="A621" s="33"/>
      <c r="B621" s="29"/>
      <c r="C621" s="29"/>
      <c r="D621" s="30"/>
      <c r="E621" s="30"/>
      <c r="F621" s="35"/>
      <c r="G621" s="35"/>
      <c r="H621" s="35" t="str">
        <f t="shared" si="9"/>
        <v/>
      </c>
      <c r="I621" s="29"/>
      <c r="K621" s="36" t="str">
        <f>IF(ISNUMBER($D621),IF(YEAR($D621)=대시보드!$C$2,$D621+ROW()/100000,""),"")</f>
        <v/>
      </c>
    </row>
    <row r="622" spans="1:11">
      <c r="A622" s="33"/>
      <c r="B622" s="29"/>
      <c r="C622" s="29"/>
      <c r="D622" s="30"/>
      <c r="E622" s="30"/>
      <c r="F622" s="35"/>
      <c r="G622" s="35"/>
      <c r="H622" s="35" t="str">
        <f t="shared" si="9"/>
        <v/>
      </c>
      <c r="I622" s="29"/>
      <c r="K622" s="36" t="str">
        <f>IF(ISNUMBER($D622),IF(YEAR($D622)=대시보드!$C$2,$D622+ROW()/100000,""),"")</f>
        <v/>
      </c>
    </row>
    <row r="623" spans="1:11">
      <c r="A623" s="33"/>
      <c r="B623" s="29"/>
      <c r="C623" s="29"/>
      <c r="D623" s="30"/>
      <c r="E623" s="30"/>
      <c r="F623" s="35"/>
      <c r="G623" s="35"/>
      <c r="H623" s="35" t="str">
        <f t="shared" si="9"/>
        <v/>
      </c>
      <c r="I623" s="29"/>
      <c r="K623" s="36" t="str">
        <f>IF(ISNUMBER($D623),IF(YEAR($D623)=대시보드!$C$2,$D623+ROW()/100000,""),"")</f>
        <v/>
      </c>
    </row>
    <row r="624" spans="1:11">
      <c r="A624" s="33"/>
      <c r="B624" s="29"/>
      <c r="C624" s="29"/>
      <c r="D624" s="30"/>
      <c r="E624" s="30"/>
      <c r="F624" s="35"/>
      <c r="G624" s="35"/>
      <c r="H624" s="35" t="str">
        <f t="shared" si="9"/>
        <v/>
      </c>
      <c r="I624" s="29"/>
      <c r="K624" s="36" t="str">
        <f>IF(ISNUMBER($D624),IF(YEAR($D624)=대시보드!$C$2,$D624+ROW()/100000,""),"")</f>
        <v/>
      </c>
    </row>
    <row r="625" spans="1:11">
      <c r="A625" s="33"/>
      <c r="B625" s="29"/>
      <c r="C625" s="29"/>
      <c r="D625" s="30"/>
      <c r="E625" s="30"/>
      <c r="F625" s="35"/>
      <c r="G625" s="35"/>
      <c r="H625" s="35" t="str">
        <f t="shared" si="9"/>
        <v/>
      </c>
      <c r="I625" s="29"/>
      <c r="K625" s="36" t="str">
        <f>IF(ISNUMBER($D625),IF(YEAR($D625)=대시보드!$C$2,$D625+ROW()/100000,""),"")</f>
        <v/>
      </c>
    </row>
    <row r="626" spans="1:11">
      <c r="A626" s="33"/>
      <c r="B626" s="29"/>
      <c r="C626" s="29"/>
      <c r="D626" s="30"/>
      <c r="E626" s="30"/>
      <c r="F626" s="35"/>
      <c r="G626" s="35"/>
      <c r="H626" s="35" t="str">
        <f t="shared" si="9"/>
        <v/>
      </c>
      <c r="I626" s="29"/>
      <c r="K626" s="36" t="str">
        <f>IF(ISNUMBER($D626),IF(YEAR($D626)=대시보드!$C$2,$D626+ROW()/100000,""),"")</f>
        <v/>
      </c>
    </row>
    <row r="627" spans="1:11">
      <c r="A627" s="33"/>
      <c r="B627" s="29"/>
      <c r="C627" s="29"/>
      <c r="D627" s="30"/>
      <c r="E627" s="30"/>
      <c r="F627" s="35"/>
      <c r="G627" s="35"/>
      <c r="H627" s="35" t="str">
        <f t="shared" si="9"/>
        <v/>
      </c>
      <c r="I627" s="29"/>
      <c r="K627" s="36" t="str">
        <f>IF(ISNUMBER($D627),IF(YEAR($D627)=대시보드!$C$2,$D627+ROW()/100000,""),"")</f>
        <v/>
      </c>
    </row>
    <row r="628" spans="1:11">
      <c r="A628" s="33"/>
      <c r="B628" s="29"/>
      <c r="C628" s="29"/>
      <c r="D628" s="30"/>
      <c r="E628" s="30"/>
      <c r="F628" s="35"/>
      <c r="G628" s="35"/>
      <c r="H628" s="35" t="str">
        <f t="shared" si="9"/>
        <v/>
      </c>
      <c r="I628" s="29"/>
      <c r="K628" s="36" t="str">
        <f>IF(ISNUMBER($D628),IF(YEAR($D628)=대시보드!$C$2,$D628+ROW()/100000,""),"")</f>
        <v/>
      </c>
    </row>
    <row r="629" spans="1:11">
      <c r="A629" s="33"/>
      <c r="B629" s="29"/>
      <c r="C629" s="29"/>
      <c r="D629" s="30"/>
      <c r="E629" s="30"/>
      <c r="F629" s="35"/>
      <c r="G629" s="35"/>
      <c r="H629" s="35" t="str">
        <f t="shared" si="9"/>
        <v/>
      </c>
      <c r="I629" s="29"/>
      <c r="K629" s="36" t="str">
        <f>IF(ISNUMBER($D629),IF(YEAR($D629)=대시보드!$C$2,$D629+ROW()/100000,""),"")</f>
        <v/>
      </c>
    </row>
    <row r="630" spans="1:11">
      <c r="A630" s="33"/>
      <c r="B630" s="29"/>
      <c r="C630" s="29"/>
      <c r="D630" s="30"/>
      <c r="E630" s="30"/>
      <c r="F630" s="35"/>
      <c r="G630" s="35"/>
      <c r="H630" s="35" t="str">
        <f t="shared" si="9"/>
        <v/>
      </c>
      <c r="I630" s="29"/>
      <c r="K630" s="36" t="str">
        <f>IF(ISNUMBER($D630),IF(YEAR($D630)=대시보드!$C$2,$D630+ROW()/100000,""),"")</f>
        <v/>
      </c>
    </row>
    <row r="631" spans="1:11">
      <c r="A631" s="33"/>
      <c r="B631" s="29"/>
      <c r="C631" s="29"/>
      <c r="D631" s="30"/>
      <c r="E631" s="30"/>
      <c r="F631" s="35"/>
      <c r="G631" s="35"/>
      <c r="H631" s="35" t="str">
        <f t="shared" si="9"/>
        <v/>
      </c>
      <c r="I631" s="29"/>
      <c r="K631" s="36" t="str">
        <f>IF(ISNUMBER($D631),IF(YEAR($D631)=대시보드!$C$2,$D631+ROW()/100000,""),"")</f>
        <v/>
      </c>
    </row>
    <row r="632" spans="1:11">
      <c r="A632" s="33"/>
      <c r="B632" s="29"/>
      <c r="C632" s="29"/>
      <c r="D632" s="30"/>
      <c r="E632" s="30"/>
      <c r="F632" s="35"/>
      <c r="G632" s="35"/>
      <c r="H632" s="35" t="str">
        <f t="shared" si="9"/>
        <v/>
      </c>
      <c r="I632" s="29"/>
      <c r="K632" s="36" t="str">
        <f>IF(ISNUMBER($D632),IF(YEAR($D632)=대시보드!$C$2,$D632+ROW()/100000,""),"")</f>
        <v/>
      </c>
    </row>
    <row r="633" spans="1:11">
      <c r="A633" s="33"/>
      <c r="B633" s="29"/>
      <c r="C633" s="29"/>
      <c r="D633" s="30"/>
      <c r="E633" s="30"/>
      <c r="F633" s="35"/>
      <c r="G633" s="35"/>
      <c r="H633" s="35" t="str">
        <f t="shared" si="9"/>
        <v/>
      </c>
      <c r="I633" s="29"/>
      <c r="K633" s="36" t="str">
        <f>IF(ISNUMBER($D633),IF(YEAR($D633)=대시보드!$C$2,$D633+ROW()/100000,""),"")</f>
        <v/>
      </c>
    </row>
    <row r="634" spans="1:11">
      <c r="A634" s="33"/>
      <c r="B634" s="29"/>
      <c r="C634" s="29"/>
      <c r="D634" s="30"/>
      <c r="E634" s="30"/>
      <c r="F634" s="35"/>
      <c r="G634" s="35"/>
      <c r="H634" s="35" t="str">
        <f t="shared" si="9"/>
        <v/>
      </c>
      <c r="I634" s="29"/>
      <c r="K634" s="36" t="str">
        <f>IF(ISNUMBER($D634),IF(YEAR($D634)=대시보드!$C$2,$D634+ROW()/100000,""),"")</f>
        <v/>
      </c>
    </row>
    <row r="635" spans="1:11">
      <c r="A635" s="33"/>
      <c r="B635" s="29"/>
      <c r="C635" s="29"/>
      <c r="D635" s="30"/>
      <c r="E635" s="30"/>
      <c r="F635" s="35"/>
      <c r="G635" s="35"/>
      <c r="H635" s="35" t="str">
        <f t="shared" si="9"/>
        <v/>
      </c>
      <c r="I635" s="29"/>
      <c r="K635" s="36" t="str">
        <f>IF(ISNUMBER($D635),IF(YEAR($D635)=대시보드!$C$2,$D635+ROW()/100000,""),"")</f>
        <v/>
      </c>
    </row>
    <row r="636" spans="1:11">
      <c r="A636" s="33"/>
      <c r="B636" s="29"/>
      <c r="C636" s="29"/>
      <c r="D636" s="30"/>
      <c r="E636" s="30"/>
      <c r="F636" s="35"/>
      <c r="G636" s="35"/>
      <c r="H636" s="35" t="str">
        <f t="shared" si="9"/>
        <v/>
      </c>
      <c r="I636" s="29"/>
      <c r="K636" s="36" t="str">
        <f>IF(ISNUMBER($D636),IF(YEAR($D636)=대시보드!$C$2,$D636+ROW()/100000,""),"")</f>
        <v/>
      </c>
    </row>
    <row r="637" spans="1:11">
      <c r="A637" s="33"/>
      <c r="B637" s="29"/>
      <c r="C637" s="29"/>
      <c r="D637" s="30"/>
      <c r="E637" s="30"/>
      <c r="F637" s="35"/>
      <c r="G637" s="35"/>
      <c r="H637" s="35" t="str">
        <f t="shared" si="9"/>
        <v/>
      </c>
      <c r="I637" s="29"/>
      <c r="K637" s="36" t="str">
        <f>IF(ISNUMBER($D637),IF(YEAR($D637)=대시보드!$C$2,$D637+ROW()/100000,""),"")</f>
        <v/>
      </c>
    </row>
    <row r="638" spans="1:11">
      <c r="A638" s="33"/>
      <c r="B638" s="29"/>
      <c r="C638" s="29"/>
      <c r="D638" s="30"/>
      <c r="E638" s="30"/>
      <c r="F638" s="35"/>
      <c r="G638" s="35"/>
      <c r="H638" s="35" t="str">
        <f t="shared" si="9"/>
        <v/>
      </c>
      <c r="I638" s="29"/>
      <c r="K638" s="36" t="str">
        <f>IF(ISNUMBER($D638),IF(YEAR($D638)=대시보드!$C$2,$D638+ROW()/100000,""),"")</f>
        <v/>
      </c>
    </row>
    <row r="639" spans="1:11">
      <c r="A639" s="33"/>
      <c r="B639" s="29"/>
      <c r="C639" s="29"/>
      <c r="D639" s="30"/>
      <c r="E639" s="30"/>
      <c r="F639" s="35"/>
      <c r="G639" s="35"/>
      <c r="H639" s="35" t="str">
        <f t="shared" si="9"/>
        <v/>
      </c>
      <c r="I639" s="29"/>
      <c r="K639" s="36" t="str">
        <f>IF(ISNUMBER($D639),IF(YEAR($D639)=대시보드!$C$2,$D639+ROW()/100000,""),"")</f>
        <v/>
      </c>
    </row>
    <row r="640" spans="1:11">
      <c r="A640" s="33"/>
      <c r="B640" s="29"/>
      <c r="C640" s="29"/>
      <c r="D640" s="30"/>
      <c r="E640" s="30"/>
      <c r="F640" s="35"/>
      <c r="G640" s="35"/>
      <c r="H640" s="35" t="str">
        <f t="shared" si="9"/>
        <v/>
      </c>
      <c r="I640" s="29"/>
      <c r="K640" s="36" t="str">
        <f>IF(ISNUMBER($D640),IF(YEAR($D640)=대시보드!$C$2,$D640+ROW()/100000,""),"")</f>
        <v/>
      </c>
    </row>
    <row r="641" spans="1:11">
      <c r="A641" s="33"/>
      <c r="B641" s="29"/>
      <c r="C641" s="29"/>
      <c r="D641" s="30"/>
      <c r="E641" s="30"/>
      <c r="F641" s="35"/>
      <c r="G641" s="35"/>
      <c r="H641" s="35" t="str">
        <f t="shared" si="9"/>
        <v/>
      </c>
      <c r="I641" s="29"/>
      <c r="K641" s="36" t="str">
        <f>IF(ISNUMBER($D641),IF(YEAR($D641)=대시보드!$C$2,$D641+ROW()/100000,""),"")</f>
        <v/>
      </c>
    </row>
    <row r="642" spans="1:11">
      <c r="A642" s="33"/>
      <c r="B642" s="29"/>
      <c r="C642" s="29"/>
      <c r="D642" s="30"/>
      <c r="E642" s="30"/>
      <c r="F642" s="35"/>
      <c r="G642" s="35"/>
      <c r="H642" s="35" t="str">
        <f t="shared" si="9"/>
        <v/>
      </c>
      <c r="I642" s="29"/>
      <c r="K642" s="36" t="str">
        <f>IF(ISNUMBER($D642),IF(YEAR($D642)=대시보드!$C$2,$D642+ROW()/100000,""),"")</f>
        <v/>
      </c>
    </row>
    <row r="643" spans="1:11">
      <c r="A643" s="33"/>
      <c r="B643" s="29"/>
      <c r="C643" s="29"/>
      <c r="D643" s="30"/>
      <c r="E643" s="30"/>
      <c r="F643" s="35"/>
      <c r="G643" s="35"/>
      <c r="H643" s="35" t="str">
        <f t="shared" si="9"/>
        <v/>
      </c>
      <c r="I643" s="29"/>
      <c r="K643" s="36" t="str">
        <f>IF(ISNUMBER($D643),IF(YEAR($D643)=대시보드!$C$2,$D643+ROW()/100000,""),"")</f>
        <v/>
      </c>
    </row>
    <row r="644" spans="1:11">
      <c r="A644" s="33"/>
      <c r="B644" s="29"/>
      <c r="C644" s="29"/>
      <c r="D644" s="30"/>
      <c r="E644" s="30"/>
      <c r="F644" s="35"/>
      <c r="G644" s="35"/>
      <c r="H644" s="35" t="str">
        <f t="shared" ref="H644:H707" si="10">IF(F644="","",F644-G644)</f>
        <v/>
      </c>
      <c r="I644" s="29"/>
      <c r="K644" s="36" t="str">
        <f>IF(ISNUMBER($D644),IF(YEAR($D644)=대시보드!$C$2,$D644+ROW()/100000,""),"")</f>
        <v/>
      </c>
    </row>
    <row r="645" spans="1:11">
      <c r="A645" s="33"/>
      <c r="B645" s="29"/>
      <c r="C645" s="29"/>
      <c r="D645" s="30"/>
      <c r="E645" s="30"/>
      <c r="F645" s="35"/>
      <c r="G645" s="35"/>
      <c r="H645" s="35" t="str">
        <f t="shared" si="10"/>
        <v/>
      </c>
      <c r="I645" s="29"/>
      <c r="K645" s="36" t="str">
        <f>IF(ISNUMBER($D645),IF(YEAR($D645)=대시보드!$C$2,$D645+ROW()/100000,""),"")</f>
        <v/>
      </c>
    </row>
    <row r="646" spans="1:11">
      <c r="A646" s="33"/>
      <c r="B646" s="29"/>
      <c r="C646" s="29"/>
      <c r="D646" s="30"/>
      <c r="E646" s="30"/>
      <c r="F646" s="35"/>
      <c r="G646" s="35"/>
      <c r="H646" s="35" t="str">
        <f t="shared" si="10"/>
        <v/>
      </c>
      <c r="I646" s="29"/>
      <c r="K646" s="36" t="str">
        <f>IF(ISNUMBER($D646),IF(YEAR($D646)=대시보드!$C$2,$D646+ROW()/100000,""),"")</f>
        <v/>
      </c>
    </row>
    <row r="647" spans="1:11">
      <c r="A647" s="33"/>
      <c r="B647" s="29"/>
      <c r="C647" s="29"/>
      <c r="D647" s="30"/>
      <c r="E647" s="30"/>
      <c r="F647" s="35"/>
      <c r="G647" s="35"/>
      <c r="H647" s="35" t="str">
        <f t="shared" si="10"/>
        <v/>
      </c>
      <c r="I647" s="29"/>
      <c r="K647" s="36" t="str">
        <f>IF(ISNUMBER($D647),IF(YEAR($D647)=대시보드!$C$2,$D647+ROW()/100000,""),"")</f>
        <v/>
      </c>
    </row>
    <row r="648" spans="1:11">
      <c r="A648" s="33"/>
      <c r="B648" s="29"/>
      <c r="C648" s="29"/>
      <c r="D648" s="30"/>
      <c r="E648" s="30"/>
      <c r="F648" s="35"/>
      <c r="G648" s="35"/>
      <c r="H648" s="35" t="str">
        <f t="shared" si="10"/>
        <v/>
      </c>
      <c r="I648" s="29"/>
      <c r="K648" s="36" t="str">
        <f>IF(ISNUMBER($D648),IF(YEAR($D648)=대시보드!$C$2,$D648+ROW()/100000,""),"")</f>
        <v/>
      </c>
    </row>
    <row r="649" spans="1:11">
      <c r="A649" s="33"/>
      <c r="B649" s="29"/>
      <c r="C649" s="29"/>
      <c r="D649" s="30"/>
      <c r="E649" s="30"/>
      <c r="F649" s="35"/>
      <c r="G649" s="35"/>
      <c r="H649" s="35" t="str">
        <f t="shared" si="10"/>
        <v/>
      </c>
      <c r="I649" s="29"/>
      <c r="K649" s="36" t="str">
        <f>IF(ISNUMBER($D649),IF(YEAR($D649)=대시보드!$C$2,$D649+ROW()/100000,""),"")</f>
        <v/>
      </c>
    </row>
    <row r="650" spans="1:11">
      <c r="A650" s="33"/>
      <c r="B650" s="29"/>
      <c r="C650" s="29"/>
      <c r="D650" s="30"/>
      <c r="E650" s="30"/>
      <c r="F650" s="35"/>
      <c r="G650" s="35"/>
      <c r="H650" s="35" t="str">
        <f t="shared" si="10"/>
        <v/>
      </c>
      <c r="I650" s="29"/>
      <c r="K650" s="36" t="str">
        <f>IF(ISNUMBER($D650),IF(YEAR($D650)=대시보드!$C$2,$D650+ROW()/100000,""),"")</f>
        <v/>
      </c>
    </row>
    <row r="651" spans="1:11">
      <c r="A651" s="33"/>
      <c r="B651" s="29"/>
      <c r="C651" s="29"/>
      <c r="D651" s="30"/>
      <c r="E651" s="30"/>
      <c r="F651" s="35"/>
      <c r="G651" s="35"/>
      <c r="H651" s="35" t="str">
        <f t="shared" si="10"/>
        <v/>
      </c>
      <c r="I651" s="29"/>
      <c r="K651" s="36" t="str">
        <f>IF(ISNUMBER($D651),IF(YEAR($D651)=대시보드!$C$2,$D651+ROW()/100000,""),"")</f>
        <v/>
      </c>
    </row>
    <row r="652" spans="1:11">
      <c r="A652" s="33"/>
      <c r="B652" s="29"/>
      <c r="C652" s="29"/>
      <c r="D652" s="30"/>
      <c r="E652" s="30"/>
      <c r="F652" s="35"/>
      <c r="G652" s="35"/>
      <c r="H652" s="35" t="str">
        <f t="shared" si="10"/>
        <v/>
      </c>
      <c r="I652" s="29"/>
      <c r="K652" s="36" t="str">
        <f>IF(ISNUMBER($D652),IF(YEAR($D652)=대시보드!$C$2,$D652+ROW()/100000,""),"")</f>
        <v/>
      </c>
    </row>
    <row r="653" spans="1:11">
      <c r="A653" s="33"/>
      <c r="B653" s="29"/>
      <c r="C653" s="29"/>
      <c r="D653" s="30"/>
      <c r="E653" s="30"/>
      <c r="F653" s="35"/>
      <c r="G653" s="35"/>
      <c r="H653" s="35" t="str">
        <f t="shared" si="10"/>
        <v/>
      </c>
      <c r="I653" s="29"/>
      <c r="K653" s="36" t="str">
        <f>IF(ISNUMBER($D653),IF(YEAR($D653)=대시보드!$C$2,$D653+ROW()/100000,""),"")</f>
        <v/>
      </c>
    </row>
    <row r="654" spans="1:11">
      <c r="A654" s="33"/>
      <c r="B654" s="29"/>
      <c r="C654" s="29"/>
      <c r="D654" s="30"/>
      <c r="E654" s="30"/>
      <c r="F654" s="35"/>
      <c r="G654" s="35"/>
      <c r="H654" s="35" t="str">
        <f t="shared" si="10"/>
        <v/>
      </c>
      <c r="I654" s="29"/>
      <c r="K654" s="36" t="str">
        <f>IF(ISNUMBER($D654),IF(YEAR($D654)=대시보드!$C$2,$D654+ROW()/100000,""),"")</f>
        <v/>
      </c>
    </row>
    <row r="655" spans="1:11">
      <c r="A655" s="33"/>
      <c r="B655" s="29"/>
      <c r="C655" s="29"/>
      <c r="D655" s="30"/>
      <c r="E655" s="30"/>
      <c r="F655" s="35"/>
      <c r="G655" s="35"/>
      <c r="H655" s="35" t="str">
        <f t="shared" si="10"/>
        <v/>
      </c>
      <c r="I655" s="29"/>
      <c r="K655" s="36" t="str">
        <f>IF(ISNUMBER($D655),IF(YEAR($D655)=대시보드!$C$2,$D655+ROW()/100000,""),"")</f>
        <v/>
      </c>
    </row>
    <row r="656" spans="1:11">
      <c r="A656" s="33"/>
      <c r="B656" s="29"/>
      <c r="C656" s="29"/>
      <c r="D656" s="30"/>
      <c r="E656" s="30"/>
      <c r="F656" s="35"/>
      <c r="G656" s="35"/>
      <c r="H656" s="35" t="str">
        <f t="shared" si="10"/>
        <v/>
      </c>
      <c r="I656" s="29"/>
      <c r="K656" s="36" t="str">
        <f>IF(ISNUMBER($D656),IF(YEAR($D656)=대시보드!$C$2,$D656+ROW()/100000,""),"")</f>
        <v/>
      </c>
    </row>
    <row r="657" spans="1:11">
      <c r="A657" s="33"/>
      <c r="B657" s="29"/>
      <c r="C657" s="29"/>
      <c r="D657" s="30"/>
      <c r="E657" s="30"/>
      <c r="F657" s="35"/>
      <c r="G657" s="35"/>
      <c r="H657" s="35" t="str">
        <f t="shared" si="10"/>
        <v/>
      </c>
      <c r="I657" s="29"/>
      <c r="K657" s="36" t="str">
        <f>IF(ISNUMBER($D657),IF(YEAR($D657)=대시보드!$C$2,$D657+ROW()/100000,""),"")</f>
        <v/>
      </c>
    </row>
    <row r="658" spans="1:11">
      <c r="A658" s="33"/>
      <c r="B658" s="29"/>
      <c r="C658" s="29"/>
      <c r="D658" s="30"/>
      <c r="E658" s="30"/>
      <c r="F658" s="35"/>
      <c r="G658" s="35"/>
      <c r="H658" s="35" t="str">
        <f t="shared" si="10"/>
        <v/>
      </c>
      <c r="I658" s="29"/>
      <c r="K658" s="36" t="str">
        <f>IF(ISNUMBER($D658),IF(YEAR($D658)=대시보드!$C$2,$D658+ROW()/100000,""),"")</f>
        <v/>
      </c>
    </row>
    <row r="659" spans="1:11">
      <c r="A659" s="33"/>
      <c r="B659" s="29"/>
      <c r="C659" s="29"/>
      <c r="D659" s="30"/>
      <c r="E659" s="30"/>
      <c r="F659" s="35"/>
      <c r="G659" s="35"/>
      <c r="H659" s="35" t="str">
        <f t="shared" si="10"/>
        <v/>
      </c>
      <c r="I659" s="29"/>
      <c r="K659" s="36" t="str">
        <f>IF(ISNUMBER($D659),IF(YEAR($D659)=대시보드!$C$2,$D659+ROW()/100000,""),"")</f>
        <v/>
      </c>
    </row>
    <row r="660" spans="1:11">
      <c r="A660" s="33"/>
      <c r="B660" s="29"/>
      <c r="C660" s="29"/>
      <c r="D660" s="30"/>
      <c r="E660" s="30"/>
      <c r="F660" s="35"/>
      <c r="G660" s="35"/>
      <c r="H660" s="35" t="str">
        <f t="shared" si="10"/>
        <v/>
      </c>
      <c r="I660" s="29"/>
      <c r="K660" s="36" t="str">
        <f>IF(ISNUMBER($D660),IF(YEAR($D660)=대시보드!$C$2,$D660+ROW()/100000,""),"")</f>
        <v/>
      </c>
    </row>
    <row r="661" spans="1:11">
      <c r="A661" s="33"/>
      <c r="B661" s="29"/>
      <c r="C661" s="29"/>
      <c r="D661" s="30"/>
      <c r="E661" s="30"/>
      <c r="F661" s="35"/>
      <c r="G661" s="35"/>
      <c r="H661" s="35" t="str">
        <f t="shared" si="10"/>
        <v/>
      </c>
      <c r="I661" s="29"/>
      <c r="K661" s="36" t="str">
        <f>IF(ISNUMBER($D661),IF(YEAR($D661)=대시보드!$C$2,$D661+ROW()/100000,""),"")</f>
        <v/>
      </c>
    </row>
    <row r="662" spans="1:11">
      <c r="A662" s="33"/>
      <c r="B662" s="29"/>
      <c r="C662" s="29"/>
      <c r="D662" s="30"/>
      <c r="E662" s="30"/>
      <c r="F662" s="35"/>
      <c r="G662" s="35"/>
      <c r="H662" s="35" t="str">
        <f t="shared" si="10"/>
        <v/>
      </c>
      <c r="I662" s="29"/>
      <c r="K662" s="36" t="str">
        <f>IF(ISNUMBER($D662),IF(YEAR($D662)=대시보드!$C$2,$D662+ROW()/100000,""),"")</f>
        <v/>
      </c>
    </row>
    <row r="663" spans="1:11">
      <c r="A663" s="33"/>
      <c r="B663" s="29"/>
      <c r="C663" s="29"/>
      <c r="D663" s="30"/>
      <c r="E663" s="30"/>
      <c r="F663" s="35"/>
      <c r="G663" s="35"/>
      <c r="H663" s="35" t="str">
        <f t="shared" si="10"/>
        <v/>
      </c>
      <c r="I663" s="29"/>
      <c r="K663" s="36" t="str">
        <f>IF(ISNUMBER($D663),IF(YEAR($D663)=대시보드!$C$2,$D663+ROW()/100000,""),"")</f>
        <v/>
      </c>
    </row>
    <row r="664" spans="1:11">
      <c r="A664" s="33"/>
      <c r="B664" s="29"/>
      <c r="C664" s="29"/>
      <c r="D664" s="30"/>
      <c r="E664" s="30"/>
      <c r="F664" s="35"/>
      <c r="G664" s="35"/>
      <c r="H664" s="35" t="str">
        <f t="shared" si="10"/>
        <v/>
      </c>
      <c r="I664" s="29"/>
      <c r="K664" s="36" t="str">
        <f>IF(ISNUMBER($D664),IF(YEAR($D664)=대시보드!$C$2,$D664+ROW()/100000,""),"")</f>
        <v/>
      </c>
    </row>
    <row r="665" spans="1:11">
      <c r="A665" s="33"/>
      <c r="B665" s="29"/>
      <c r="C665" s="29"/>
      <c r="D665" s="30"/>
      <c r="E665" s="30"/>
      <c r="F665" s="35"/>
      <c r="G665" s="35"/>
      <c r="H665" s="35" t="str">
        <f t="shared" si="10"/>
        <v/>
      </c>
      <c r="I665" s="29"/>
      <c r="K665" s="36" t="str">
        <f>IF(ISNUMBER($D665),IF(YEAR($D665)=대시보드!$C$2,$D665+ROW()/100000,""),"")</f>
        <v/>
      </c>
    </row>
    <row r="666" spans="1:11">
      <c r="A666" s="33"/>
      <c r="B666" s="29"/>
      <c r="C666" s="29"/>
      <c r="D666" s="30"/>
      <c r="E666" s="30"/>
      <c r="F666" s="35"/>
      <c r="G666" s="35"/>
      <c r="H666" s="35" t="str">
        <f t="shared" si="10"/>
        <v/>
      </c>
      <c r="I666" s="29"/>
      <c r="K666" s="36" t="str">
        <f>IF(ISNUMBER($D666),IF(YEAR($D666)=대시보드!$C$2,$D666+ROW()/100000,""),"")</f>
        <v/>
      </c>
    </row>
    <row r="667" spans="1:11">
      <c r="A667" s="33"/>
      <c r="B667" s="29"/>
      <c r="C667" s="29"/>
      <c r="D667" s="30"/>
      <c r="E667" s="30"/>
      <c r="F667" s="35"/>
      <c r="G667" s="35"/>
      <c r="H667" s="35" t="str">
        <f t="shared" si="10"/>
        <v/>
      </c>
      <c r="I667" s="29"/>
      <c r="K667" s="36" t="str">
        <f>IF(ISNUMBER($D667),IF(YEAR($D667)=대시보드!$C$2,$D667+ROW()/100000,""),"")</f>
        <v/>
      </c>
    </row>
    <row r="668" spans="1:11">
      <c r="A668" s="33"/>
      <c r="B668" s="29"/>
      <c r="C668" s="29"/>
      <c r="D668" s="30"/>
      <c r="E668" s="30"/>
      <c r="F668" s="35"/>
      <c r="G668" s="35"/>
      <c r="H668" s="35" t="str">
        <f t="shared" si="10"/>
        <v/>
      </c>
      <c r="I668" s="29"/>
      <c r="K668" s="36" t="str">
        <f>IF(ISNUMBER($D668),IF(YEAR($D668)=대시보드!$C$2,$D668+ROW()/100000,""),"")</f>
        <v/>
      </c>
    </row>
    <row r="669" spans="1:11">
      <c r="A669" s="33"/>
      <c r="B669" s="29"/>
      <c r="C669" s="29"/>
      <c r="D669" s="30"/>
      <c r="E669" s="30"/>
      <c r="F669" s="35"/>
      <c r="G669" s="35"/>
      <c r="H669" s="35" t="str">
        <f t="shared" si="10"/>
        <v/>
      </c>
      <c r="I669" s="29"/>
      <c r="K669" s="36" t="str">
        <f>IF(ISNUMBER($D669),IF(YEAR($D669)=대시보드!$C$2,$D669+ROW()/100000,""),"")</f>
        <v/>
      </c>
    </row>
    <row r="670" spans="1:11">
      <c r="A670" s="33"/>
      <c r="B670" s="29"/>
      <c r="C670" s="29"/>
      <c r="D670" s="30"/>
      <c r="E670" s="30"/>
      <c r="F670" s="35"/>
      <c r="G670" s="35"/>
      <c r="H670" s="35" t="str">
        <f t="shared" si="10"/>
        <v/>
      </c>
      <c r="I670" s="29"/>
      <c r="K670" s="36" t="str">
        <f>IF(ISNUMBER($D670),IF(YEAR($D670)=대시보드!$C$2,$D670+ROW()/100000,""),"")</f>
        <v/>
      </c>
    </row>
    <row r="671" spans="1:11">
      <c r="A671" s="33"/>
      <c r="B671" s="29"/>
      <c r="C671" s="29"/>
      <c r="D671" s="30"/>
      <c r="E671" s="30"/>
      <c r="F671" s="35"/>
      <c r="G671" s="35"/>
      <c r="H671" s="35" t="str">
        <f t="shared" si="10"/>
        <v/>
      </c>
      <c r="I671" s="29"/>
      <c r="K671" s="36" t="str">
        <f>IF(ISNUMBER($D671),IF(YEAR($D671)=대시보드!$C$2,$D671+ROW()/100000,""),"")</f>
        <v/>
      </c>
    </row>
    <row r="672" spans="1:11">
      <c r="A672" s="33"/>
      <c r="B672" s="29"/>
      <c r="C672" s="29"/>
      <c r="D672" s="30"/>
      <c r="E672" s="30"/>
      <c r="F672" s="35"/>
      <c r="G672" s="35"/>
      <c r="H672" s="35" t="str">
        <f t="shared" si="10"/>
        <v/>
      </c>
      <c r="I672" s="29"/>
      <c r="K672" s="36" t="str">
        <f>IF(ISNUMBER($D672),IF(YEAR($D672)=대시보드!$C$2,$D672+ROW()/100000,""),"")</f>
        <v/>
      </c>
    </row>
    <row r="673" spans="1:11">
      <c r="A673" s="33"/>
      <c r="B673" s="29"/>
      <c r="C673" s="29"/>
      <c r="D673" s="30"/>
      <c r="E673" s="30"/>
      <c r="F673" s="35"/>
      <c r="G673" s="35"/>
      <c r="H673" s="35" t="str">
        <f t="shared" si="10"/>
        <v/>
      </c>
      <c r="I673" s="29"/>
      <c r="K673" s="36" t="str">
        <f>IF(ISNUMBER($D673),IF(YEAR($D673)=대시보드!$C$2,$D673+ROW()/100000,""),"")</f>
        <v/>
      </c>
    </row>
    <row r="674" spans="1:11">
      <c r="A674" s="33"/>
      <c r="B674" s="29"/>
      <c r="C674" s="29"/>
      <c r="D674" s="30"/>
      <c r="E674" s="30"/>
      <c r="F674" s="35"/>
      <c r="G674" s="35"/>
      <c r="H674" s="35" t="str">
        <f t="shared" si="10"/>
        <v/>
      </c>
      <c r="I674" s="29"/>
      <c r="K674" s="36" t="str">
        <f>IF(ISNUMBER($D674),IF(YEAR($D674)=대시보드!$C$2,$D674+ROW()/100000,""),"")</f>
        <v/>
      </c>
    </row>
    <row r="675" spans="1:11">
      <c r="A675" s="33"/>
      <c r="B675" s="29"/>
      <c r="C675" s="29"/>
      <c r="D675" s="30"/>
      <c r="E675" s="30"/>
      <c r="F675" s="35"/>
      <c r="G675" s="35"/>
      <c r="H675" s="35" t="str">
        <f t="shared" si="10"/>
        <v/>
      </c>
      <c r="I675" s="29"/>
      <c r="K675" s="36" t="str">
        <f>IF(ISNUMBER($D675),IF(YEAR($D675)=대시보드!$C$2,$D675+ROW()/100000,""),"")</f>
        <v/>
      </c>
    </row>
    <row r="676" spans="1:11">
      <c r="A676" s="33"/>
      <c r="B676" s="29"/>
      <c r="C676" s="29"/>
      <c r="D676" s="30"/>
      <c r="E676" s="30"/>
      <c r="F676" s="35"/>
      <c r="G676" s="35"/>
      <c r="H676" s="35" t="str">
        <f t="shared" si="10"/>
        <v/>
      </c>
      <c r="I676" s="29"/>
      <c r="K676" s="36" t="str">
        <f>IF(ISNUMBER($D676),IF(YEAR($D676)=대시보드!$C$2,$D676+ROW()/100000,""),"")</f>
        <v/>
      </c>
    </row>
    <row r="677" spans="1:11">
      <c r="A677" s="33"/>
      <c r="B677" s="29"/>
      <c r="C677" s="29"/>
      <c r="D677" s="30"/>
      <c r="E677" s="30"/>
      <c r="F677" s="35"/>
      <c r="G677" s="35"/>
      <c r="H677" s="35" t="str">
        <f t="shared" si="10"/>
        <v/>
      </c>
      <c r="I677" s="29"/>
      <c r="K677" s="36" t="str">
        <f>IF(ISNUMBER($D677),IF(YEAR($D677)=대시보드!$C$2,$D677+ROW()/100000,""),"")</f>
        <v/>
      </c>
    </row>
    <row r="678" spans="1:11">
      <c r="A678" s="33"/>
      <c r="B678" s="29"/>
      <c r="C678" s="29"/>
      <c r="D678" s="30"/>
      <c r="E678" s="30"/>
      <c r="F678" s="35"/>
      <c r="G678" s="35"/>
      <c r="H678" s="35" t="str">
        <f t="shared" si="10"/>
        <v/>
      </c>
      <c r="I678" s="29"/>
      <c r="K678" s="36" t="str">
        <f>IF(ISNUMBER($D678),IF(YEAR($D678)=대시보드!$C$2,$D678+ROW()/100000,""),"")</f>
        <v/>
      </c>
    </row>
    <row r="679" spans="1:11">
      <c r="A679" s="33"/>
      <c r="B679" s="29"/>
      <c r="C679" s="29"/>
      <c r="D679" s="30"/>
      <c r="E679" s="30"/>
      <c r="F679" s="35"/>
      <c r="G679" s="35"/>
      <c r="H679" s="35" t="str">
        <f t="shared" si="10"/>
        <v/>
      </c>
      <c r="I679" s="29"/>
      <c r="K679" s="36" t="str">
        <f>IF(ISNUMBER($D679),IF(YEAR($D679)=대시보드!$C$2,$D679+ROW()/100000,""),"")</f>
        <v/>
      </c>
    </row>
    <row r="680" spans="1:11">
      <c r="A680" s="33"/>
      <c r="B680" s="29"/>
      <c r="C680" s="29"/>
      <c r="D680" s="30"/>
      <c r="E680" s="30"/>
      <c r="F680" s="35"/>
      <c r="G680" s="35"/>
      <c r="H680" s="35" t="str">
        <f t="shared" si="10"/>
        <v/>
      </c>
      <c r="I680" s="29"/>
      <c r="K680" s="36" t="str">
        <f>IF(ISNUMBER($D680),IF(YEAR($D680)=대시보드!$C$2,$D680+ROW()/100000,""),"")</f>
        <v/>
      </c>
    </row>
    <row r="681" spans="1:11">
      <c r="A681" s="33"/>
      <c r="B681" s="29"/>
      <c r="C681" s="29"/>
      <c r="D681" s="30"/>
      <c r="E681" s="30"/>
      <c r="F681" s="35"/>
      <c r="G681" s="35"/>
      <c r="H681" s="35" t="str">
        <f t="shared" si="10"/>
        <v/>
      </c>
      <c r="I681" s="29"/>
      <c r="K681" s="36" t="str">
        <f>IF(ISNUMBER($D681),IF(YEAR($D681)=대시보드!$C$2,$D681+ROW()/100000,""),"")</f>
        <v/>
      </c>
    </row>
    <row r="682" spans="1:11">
      <c r="A682" s="33"/>
      <c r="B682" s="29"/>
      <c r="C682" s="29"/>
      <c r="D682" s="30"/>
      <c r="E682" s="30"/>
      <c r="F682" s="35"/>
      <c r="G682" s="35"/>
      <c r="H682" s="35" t="str">
        <f t="shared" si="10"/>
        <v/>
      </c>
      <c r="I682" s="29"/>
      <c r="K682" s="36" t="str">
        <f>IF(ISNUMBER($D682),IF(YEAR($D682)=대시보드!$C$2,$D682+ROW()/100000,""),"")</f>
        <v/>
      </c>
    </row>
    <row r="683" spans="1:11">
      <c r="A683" s="33"/>
      <c r="B683" s="29"/>
      <c r="C683" s="29"/>
      <c r="D683" s="30"/>
      <c r="E683" s="30"/>
      <c r="F683" s="35"/>
      <c r="G683" s="35"/>
      <c r="H683" s="35" t="str">
        <f t="shared" si="10"/>
        <v/>
      </c>
      <c r="I683" s="29"/>
      <c r="K683" s="36" t="str">
        <f>IF(ISNUMBER($D683),IF(YEAR($D683)=대시보드!$C$2,$D683+ROW()/100000,""),"")</f>
        <v/>
      </c>
    </row>
    <row r="684" spans="1:11">
      <c r="A684" s="33"/>
      <c r="B684" s="29"/>
      <c r="C684" s="29"/>
      <c r="D684" s="30"/>
      <c r="E684" s="30"/>
      <c r="F684" s="35"/>
      <c r="G684" s="35"/>
      <c r="H684" s="35" t="str">
        <f t="shared" si="10"/>
        <v/>
      </c>
      <c r="I684" s="29"/>
      <c r="K684" s="36" t="str">
        <f>IF(ISNUMBER($D684),IF(YEAR($D684)=대시보드!$C$2,$D684+ROW()/100000,""),"")</f>
        <v/>
      </c>
    </row>
    <row r="685" spans="1:11">
      <c r="A685" s="33"/>
      <c r="B685" s="29"/>
      <c r="C685" s="29"/>
      <c r="D685" s="30"/>
      <c r="E685" s="30"/>
      <c r="F685" s="35"/>
      <c r="G685" s="35"/>
      <c r="H685" s="35" t="str">
        <f t="shared" si="10"/>
        <v/>
      </c>
      <c r="I685" s="29"/>
      <c r="K685" s="36" t="str">
        <f>IF(ISNUMBER($D685),IF(YEAR($D685)=대시보드!$C$2,$D685+ROW()/100000,""),"")</f>
        <v/>
      </c>
    </row>
    <row r="686" spans="1:11">
      <c r="A686" s="33"/>
      <c r="B686" s="29"/>
      <c r="C686" s="29"/>
      <c r="D686" s="30"/>
      <c r="E686" s="30"/>
      <c r="F686" s="35"/>
      <c r="G686" s="35"/>
      <c r="H686" s="35" t="str">
        <f t="shared" si="10"/>
        <v/>
      </c>
      <c r="I686" s="29"/>
      <c r="K686" s="36" t="str">
        <f>IF(ISNUMBER($D686),IF(YEAR($D686)=대시보드!$C$2,$D686+ROW()/100000,""),"")</f>
        <v/>
      </c>
    </row>
    <row r="687" spans="1:11">
      <c r="A687" s="33"/>
      <c r="B687" s="29"/>
      <c r="C687" s="29"/>
      <c r="D687" s="30"/>
      <c r="E687" s="30"/>
      <c r="F687" s="35"/>
      <c r="G687" s="35"/>
      <c r="H687" s="35" t="str">
        <f t="shared" si="10"/>
        <v/>
      </c>
      <c r="I687" s="29"/>
      <c r="K687" s="36" t="str">
        <f>IF(ISNUMBER($D687),IF(YEAR($D687)=대시보드!$C$2,$D687+ROW()/100000,""),"")</f>
        <v/>
      </c>
    </row>
    <row r="688" spans="1:11">
      <c r="A688" s="33"/>
      <c r="B688" s="29"/>
      <c r="C688" s="29"/>
      <c r="D688" s="30"/>
      <c r="E688" s="30"/>
      <c r="F688" s="35"/>
      <c r="G688" s="35"/>
      <c r="H688" s="35" t="str">
        <f t="shared" si="10"/>
        <v/>
      </c>
      <c r="I688" s="29"/>
      <c r="K688" s="36" t="str">
        <f>IF(ISNUMBER($D688),IF(YEAR($D688)=대시보드!$C$2,$D688+ROW()/100000,""),"")</f>
        <v/>
      </c>
    </row>
    <row r="689" spans="1:11">
      <c r="A689" s="33"/>
      <c r="B689" s="29"/>
      <c r="C689" s="29"/>
      <c r="D689" s="30"/>
      <c r="E689" s="30"/>
      <c r="F689" s="35"/>
      <c r="G689" s="35"/>
      <c r="H689" s="35" t="str">
        <f t="shared" si="10"/>
        <v/>
      </c>
      <c r="I689" s="29"/>
      <c r="K689" s="36" t="str">
        <f>IF(ISNUMBER($D689),IF(YEAR($D689)=대시보드!$C$2,$D689+ROW()/100000,""),"")</f>
        <v/>
      </c>
    </row>
    <row r="690" spans="1:11">
      <c r="A690" s="33"/>
      <c r="B690" s="29"/>
      <c r="C690" s="29"/>
      <c r="D690" s="30"/>
      <c r="E690" s="30"/>
      <c r="F690" s="35"/>
      <c r="G690" s="35"/>
      <c r="H690" s="35" t="str">
        <f t="shared" si="10"/>
        <v/>
      </c>
      <c r="I690" s="29"/>
      <c r="K690" s="36" t="str">
        <f>IF(ISNUMBER($D690),IF(YEAR($D690)=대시보드!$C$2,$D690+ROW()/100000,""),"")</f>
        <v/>
      </c>
    </row>
    <row r="691" spans="1:11">
      <c r="A691" s="33"/>
      <c r="B691" s="29"/>
      <c r="C691" s="29"/>
      <c r="D691" s="30"/>
      <c r="E691" s="30"/>
      <c r="F691" s="35"/>
      <c r="G691" s="35"/>
      <c r="H691" s="35" t="str">
        <f t="shared" si="10"/>
        <v/>
      </c>
      <c r="I691" s="29"/>
      <c r="K691" s="36" t="str">
        <f>IF(ISNUMBER($D691),IF(YEAR($D691)=대시보드!$C$2,$D691+ROW()/100000,""),"")</f>
        <v/>
      </c>
    </row>
    <row r="692" spans="1:11">
      <c r="A692" s="33"/>
      <c r="B692" s="29"/>
      <c r="C692" s="29"/>
      <c r="D692" s="30"/>
      <c r="E692" s="30"/>
      <c r="F692" s="35"/>
      <c r="G692" s="35"/>
      <c r="H692" s="35" t="str">
        <f t="shared" si="10"/>
        <v/>
      </c>
      <c r="I692" s="29"/>
      <c r="K692" s="36" t="str">
        <f>IF(ISNUMBER($D692),IF(YEAR($D692)=대시보드!$C$2,$D692+ROW()/100000,""),"")</f>
        <v/>
      </c>
    </row>
    <row r="693" spans="1:11">
      <c r="A693" s="33"/>
      <c r="B693" s="29"/>
      <c r="C693" s="29"/>
      <c r="D693" s="30"/>
      <c r="E693" s="30"/>
      <c r="F693" s="35"/>
      <c r="G693" s="35"/>
      <c r="H693" s="35" t="str">
        <f t="shared" si="10"/>
        <v/>
      </c>
      <c r="I693" s="29"/>
      <c r="K693" s="36" t="str">
        <f>IF(ISNUMBER($D693),IF(YEAR($D693)=대시보드!$C$2,$D693+ROW()/100000,""),"")</f>
        <v/>
      </c>
    </row>
    <row r="694" spans="1:11">
      <c r="A694" s="33"/>
      <c r="B694" s="29"/>
      <c r="C694" s="29"/>
      <c r="D694" s="30"/>
      <c r="E694" s="30"/>
      <c r="F694" s="35"/>
      <c r="G694" s="35"/>
      <c r="H694" s="35" t="str">
        <f t="shared" si="10"/>
        <v/>
      </c>
      <c r="I694" s="29"/>
      <c r="K694" s="36" t="str">
        <f>IF(ISNUMBER($D694),IF(YEAR($D694)=대시보드!$C$2,$D694+ROW()/100000,""),"")</f>
        <v/>
      </c>
    </row>
    <row r="695" spans="1:11">
      <c r="A695" s="33"/>
      <c r="B695" s="29"/>
      <c r="C695" s="29"/>
      <c r="D695" s="30"/>
      <c r="E695" s="30"/>
      <c r="F695" s="35"/>
      <c r="G695" s="35"/>
      <c r="H695" s="35" t="str">
        <f t="shared" si="10"/>
        <v/>
      </c>
      <c r="I695" s="29"/>
      <c r="K695" s="36" t="str">
        <f>IF(ISNUMBER($D695),IF(YEAR($D695)=대시보드!$C$2,$D695+ROW()/100000,""),"")</f>
        <v/>
      </c>
    </row>
    <row r="696" spans="1:11">
      <c r="A696" s="33"/>
      <c r="B696" s="29"/>
      <c r="C696" s="29"/>
      <c r="D696" s="30"/>
      <c r="E696" s="30"/>
      <c r="F696" s="35"/>
      <c r="G696" s="35"/>
      <c r="H696" s="35" t="str">
        <f t="shared" si="10"/>
        <v/>
      </c>
      <c r="I696" s="29"/>
      <c r="K696" s="36" t="str">
        <f>IF(ISNUMBER($D696),IF(YEAR($D696)=대시보드!$C$2,$D696+ROW()/100000,""),"")</f>
        <v/>
      </c>
    </row>
    <row r="697" spans="1:11">
      <c r="A697" s="33"/>
      <c r="B697" s="29"/>
      <c r="C697" s="29"/>
      <c r="D697" s="30"/>
      <c r="E697" s="30"/>
      <c r="F697" s="35"/>
      <c r="G697" s="35"/>
      <c r="H697" s="35" t="str">
        <f t="shared" si="10"/>
        <v/>
      </c>
      <c r="I697" s="29"/>
      <c r="K697" s="36" t="str">
        <f>IF(ISNUMBER($D697),IF(YEAR($D697)=대시보드!$C$2,$D697+ROW()/100000,""),"")</f>
        <v/>
      </c>
    </row>
    <row r="698" spans="1:11">
      <c r="A698" s="33"/>
      <c r="B698" s="29"/>
      <c r="C698" s="29"/>
      <c r="D698" s="30"/>
      <c r="E698" s="30"/>
      <c r="F698" s="35"/>
      <c r="G698" s="35"/>
      <c r="H698" s="35" t="str">
        <f t="shared" si="10"/>
        <v/>
      </c>
      <c r="I698" s="29"/>
      <c r="K698" s="36" t="str">
        <f>IF(ISNUMBER($D698),IF(YEAR($D698)=대시보드!$C$2,$D698+ROW()/100000,""),"")</f>
        <v/>
      </c>
    </row>
    <row r="699" spans="1:11">
      <c r="A699" s="33"/>
      <c r="B699" s="29"/>
      <c r="C699" s="29"/>
      <c r="D699" s="30"/>
      <c r="E699" s="30"/>
      <c r="F699" s="35"/>
      <c r="G699" s="35"/>
      <c r="H699" s="35" t="str">
        <f t="shared" si="10"/>
        <v/>
      </c>
      <c r="I699" s="29"/>
      <c r="K699" s="36" t="str">
        <f>IF(ISNUMBER($D699),IF(YEAR($D699)=대시보드!$C$2,$D699+ROW()/100000,""),"")</f>
        <v/>
      </c>
    </row>
    <row r="700" spans="1:11">
      <c r="A700" s="33"/>
      <c r="B700" s="29"/>
      <c r="C700" s="29"/>
      <c r="D700" s="30"/>
      <c r="E700" s="30"/>
      <c r="F700" s="35"/>
      <c r="G700" s="35"/>
      <c r="H700" s="35" t="str">
        <f t="shared" si="10"/>
        <v/>
      </c>
      <c r="I700" s="29"/>
      <c r="K700" s="36" t="str">
        <f>IF(ISNUMBER($D700),IF(YEAR($D700)=대시보드!$C$2,$D700+ROW()/100000,""),"")</f>
        <v/>
      </c>
    </row>
    <row r="701" spans="1:11">
      <c r="A701" s="33"/>
      <c r="B701" s="29"/>
      <c r="C701" s="29"/>
      <c r="D701" s="30"/>
      <c r="E701" s="30"/>
      <c r="F701" s="35"/>
      <c r="G701" s="35"/>
      <c r="H701" s="35" t="str">
        <f t="shared" si="10"/>
        <v/>
      </c>
      <c r="I701" s="29"/>
      <c r="K701" s="36" t="str">
        <f>IF(ISNUMBER($D701),IF(YEAR($D701)=대시보드!$C$2,$D701+ROW()/100000,""),"")</f>
        <v/>
      </c>
    </row>
    <row r="702" spans="1:11">
      <c r="A702" s="33"/>
      <c r="B702" s="29"/>
      <c r="C702" s="29"/>
      <c r="D702" s="30"/>
      <c r="E702" s="30"/>
      <c r="F702" s="35"/>
      <c r="G702" s="35"/>
      <c r="H702" s="35" t="str">
        <f t="shared" si="10"/>
        <v/>
      </c>
      <c r="I702" s="29"/>
      <c r="K702" s="36" t="str">
        <f>IF(ISNUMBER($D702),IF(YEAR($D702)=대시보드!$C$2,$D702+ROW()/100000,""),"")</f>
        <v/>
      </c>
    </row>
    <row r="703" spans="1:11">
      <c r="A703" s="33"/>
      <c r="B703" s="29"/>
      <c r="C703" s="29"/>
      <c r="D703" s="30"/>
      <c r="E703" s="30"/>
      <c r="F703" s="35"/>
      <c r="G703" s="35"/>
      <c r="H703" s="35" t="str">
        <f t="shared" si="10"/>
        <v/>
      </c>
      <c r="I703" s="29"/>
      <c r="K703" s="36" t="str">
        <f>IF(ISNUMBER($D703),IF(YEAR($D703)=대시보드!$C$2,$D703+ROW()/100000,""),"")</f>
        <v/>
      </c>
    </row>
    <row r="704" spans="1:11">
      <c r="A704" s="33"/>
      <c r="B704" s="29"/>
      <c r="C704" s="29"/>
      <c r="D704" s="30"/>
      <c r="E704" s="30"/>
      <c r="F704" s="35"/>
      <c r="G704" s="35"/>
      <c r="H704" s="35" t="str">
        <f t="shared" si="10"/>
        <v/>
      </c>
      <c r="I704" s="29"/>
      <c r="K704" s="36" t="str">
        <f>IF(ISNUMBER($D704),IF(YEAR($D704)=대시보드!$C$2,$D704+ROW()/100000,""),"")</f>
        <v/>
      </c>
    </row>
    <row r="705" spans="1:11">
      <c r="A705" s="33"/>
      <c r="B705" s="29"/>
      <c r="C705" s="29"/>
      <c r="D705" s="30"/>
      <c r="E705" s="30"/>
      <c r="F705" s="35"/>
      <c r="G705" s="35"/>
      <c r="H705" s="35" t="str">
        <f t="shared" si="10"/>
        <v/>
      </c>
      <c r="I705" s="29"/>
      <c r="K705" s="36" t="str">
        <f>IF(ISNUMBER($D705),IF(YEAR($D705)=대시보드!$C$2,$D705+ROW()/100000,""),"")</f>
        <v/>
      </c>
    </row>
    <row r="706" spans="1:11">
      <c r="A706" s="33"/>
      <c r="B706" s="29"/>
      <c r="C706" s="29"/>
      <c r="D706" s="30"/>
      <c r="E706" s="30"/>
      <c r="F706" s="35"/>
      <c r="G706" s="35"/>
      <c r="H706" s="35" t="str">
        <f t="shared" si="10"/>
        <v/>
      </c>
      <c r="I706" s="29"/>
      <c r="K706" s="36" t="str">
        <f>IF(ISNUMBER($D706),IF(YEAR($D706)=대시보드!$C$2,$D706+ROW()/100000,""),"")</f>
        <v/>
      </c>
    </row>
    <row r="707" spans="1:11">
      <c r="A707" s="33"/>
      <c r="B707" s="29"/>
      <c r="C707" s="29"/>
      <c r="D707" s="30"/>
      <c r="E707" s="30"/>
      <c r="F707" s="35"/>
      <c r="G707" s="35"/>
      <c r="H707" s="35" t="str">
        <f t="shared" si="10"/>
        <v/>
      </c>
      <c r="I707" s="29"/>
      <c r="K707" s="36" t="str">
        <f>IF(ISNUMBER($D707),IF(YEAR($D707)=대시보드!$C$2,$D707+ROW()/100000,""),"")</f>
        <v/>
      </c>
    </row>
    <row r="708" spans="1:11">
      <c r="A708" s="33"/>
      <c r="B708" s="29"/>
      <c r="C708" s="29"/>
      <c r="D708" s="30"/>
      <c r="E708" s="30"/>
      <c r="F708" s="35"/>
      <c r="G708" s="35"/>
      <c r="H708" s="35" t="str">
        <f t="shared" ref="H708:H771" si="11">IF(F708="","",F708-G708)</f>
        <v/>
      </c>
      <c r="I708" s="29"/>
      <c r="K708" s="36" t="str">
        <f>IF(ISNUMBER($D708),IF(YEAR($D708)=대시보드!$C$2,$D708+ROW()/100000,""),"")</f>
        <v/>
      </c>
    </row>
    <row r="709" spans="1:11">
      <c r="A709" s="33"/>
      <c r="B709" s="29"/>
      <c r="C709" s="29"/>
      <c r="D709" s="30"/>
      <c r="E709" s="30"/>
      <c r="F709" s="35"/>
      <c r="G709" s="35"/>
      <c r="H709" s="35" t="str">
        <f t="shared" si="11"/>
        <v/>
      </c>
      <c r="I709" s="29"/>
      <c r="K709" s="36" t="str">
        <f>IF(ISNUMBER($D709),IF(YEAR($D709)=대시보드!$C$2,$D709+ROW()/100000,""),"")</f>
        <v/>
      </c>
    </row>
    <row r="710" spans="1:11">
      <c r="A710" s="33"/>
      <c r="B710" s="29"/>
      <c r="C710" s="29"/>
      <c r="D710" s="30"/>
      <c r="E710" s="30"/>
      <c r="F710" s="35"/>
      <c r="G710" s="35"/>
      <c r="H710" s="35" t="str">
        <f t="shared" si="11"/>
        <v/>
      </c>
      <c r="I710" s="29"/>
      <c r="K710" s="36" t="str">
        <f>IF(ISNUMBER($D710),IF(YEAR($D710)=대시보드!$C$2,$D710+ROW()/100000,""),"")</f>
        <v/>
      </c>
    </row>
    <row r="711" spans="1:11">
      <c r="A711" s="33"/>
      <c r="B711" s="29"/>
      <c r="C711" s="29"/>
      <c r="D711" s="30"/>
      <c r="E711" s="30"/>
      <c r="F711" s="35"/>
      <c r="G711" s="35"/>
      <c r="H711" s="35" t="str">
        <f t="shared" si="11"/>
        <v/>
      </c>
      <c r="I711" s="29"/>
      <c r="K711" s="36" t="str">
        <f>IF(ISNUMBER($D711),IF(YEAR($D711)=대시보드!$C$2,$D711+ROW()/100000,""),"")</f>
        <v/>
      </c>
    </row>
    <row r="712" spans="1:11">
      <c r="A712" s="33"/>
      <c r="B712" s="29"/>
      <c r="C712" s="29"/>
      <c r="D712" s="30"/>
      <c r="E712" s="30"/>
      <c r="F712" s="35"/>
      <c r="G712" s="35"/>
      <c r="H712" s="35" t="str">
        <f t="shared" si="11"/>
        <v/>
      </c>
      <c r="I712" s="29"/>
      <c r="K712" s="36" t="str">
        <f>IF(ISNUMBER($D712),IF(YEAR($D712)=대시보드!$C$2,$D712+ROW()/100000,""),"")</f>
        <v/>
      </c>
    </row>
    <row r="713" spans="1:11">
      <c r="A713" s="33"/>
      <c r="B713" s="29"/>
      <c r="C713" s="29"/>
      <c r="D713" s="30"/>
      <c r="E713" s="30"/>
      <c r="F713" s="35"/>
      <c r="G713" s="35"/>
      <c r="H713" s="35" t="str">
        <f t="shared" si="11"/>
        <v/>
      </c>
      <c r="I713" s="29"/>
      <c r="K713" s="36" t="str">
        <f>IF(ISNUMBER($D713),IF(YEAR($D713)=대시보드!$C$2,$D713+ROW()/100000,""),"")</f>
        <v/>
      </c>
    </row>
    <row r="714" spans="1:11">
      <c r="A714" s="33"/>
      <c r="B714" s="29"/>
      <c r="C714" s="29"/>
      <c r="D714" s="30"/>
      <c r="E714" s="30"/>
      <c r="F714" s="35"/>
      <c r="G714" s="35"/>
      <c r="H714" s="35" t="str">
        <f t="shared" si="11"/>
        <v/>
      </c>
      <c r="I714" s="29"/>
      <c r="K714" s="36" t="str">
        <f>IF(ISNUMBER($D714),IF(YEAR($D714)=대시보드!$C$2,$D714+ROW()/100000,""),"")</f>
        <v/>
      </c>
    </row>
    <row r="715" spans="1:11">
      <c r="A715" s="33"/>
      <c r="B715" s="29"/>
      <c r="C715" s="29"/>
      <c r="D715" s="30"/>
      <c r="E715" s="30"/>
      <c r="F715" s="35"/>
      <c r="G715" s="35"/>
      <c r="H715" s="35" t="str">
        <f t="shared" si="11"/>
        <v/>
      </c>
      <c r="I715" s="29"/>
      <c r="K715" s="36" t="str">
        <f>IF(ISNUMBER($D715),IF(YEAR($D715)=대시보드!$C$2,$D715+ROW()/100000,""),"")</f>
        <v/>
      </c>
    </row>
    <row r="716" spans="1:11">
      <c r="A716" s="33"/>
      <c r="B716" s="29"/>
      <c r="C716" s="29"/>
      <c r="D716" s="30"/>
      <c r="E716" s="30"/>
      <c r="F716" s="35"/>
      <c r="G716" s="35"/>
      <c r="H716" s="35" t="str">
        <f t="shared" si="11"/>
        <v/>
      </c>
      <c r="I716" s="29"/>
      <c r="K716" s="36" t="str">
        <f>IF(ISNUMBER($D716),IF(YEAR($D716)=대시보드!$C$2,$D716+ROW()/100000,""),"")</f>
        <v/>
      </c>
    </row>
    <row r="717" spans="1:11">
      <c r="A717" s="33"/>
      <c r="B717" s="29"/>
      <c r="C717" s="29"/>
      <c r="D717" s="30"/>
      <c r="E717" s="30"/>
      <c r="F717" s="35"/>
      <c r="G717" s="35"/>
      <c r="H717" s="35" t="str">
        <f t="shared" si="11"/>
        <v/>
      </c>
      <c r="I717" s="29"/>
      <c r="K717" s="36" t="str">
        <f>IF(ISNUMBER($D717),IF(YEAR($D717)=대시보드!$C$2,$D717+ROW()/100000,""),"")</f>
        <v/>
      </c>
    </row>
    <row r="718" spans="1:11">
      <c r="A718" s="33"/>
      <c r="B718" s="29"/>
      <c r="C718" s="29"/>
      <c r="D718" s="30"/>
      <c r="E718" s="30"/>
      <c r="F718" s="35"/>
      <c r="G718" s="35"/>
      <c r="H718" s="35" t="str">
        <f t="shared" si="11"/>
        <v/>
      </c>
      <c r="I718" s="29"/>
      <c r="K718" s="36" t="str">
        <f>IF(ISNUMBER($D718),IF(YEAR($D718)=대시보드!$C$2,$D718+ROW()/100000,""),"")</f>
        <v/>
      </c>
    </row>
    <row r="719" spans="1:11">
      <c r="A719" s="33"/>
      <c r="B719" s="29"/>
      <c r="C719" s="29"/>
      <c r="D719" s="30"/>
      <c r="E719" s="30"/>
      <c r="F719" s="35"/>
      <c r="G719" s="35"/>
      <c r="H719" s="35" t="str">
        <f t="shared" si="11"/>
        <v/>
      </c>
      <c r="I719" s="29"/>
      <c r="K719" s="36" t="str">
        <f>IF(ISNUMBER($D719),IF(YEAR($D719)=대시보드!$C$2,$D719+ROW()/100000,""),"")</f>
        <v/>
      </c>
    </row>
    <row r="720" spans="1:11">
      <c r="A720" s="33"/>
      <c r="B720" s="29"/>
      <c r="C720" s="29"/>
      <c r="D720" s="30"/>
      <c r="E720" s="30"/>
      <c r="F720" s="35"/>
      <c r="G720" s="35"/>
      <c r="H720" s="35" t="str">
        <f t="shared" si="11"/>
        <v/>
      </c>
      <c r="I720" s="29"/>
      <c r="K720" s="36" t="str">
        <f>IF(ISNUMBER($D720),IF(YEAR($D720)=대시보드!$C$2,$D720+ROW()/100000,""),"")</f>
        <v/>
      </c>
    </row>
    <row r="721" spans="1:11">
      <c r="A721" s="33"/>
      <c r="B721" s="29"/>
      <c r="C721" s="29"/>
      <c r="D721" s="30"/>
      <c r="E721" s="30"/>
      <c r="F721" s="35"/>
      <c r="G721" s="35"/>
      <c r="H721" s="35" t="str">
        <f t="shared" si="11"/>
        <v/>
      </c>
      <c r="I721" s="29"/>
      <c r="K721" s="36" t="str">
        <f>IF(ISNUMBER($D721),IF(YEAR($D721)=대시보드!$C$2,$D721+ROW()/100000,""),"")</f>
        <v/>
      </c>
    </row>
    <row r="722" spans="1:11">
      <c r="A722" s="33"/>
      <c r="B722" s="29"/>
      <c r="C722" s="29"/>
      <c r="D722" s="30"/>
      <c r="E722" s="30"/>
      <c r="F722" s="35"/>
      <c r="G722" s="35"/>
      <c r="H722" s="35" t="str">
        <f t="shared" si="11"/>
        <v/>
      </c>
      <c r="I722" s="29"/>
      <c r="K722" s="36" t="str">
        <f>IF(ISNUMBER($D722),IF(YEAR($D722)=대시보드!$C$2,$D722+ROW()/100000,""),"")</f>
        <v/>
      </c>
    </row>
    <row r="723" spans="1:11">
      <c r="A723" s="33"/>
      <c r="B723" s="29"/>
      <c r="C723" s="29"/>
      <c r="D723" s="30"/>
      <c r="E723" s="30"/>
      <c r="F723" s="35"/>
      <c r="G723" s="35"/>
      <c r="H723" s="35" t="str">
        <f t="shared" si="11"/>
        <v/>
      </c>
      <c r="I723" s="29"/>
      <c r="K723" s="36" t="str">
        <f>IF(ISNUMBER($D723),IF(YEAR($D723)=대시보드!$C$2,$D723+ROW()/100000,""),"")</f>
        <v/>
      </c>
    </row>
    <row r="724" spans="1:11">
      <c r="A724" s="33"/>
      <c r="B724" s="29"/>
      <c r="C724" s="29"/>
      <c r="D724" s="30"/>
      <c r="E724" s="30"/>
      <c r="F724" s="35"/>
      <c r="G724" s="35"/>
      <c r="H724" s="35" t="str">
        <f t="shared" si="11"/>
        <v/>
      </c>
      <c r="I724" s="29"/>
      <c r="K724" s="36" t="str">
        <f>IF(ISNUMBER($D724),IF(YEAR($D724)=대시보드!$C$2,$D724+ROW()/100000,""),"")</f>
        <v/>
      </c>
    </row>
    <row r="725" spans="1:11">
      <c r="A725" s="33"/>
      <c r="B725" s="29"/>
      <c r="C725" s="29"/>
      <c r="D725" s="30"/>
      <c r="E725" s="30"/>
      <c r="F725" s="35"/>
      <c r="G725" s="35"/>
      <c r="H725" s="35" t="str">
        <f t="shared" si="11"/>
        <v/>
      </c>
      <c r="I725" s="29"/>
      <c r="K725" s="36" t="str">
        <f>IF(ISNUMBER($D725),IF(YEAR($D725)=대시보드!$C$2,$D725+ROW()/100000,""),"")</f>
        <v/>
      </c>
    </row>
    <row r="726" spans="1:11">
      <c r="A726" s="33"/>
      <c r="B726" s="29"/>
      <c r="C726" s="29"/>
      <c r="D726" s="30"/>
      <c r="E726" s="30"/>
      <c r="F726" s="35"/>
      <c r="G726" s="35"/>
      <c r="H726" s="35" t="str">
        <f t="shared" si="11"/>
        <v/>
      </c>
      <c r="I726" s="29"/>
      <c r="K726" s="36" t="str">
        <f>IF(ISNUMBER($D726),IF(YEAR($D726)=대시보드!$C$2,$D726+ROW()/100000,""),"")</f>
        <v/>
      </c>
    </row>
    <row r="727" spans="1:11">
      <c r="A727" s="33"/>
      <c r="B727" s="29"/>
      <c r="C727" s="29"/>
      <c r="D727" s="30"/>
      <c r="E727" s="30"/>
      <c r="F727" s="35"/>
      <c r="G727" s="35"/>
      <c r="H727" s="35" t="str">
        <f t="shared" si="11"/>
        <v/>
      </c>
      <c r="I727" s="29"/>
      <c r="K727" s="36" t="str">
        <f>IF(ISNUMBER($D727),IF(YEAR($D727)=대시보드!$C$2,$D727+ROW()/100000,""),"")</f>
        <v/>
      </c>
    </row>
    <row r="728" spans="1:11">
      <c r="A728" s="33"/>
      <c r="B728" s="29"/>
      <c r="C728" s="29"/>
      <c r="D728" s="30"/>
      <c r="E728" s="30"/>
      <c r="F728" s="35"/>
      <c r="G728" s="35"/>
      <c r="H728" s="35" t="str">
        <f t="shared" si="11"/>
        <v/>
      </c>
      <c r="I728" s="29"/>
      <c r="K728" s="36" t="str">
        <f>IF(ISNUMBER($D728),IF(YEAR($D728)=대시보드!$C$2,$D728+ROW()/100000,""),"")</f>
        <v/>
      </c>
    </row>
    <row r="729" spans="1:11">
      <c r="A729" s="33"/>
      <c r="B729" s="29"/>
      <c r="C729" s="29"/>
      <c r="D729" s="30"/>
      <c r="E729" s="30"/>
      <c r="F729" s="35"/>
      <c r="G729" s="35"/>
      <c r="H729" s="35" t="str">
        <f t="shared" si="11"/>
        <v/>
      </c>
      <c r="I729" s="29"/>
      <c r="K729" s="36" t="str">
        <f>IF(ISNUMBER($D729),IF(YEAR($D729)=대시보드!$C$2,$D729+ROW()/100000,""),"")</f>
        <v/>
      </c>
    </row>
    <row r="730" spans="1:11">
      <c r="A730" s="33"/>
      <c r="B730" s="29"/>
      <c r="C730" s="29"/>
      <c r="D730" s="30"/>
      <c r="E730" s="30"/>
      <c r="F730" s="35"/>
      <c r="G730" s="35"/>
      <c r="H730" s="35" t="str">
        <f t="shared" si="11"/>
        <v/>
      </c>
      <c r="I730" s="29"/>
      <c r="K730" s="36" t="str">
        <f>IF(ISNUMBER($D730),IF(YEAR($D730)=대시보드!$C$2,$D730+ROW()/100000,""),"")</f>
        <v/>
      </c>
    </row>
    <row r="731" spans="1:11">
      <c r="A731" s="33"/>
      <c r="B731" s="29"/>
      <c r="C731" s="29"/>
      <c r="D731" s="30"/>
      <c r="E731" s="30"/>
      <c r="F731" s="35"/>
      <c r="G731" s="35"/>
      <c r="H731" s="35" t="str">
        <f t="shared" si="11"/>
        <v/>
      </c>
      <c r="I731" s="29"/>
      <c r="K731" s="36" t="str">
        <f>IF(ISNUMBER($D731),IF(YEAR($D731)=대시보드!$C$2,$D731+ROW()/100000,""),"")</f>
        <v/>
      </c>
    </row>
    <row r="732" spans="1:11">
      <c r="A732" s="33"/>
      <c r="B732" s="29"/>
      <c r="C732" s="29"/>
      <c r="D732" s="30"/>
      <c r="E732" s="30"/>
      <c r="F732" s="35"/>
      <c r="G732" s="35"/>
      <c r="H732" s="35" t="str">
        <f t="shared" si="11"/>
        <v/>
      </c>
      <c r="I732" s="29"/>
      <c r="K732" s="36" t="str">
        <f>IF(ISNUMBER($D732),IF(YEAR($D732)=대시보드!$C$2,$D732+ROW()/100000,""),"")</f>
        <v/>
      </c>
    </row>
    <row r="733" spans="1:11">
      <c r="A733" s="33"/>
      <c r="B733" s="29"/>
      <c r="C733" s="29"/>
      <c r="D733" s="30"/>
      <c r="E733" s="30"/>
      <c r="F733" s="35"/>
      <c r="G733" s="35"/>
      <c r="H733" s="35" t="str">
        <f t="shared" si="11"/>
        <v/>
      </c>
      <c r="I733" s="29"/>
      <c r="K733" s="36" t="str">
        <f>IF(ISNUMBER($D733),IF(YEAR($D733)=대시보드!$C$2,$D733+ROW()/100000,""),"")</f>
        <v/>
      </c>
    </row>
    <row r="734" spans="1:11">
      <c r="A734" s="33"/>
      <c r="B734" s="29"/>
      <c r="C734" s="29"/>
      <c r="D734" s="30"/>
      <c r="E734" s="30"/>
      <c r="F734" s="35"/>
      <c r="G734" s="35"/>
      <c r="H734" s="35" t="str">
        <f t="shared" si="11"/>
        <v/>
      </c>
      <c r="I734" s="29"/>
      <c r="K734" s="36" t="str">
        <f>IF(ISNUMBER($D734),IF(YEAR($D734)=대시보드!$C$2,$D734+ROW()/100000,""),"")</f>
        <v/>
      </c>
    </row>
    <row r="735" spans="1:11">
      <c r="A735" s="33"/>
      <c r="B735" s="29"/>
      <c r="C735" s="29"/>
      <c r="D735" s="30"/>
      <c r="E735" s="30"/>
      <c r="F735" s="35"/>
      <c r="G735" s="35"/>
      <c r="H735" s="35" t="str">
        <f t="shared" si="11"/>
        <v/>
      </c>
      <c r="I735" s="29"/>
      <c r="K735" s="36" t="str">
        <f>IF(ISNUMBER($D735),IF(YEAR($D735)=대시보드!$C$2,$D735+ROW()/100000,""),"")</f>
        <v/>
      </c>
    </row>
    <row r="736" spans="1:11">
      <c r="A736" s="33"/>
      <c r="B736" s="29"/>
      <c r="C736" s="29"/>
      <c r="D736" s="30"/>
      <c r="E736" s="30"/>
      <c r="F736" s="35"/>
      <c r="G736" s="35"/>
      <c r="H736" s="35" t="str">
        <f t="shared" si="11"/>
        <v/>
      </c>
      <c r="I736" s="29"/>
      <c r="K736" s="36" t="str">
        <f>IF(ISNUMBER($D736),IF(YEAR($D736)=대시보드!$C$2,$D736+ROW()/100000,""),"")</f>
        <v/>
      </c>
    </row>
    <row r="737" spans="1:11">
      <c r="A737" s="33"/>
      <c r="B737" s="29"/>
      <c r="C737" s="29"/>
      <c r="D737" s="30"/>
      <c r="E737" s="30"/>
      <c r="F737" s="35"/>
      <c r="G737" s="35"/>
      <c r="H737" s="35" t="str">
        <f t="shared" si="11"/>
        <v/>
      </c>
      <c r="I737" s="29"/>
      <c r="K737" s="36" t="str">
        <f>IF(ISNUMBER($D737),IF(YEAR($D737)=대시보드!$C$2,$D737+ROW()/100000,""),"")</f>
        <v/>
      </c>
    </row>
    <row r="738" spans="1:11">
      <c r="A738" s="33"/>
      <c r="B738" s="29"/>
      <c r="C738" s="29"/>
      <c r="D738" s="30"/>
      <c r="E738" s="30"/>
      <c r="F738" s="35"/>
      <c r="G738" s="35"/>
      <c r="H738" s="35" t="str">
        <f t="shared" si="11"/>
        <v/>
      </c>
      <c r="I738" s="29"/>
      <c r="K738" s="36" t="str">
        <f>IF(ISNUMBER($D738),IF(YEAR($D738)=대시보드!$C$2,$D738+ROW()/100000,""),"")</f>
        <v/>
      </c>
    </row>
    <row r="739" spans="1:11">
      <c r="A739" s="33"/>
      <c r="B739" s="29"/>
      <c r="C739" s="29"/>
      <c r="D739" s="30"/>
      <c r="E739" s="30"/>
      <c r="F739" s="35"/>
      <c r="G739" s="35"/>
      <c r="H739" s="35" t="str">
        <f t="shared" si="11"/>
        <v/>
      </c>
      <c r="I739" s="29"/>
      <c r="K739" s="36" t="str">
        <f>IF(ISNUMBER($D739),IF(YEAR($D739)=대시보드!$C$2,$D739+ROW()/100000,""),"")</f>
        <v/>
      </c>
    </row>
    <row r="740" spans="1:11">
      <c r="A740" s="33"/>
      <c r="B740" s="29"/>
      <c r="C740" s="29"/>
      <c r="D740" s="30"/>
      <c r="E740" s="30"/>
      <c r="F740" s="35"/>
      <c r="G740" s="35"/>
      <c r="H740" s="35" t="str">
        <f t="shared" si="11"/>
        <v/>
      </c>
      <c r="I740" s="29"/>
      <c r="K740" s="36" t="str">
        <f>IF(ISNUMBER($D740),IF(YEAR($D740)=대시보드!$C$2,$D740+ROW()/100000,""),"")</f>
        <v/>
      </c>
    </row>
    <row r="741" spans="1:11">
      <c r="A741" s="33"/>
      <c r="B741" s="29"/>
      <c r="C741" s="29"/>
      <c r="D741" s="30"/>
      <c r="E741" s="30"/>
      <c r="F741" s="35"/>
      <c r="G741" s="35"/>
      <c r="H741" s="35" t="str">
        <f t="shared" si="11"/>
        <v/>
      </c>
      <c r="I741" s="29"/>
      <c r="K741" s="36" t="str">
        <f>IF(ISNUMBER($D741),IF(YEAR($D741)=대시보드!$C$2,$D741+ROW()/100000,""),"")</f>
        <v/>
      </c>
    </row>
    <row r="742" spans="1:11">
      <c r="A742" s="33"/>
      <c r="B742" s="29"/>
      <c r="C742" s="29"/>
      <c r="D742" s="30"/>
      <c r="E742" s="30"/>
      <c r="F742" s="35"/>
      <c r="G742" s="35"/>
      <c r="H742" s="35" t="str">
        <f t="shared" si="11"/>
        <v/>
      </c>
      <c r="I742" s="29"/>
      <c r="K742" s="36" t="str">
        <f>IF(ISNUMBER($D742),IF(YEAR($D742)=대시보드!$C$2,$D742+ROW()/100000,""),"")</f>
        <v/>
      </c>
    </row>
    <row r="743" spans="1:11">
      <c r="A743" s="33"/>
      <c r="B743" s="29"/>
      <c r="C743" s="29"/>
      <c r="D743" s="30"/>
      <c r="E743" s="30"/>
      <c r="F743" s="35"/>
      <c r="G743" s="35"/>
      <c r="H743" s="35" t="str">
        <f t="shared" si="11"/>
        <v/>
      </c>
      <c r="I743" s="29"/>
      <c r="K743" s="36" t="str">
        <f>IF(ISNUMBER($D743),IF(YEAR($D743)=대시보드!$C$2,$D743+ROW()/100000,""),"")</f>
        <v/>
      </c>
    </row>
    <row r="744" spans="1:11">
      <c r="A744" s="33"/>
      <c r="B744" s="29"/>
      <c r="C744" s="29"/>
      <c r="D744" s="30"/>
      <c r="E744" s="30"/>
      <c r="F744" s="35"/>
      <c r="G744" s="35"/>
      <c r="H744" s="35" t="str">
        <f t="shared" si="11"/>
        <v/>
      </c>
      <c r="I744" s="29"/>
      <c r="K744" s="36" t="str">
        <f>IF(ISNUMBER($D744),IF(YEAR($D744)=대시보드!$C$2,$D744+ROW()/100000,""),"")</f>
        <v/>
      </c>
    </row>
    <row r="745" spans="1:11">
      <c r="A745" s="33"/>
      <c r="B745" s="29"/>
      <c r="C745" s="29"/>
      <c r="D745" s="30"/>
      <c r="E745" s="30"/>
      <c r="F745" s="35"/>
      <c r="G745" s="35"/>
      <c r="H745" s="35" t="str">
        <f t="shared" si="11"/>
        <v/>
      </c>
      <c r="I745" s="29"/>
      <c r="K745" s="36" t="str">
        <f>IF(ISNUMBER($D745),IF(YEAR($D745)=대시보드!$C$2,$D745+ROW()/100000,""),"")</f>
        <v/>
      </c>
    </row>
    <row r="746" spans="1:11">
      <c r="A746" s="33"/>
      <c r="B746" s="29"/>
      <c r="C746" s="29"/>
      <c r="D746" s="30"/>
      <c r="E746" s="30"/>
      <c r="F746" s="35"/>
      <c r="G746" s="35"/>
      <c r="H746" s="35" t="str">
        <f t="shared" si="11"/>
        <v/>
      </c>
      <c r="I746" s="29"/>
      <c r="K746" s="36" t="str">
        <f>IF(ISNUMBER($D746),IF(YEAR($D746)=대시보드!$C$2,$D746+ROW()/100000,""),"")</f>
        <v/>
      </c>
    </row>
    <row r="747" spans="1:11">
      <c r="A747" s="33"/>
      <c r="B747" s="29"/>
      <c r="C747" s="29"/>
      <c r="D747" s="30"/>
      <c r="E747" s="30"/>
      <c r="F747" s="35"/>
      <c r="G747" s="35"/>
      <c r="H747" s="35" t="str">
        <f t="shared" si="11"/>
        <v/>
      </c>
      <c r="I747" s="29"/>
      <c r="K747" s="36" t="str">
        <f>IF(ISNUMBER($D747),IF(YEAR($D747)=대시보드!$C$2,$D747+ROW()/100000,""),"")</f>
        <v/>
      </c>
    </row>
    <row r="748" spans="1:11">
      <c r="A748" s="33"/>
      <c r="B748" s="29"/>
      <c r="C748" s="29"/>
      <c r="D748" s="30"/>
      <c r="E748" s="30"/>
      <c r="F748" s="35"/>
      <c r="G748" s="35"/>
      <c r="H748" s="35" t="str">
        <f t="shared" si="11"/>
        <v/>
      </c>
      <c r="I748" s="29"/>
      <c r="K748" s="36" t="str">
        <f>IF(ISNUMBER($D748),IF(YEAR($D748)=대시보드!$C$2,$D748+ROW()/100000,""),"")</f>
        <v/>
      </c>
    </row>
    <row r="749" spans="1:11">
      <c r="A749" s="33"/>
      <c r="B749" s="29"/>
      <c r="C749" s="29"/>
      <c r="D749" s="30"/>
      <c r="E749" s="30"/>
      <c r="F749" s="35"/>
      <c r="G749" s="35"/>
      <c r="H749" s="35" t="str">
        <f t="shared" si="11"/>
        <v/>
      </c>
      <c r="I749" s="29"/>
      <c r="K749" s="36" t="str">
        <f>IF(ISNUMBER($D749),IF(YEAR($D749)=대시보드!$C$2,$D749+ROW()/100000,""),"")</f>
        <v/>
      </c>
    </row>
    <row r="750" spans="1:11">
      <c r="A750" s="33"/>
      <c r="B750" s="29"/>
      <c r="C750" s="29"/>
      <c r="D750" s="30"/>
      <c r="E750" s="30"/>
      <c r="F750" s="35"/>
      <c r="G750" s="35"/>
      <c r="H750" s="35" t="str">
        <f t="shared" si="11"/>
        <v/>
      </c>
      <c r="I750" s="29"/>
      <c r="K750" s="36" t="str">
        <f>IF(ISNUMBER($D750),IF(YEAR($D750)=대시보드!$C$2,$D750+ROW()/100000,""),"")</f>
        <v/>
      </c>
    </row>
    <row r="751" spans="1:11">
      <c r="A751" s="33"/>
      <c r="B751" s="29"/>
      <c r="C751" s="29"/>
      <c r="D751" s="30"/>
      <c r="E751" s="30"/>
      <c r="F751" s="35"/>
      <c r="G751" s="35"/>
      <c r="H751" s="35" t="str">
        <f t="shared" si="11"/>
        <v/>
      </c>
      <c r="I751" s="29"/>
      <c r="K751" s="36" t="str">
        <f>IF(ISNUMBER($D751),IF(YEAR($D751)=대시보드!$C$2,$D751+ROW()/100000,""),"")</f>
        <v/>
      </c>
    </row>
    <row r="752" spans="1:11">
      <c r="A752" s="33"/>
      <c r="B752" s="29"/>
      <c r="C752" s="29"/>
      <c r="D752" s="30"/>
      <c r="E752" s="30"/>
      <c r="F752" s="35"/>
      <c r="G752" s="35"/>
      <c r="H752" s="35" t="str">
        <f t="shared" si="11"/>
        <v/>
      </c>
      <c r="I752" s="29"/>
      <c r="K752" s="36" t="str">
        <f>IF(ISNUMBER($D752),IF(YEAR($D752)=대시보드!$C$2,$D752+ROW()/100000,""),"")</f>
        <v/>
      </c>
    </row>
    <row r="753" spans="1:11">
      <c r="A753" s="33"/>
      <c r="B753" s="29"/>
      <c r="C753" s="29"/>
      <c r="D753" s="30"/>
      <c r="E753" s="30"/>
      <c r="F753" s="35"/>
      <c r="G753" s="35"/>
      <c r="H753" s="35" t="str">
        <f t="shared" si="11"/>
        <v/>
      </c>
      <c r="I753" s="29"/>
      <c r="K753" s="36" t="str">
        <f>IF(ISNUMBER($D753),IF(YEAR($D753)=대시보드!$C$2,$D753+ROW()/100000,""),"")</f>
        <v/>
      </c>
    </row>
    <row r="754" spans="1:11">
      <c r="A754" s="33"/>
      <c r="B754" s="29"/>
      <c r="C754" s="29"/>
      <c r="D754" s="30"/>
      <c r="E754" s="30"/>
      <c r="F754" s="35"/>
      <c r="G754" s="35"/>
      <c r="H754" s="35" t="str">
        <f t="shared" si="11"/>
        <v/>
      </c>
      <c r="I754" s="29"/>
      <c r="K754" s="36" t="str">
        <f>IF(ISNUMBER($D754),IF(YEAR($D754)=대시보드!$C$2,$D754+ROW()/100000,""),"")</f>
        <v/>
      </c>
    </row>
    <row r="755" spans="1:11">
      <c r="A755" s="33"/>
      <c r="B755" s="29"/>
      <c r="C755" s="29"/>
      <c r="D755" s="30"/>
      <c r="E755" s="30"/>
      <c r="F755" s="35"/>
      <c r="G755" s="35"/>
      <c r="H755" s="35" t="str">
        <f t="shared" si="11"/>
        <v/>
      </c>
      <c r="I755" s="29"/>
      <c r="K755" s="36" t="str">
        <f>IF(ISNUMBER($D755),IF(YEAR($D755)=대시보드!$C$2,$D755+ROW()/100000,""),"")</f>
        <v/>
      </c>
    </row>
    <row r="756" spans="1:11">
      <c r="A756" s="33"/>
      <c r="B756" s="29"/>
      <c r="C756" s="29"/>
      <c r="D756" s="30"/>
      <c r="E756" s="30"/>
      <c r="F756" s="35"/>
      <c r="G756" s="35"/>
      <c r="H756" s="35" t="str">
        <f t="shared" si="11"/>
        <v/>
      </c>
      <c r="I756" s="29"/>
      <c r="K756" s="36" t="str">
        <f>IF(ISNUMBER($D756),IF(YEAR($D756)=대시보드!$C$2,$D756+ROW()/100000,""),"")</f>
        <v/>
      </c>
    </row>
    <row r="757" spans="1:11">
      <c r="A757" s="33"/>
      <c r="B757" s="29"/>
      <c r="C757" s="29"/>
      <c r="D757" s="30"/>
      <c r="E757" s="30"/>
      <c r="F757" s="35"/>
      <c r="G757" s="35"/>
      <c r="H757" s="35" t="str">
        <f t="shared" si="11"/>
        <v/>
      </c>
      <c r="I757" s="29"/>
      <c r="K757" s="36" t="str">
        <f>IF(ISNUMBER($D757),IF(YEAR($D757)=대시보드!$C$2,$D757+ROW()/100000,""),"")</f>
        <v/>
      </c>
    </row>
    <row r="758" spans="1:11">
      <c r="A758" s="33"/>
      <c r="B758" s="29"/>
      <c r="C758" s="29"/>
      <c r="D758" s="30"/>
      <c r="E758" s="30"/>
      <c r="F758" s="35"/>
      <c r="G758" s="35"/>
      <c r="H758" s="35" t="str">
        <f t="shared" si="11"/>
        <v/>
      </c>
      <c r="I758" s="29"/>
      <c r="K758" s="36" t="str">
        <f>IF(ISNUMBER($D758),IF(YEAR($D758)=대시보드!$C$2,$D758+ROW()/100000,""),"")</f>
        <v/>
      </c>
    </row>
    <row r="759" spans="1:11">
      <c r="A759" s="33"/>
      <c r="B759" s="29"/>
      <c r="C759" s="29"/>
      <c r="D759" s="30"/>
      <c r="E759" s="30"/>
      <c r="F759" s="35"/>
      <c r="G759" s="35"/>
      <c r="H759" s="35" t="str">
        <f t="shared" si="11"/>
        <v/>
      </c>
      <c r="I759" s="29"/>
      <c r="K759" s="36" t="str">
        <f>IF(ISNUMBER($D759),IF(YEAR($D759)=대시보드!$C$2,$D759+ROW()/100000,""),"")</f>
        <v/>
      </c>
    </row>
    <row r="760" spans="1:11">
      <c r="A760" s="33"/>
      <c r="B760" s="29"/>
      <c r="C760" s="29"/>
      <c r="D760" s="30"/>
      <c r="E760" s="30"/>
      <c r="F760" s="35"/>
      <c r="G760" s="35"/>
      <c r="H760" s="35" t="str">
        <f t="shared" si="11"/>
        <v/>
      </c>
      <c r="I760" s="29"/>
      <c r="K760" s="36" t="str">
        <f>IF(ISNUMBER($D760),IF(YEAR($D760)=대시보드!$C$2,$D760+ROW()/100000,""),"")</f>
        <v/>
      </c>
    </row>
    <row r="761" spans="1:11">
      <c r="A761" s="33"/>
      <c r="B761" s="29"/>
      <c r="C761" s="29"/>
      <c r="D761" s="30"/>
      <c r="E761" s="30"/>
      <c r="F761" s="35"/>
      <c r="G761" s="35"/>
      <c r="H761" s="35" t="str">
        <f t="shared" si="11"/>
        <v/>
      </c>
      <c r="I761" s="29"/>
      <c r="K761" s="36" t="str">
        <f>IF(ISNUMBER($D761),IF(YEAR($D761)=대시보드!$C$2,$D761+ROW()/100000,""),"")</f>
        <v/>
      </c>
    </row>
    <row r="762" spans="1:11">
      <c r="A762" s="33"/>
      <c r="B762" s="29"/>
      <c r="C762" s="29"/>
      <c r="D762" s="30"/>
      <c r="E762" s="30"/>
      <c r="F762" s="35"/>
      <c r="G762" s="35"/>
      <c r="H762" s="35" t="str">
        <f t="shared" si="11"/>
        <v/>
      </c>
      <c r="I762" s="29"/>
      <c r="K762" s="36" t="str">
        <f>IF(ISNUMBER($D762),IF(YEAR($D762)=대시보드!$C$2,$D762+ROW()/100000,""),"")</f>
        <v/>
      </c>
    </row>
    <row r="763" spans="1:11">
      <c r="A763" s="33"/>
      <c r="B763" s="29"/>
      <c r="C763" s="29"/>
      <c r="D763" s="30"/>
      <c r="E763" s="30"/>
      <c r="F763" s="35"/>
      <c r="G763" s="35"/>
      <c r="H763" s="35" t="str">
        <f t="shared" si="11"/>
        <v/>
      </c>
      <c r="I763" s="29"/>
      <c r="K763" s="36" t="str">
        <f>IF(ISNUMBER($D763),IF(YEAR($D763)=대시보드!$C$2,$D763+ROW()/100000,""),"")</f>
        <v/>
      </c>
    </row>
    <row r="764" spans="1:11">
      <c r="A764" s="33"/>
      <c r="B764" s="29"/>
      <c r="C764" s="29"/>
      <c r="D764" s="30"/>
      <c r="E764" s="30"/>
      <c r="F764" s="35"/>
      <c r="G764" s="35"/>
      <c r="H764" s="35" t="str">
        <f t="shared" si="11"/>
        <v/>
      </c>
      <c r="I764" s="29"/>
      <c r="K764" s="36" t="str">
        <f>IF(ISNUMBER($D764),IF(YEAR($D764)=대시보드!$C$2,$D764+ROW()/100000,""),"")</f>
        <v/>
      </c>
    </row>
    <row r="765" spans="1:11">
      <c r="A765" s="33"/>
      <c r="B765" s="29"/>
      <c r="C765" s="29"/>
      <c r="D765" s="30"/>
      <c r="E765" s="30"/>
      <c r="F765" s="35"/>
      <c r="G765" s="35"/>
      <c r="H765" s="35" t="str">
        <f t="shared" si="11"/>
        <v/>
      </c>
      <c r="I765" s="29"/>
      <c r="K765" s="36" t="str">
        <f>IF(ISNUMBER($D765),IF(YEAR($D765)=대시보드!$C$2,$D765+ROW()/100000,""),"")</f>
        <v/>
      </c>
    </row>
    <row r="766" spans="1:11">
      <c r="A766" s="33"/>
      <c r="B766" s="29"/>
      <c r="C766" s="29"/>
      <c r="D766" s="30"/>
      <c r="E766" s="30"/>
      <c r="F766" s="35"/>
      <c r="G766" s="35"/>
      <c r="H766" s="35" t="str">
        <f t="shared" si="11"/>
        <v/>
      </c>
      <c r="I766" s="29"/>
      <c r="K766" s="36" t="str">
        <f>IF(ISNUMBER($D766),IF(YEAR($D766)=대시보드!$C$2,$D766+ROW()/100000,""),"")</f>
        <v/>
      </c>
    </row>
    <row r="767" spans="1:11">
      <c r="A767" s="33"/>
      <c r="B767" s="29"/>
      <c r="C767" s="29"/>
      <c r="D767" s="30"/>
      <c r="E767" s="30"/>
      <c r="F767" s="35"/>
      <c r="G767" s="35"/>
      <c r="H767" s="35" t="str">
        <f t="shared" si="11"/>
        <v/>
      </c>
      <c r="I767" s="29"/>
      <c r="K767" s="36" t="str">
        <f>IF(ISNUMBER($D767),IF(YEAR($D767)=대시보드!$C$2,$D767+ROW()/100000,""),"")</f>
        <v/>
      </c>
    </row>
    <row r="768" spans="1:11">
      <c r="A768" s="33"/>
      <c r="B768" s="29"/>
      <c r="C768" s="29"/>
      <c r="D768" s="30"/>
      <c r="E768" s="30"/>
      <c r="F768" s="35"/>
      <c r="G768" s="35"/>
      <c r="H768" s="35" t="str">
        <f t="shared" si="11"/>
        <v/>
      </c>
      <c r="I768" s="29"/>
      <c r="K768" s="36" t="str">
        <f>IF(ISNUMBER($D768),IF(YEAR($D768)=대시보드!$C$2,$D768+ROW()/100000,""),"")</f>
        <v/>
      </c>
    </row>
    <row r="769" spans="1:11">
      <c r="A769" s="33"/>
      <c r="B769" s="29"/>
      <c r="C769" s="29"/>
      <c r="D769" s="30"/>
      <c r="E769" s="30"/>
      <c r="F769" s="35"/>
      <c r="G769" s="35"/>
      <c r="H769" s="35" t="str">
        <f t="shared" si="11"/>
        <v/>
      </c>
      <c r="I769" s="29"/>
      <c r="K769" s="36" t="str">
        <f>IF(ISNUMBER($D769),IF(YEAR($D769)=대시보드!$C$2,$D769+ROW()/100000,""),"")</f>
        <v/>
      </c>
    </row>
    <row r="770" spans="1:11">
      <c r="A770" s="33"/>
      <c r="B770" s="29"/>
      <c r="C770" s="29"/>
      <c r="D770" s="30"/>
      <c r="E770" s="30"/>
      <c r="F770" s="35"/>
      <c r="G770" s="35"/>
      <c r="H770" s="35" t="str">
        <f t="shared" si="11"/>
        <v/>
      </c>
      <c r="I770" s="29"/>
      <c r="K770" s="36" t="str">
        <f>IF(ISNUMBER($D770),IF(YEAR($D770)=대시보드!$C$2,$D770+ROW()/100000,""),"")</f>
        <v/>
      </c>
    </row>
    <row r="771" spans="1:11">
      <c r="A771" s="33"/>
      <c r="B771" s="29"/>
      <c r="C771" s="29"/>
      <c r="D771" s="30"/>
      <c r="E771" s="30"/>
      <c r="F771" s="35"/>
      <c r="G771" s="35"/>
      <c r="H771" s="35" t="str">
        <f t="shared" si="11"/>
        <v/>
      </c>
      <c r="I771" s="29"/>
      <c r="K771" s="36" t="str">
        <f>IF(ISNUMBER($D771),IF(YEAR($D771)=대시보드!$C$2,$D771+ROW()/100000,""),"")</f>
        <v/>
      </c>
    </row>
    <row r="772" spans="1:11">
      <c r="A772" s="33"/>
      <c r="B772" s="29"/>
      <c r="C772" s="29"/>
      <c r="D772" s="30"/>
      <c r="E772" s="30"/>
      <c r="F772" s="35"/>
      <c r="G772" s="35"/>
      <c r="H772" s="35" t="str">
        <f t="shared" ref="H772:H835" si="12">IF(F772="","",F772-G772)</f>
        <v/>
      </c>
      <c r="I772" s="29"/>
      <c r="K772" s="36" t="str">
        <f>IF(ISNUMBER($D772),IF(YEAR($D772)=대시보드!$C$2,$D772+ROW()/100000,""),"")</f>
        <v/>
      </c>
    </row>
    <row r="773" spans="1:11">
      <c r="A773" s="33"/>
      <c r="B773" s="29"/>
      <c r="C773" s="29"/>
      <c r="D773" s="30"/>
      <c r="E773" s="30"/>
      <c r="F773" s="35"/>
      <c r="G773" s="35"/>
      <c r="H773" s="35" t="str">
        <f t="shared" si="12"/>
        <v/>
      </c>
      <c r="I773" s="29"/>
      <c r="K773" s="36" t="str">
        <f>IF(ISNUMBER($D773),IF(YEAR($D773)=대시보드!$C$2,$D773+ROW()/100000,""),"")</f>
        <v/>
      </c>
    </row>
    <row r="774" spans="1:11">
      <c r="A774" s="33"/>
      <c r="B774" s="29"/>
      <c r="C774" s="29"/>
      <c r="D774" s="30"/>
      <c r="E774" s="30"/>
      <c r="F774" s="35"/>
      <c r="G774" s="35"/>
      <c r="H774" s="35" t="str">
        <f t="shared" si="12"/>
        <v/>
      </c>
      <c r="I774" s="29"/>
      <c r="K774" s="36" t="str">
        <f>IF(ISNUMBER($D774),IF(YEAR($D774)=대시보드!$C$2,$D774+ROW()/100000,""),"")</f>
        <v/>
      </c>
    </row>
    <row r="775" spans="1:11">
      <c r="A775" s="33"/>
      <c r="B775" s="29"/>
      <c r="C775" s="29"/>
      <c r="D775" s="30"/>
      <c r="E775" s="30"/>
      <c r="F775" s="35"/>
      <c r="G775" s="35"/>
      <c r="H775" s="35" t="str">
        <f t="shared" si="12"/>
        <v/>
      </c>
      <c r="I775" s="29"/>
      <c r="K775" s="36" t="str">
        <f>IF(ISNUMBER($D775),IF(YEAR($D775)=대시보드!$C$2,$D775+ROW()/100000,""),"")</f>
        <v/>
      </c>
    </row>
    <row r="776" spans="1:11">
      <c r="A776" s="33"/>
      <c r="B776" s="29"/>
      <c r="C776" s="29"/>
      <c r="D776" s="30"/>
      <c r="E776" s="30"/>
      <c r="F776" s="35"/>
      <c r="G776" s="35"/>
      <c r="H776" s="35" t="str">
        <f t="shared" si="12"/>
        <v/>
      </c>
      <c r="I776" s="29"/>
      <c r="K776" s="36" t="str">
        <f>IF(ISNUMBER($D776),IF(YEAR($D776)=대시보드!$C$2,$D776+ROW()/100000,""),"")</f>
        <v/>
      </c>
    </row>
    <row r="777" spans="1:11">
      <c r="A777" s="33"/>
      <c r="B777" s="29"/>
      <c r="C777" s="29"/>
      <c r="D777" s="30"/>
      <c r="E777" s="30"/>
      <c r="F777" s="35"/>
      <c r="G777" s="35"/>
      <c r="H777" s="35" t="str">
        <f t="shared" si="12"/>
        <v/>
      </c>
      <c r="I777" s="29"/>
      <c r="K777" s="36" t="str">
        <f>IF(ISNUMBER($D777),IF(YEAR($D777)=대시보드!$C$2,$D777+ROW()/100000,""),"")</f>
        <v/>
      </c>
    </row>
    <row r="778" spans="1:11">
      <c r="A778" s="33"/>
      <c r="B778" s="29"/>
      <c r="C778" s="29"/>
      <c r="D778" s="30"/>
      <c r="E778" s="30"/>
      <c r="F778" s="35"/>
      <c r="G778" s="35"/>
      <c r="H778" s="35" t="str">
        <f t="shared" si="12"/>
        <v/>
      </c>
      <c r="I778" s="29"/>
      <c r="K778" s="36" t="str">
        <f>IF(ISNUMBER($D778),IF(YEAR($D778)=대시보드!$C$2,$D778+ROW()/100000,""),"")</f>
        <v/>
      </c>
    </row>
    <row r="779" spans="1:11">
      <c r="A779" s="33"/>
      <c r="B779" s="29"/>
      <c r="C779" s="29"/>
      <c r="D779" s="30"/>
      <c r="E779" s="30"/>
      <c r="F779" s="35"/>
      <c r="G779" s="35"/>
      <c r="H779" s="35" t="str">
        <f t="shared" si="12"/>
        <v/>
      </c>
      <c r="I779" s="29"/>
      <c r="K779" s="36" t="str">
        <f>IF(ISNUMBER($D779),IF(YEAR($D779)=대시보드!$C$2,$D779+ROW()/100000,""),"")</f>
        <v/>
      </c>
    </row>
    <row r="780" spans="1:11">
      <c r="A780" s="33"/>
      <c r="B780" s="29"/>
      <c r="C780" s="29"/>
      <c r="D780" s="30"/>
      <c r="E780" s="30"/>
      <c r="F780" s="35"/>
      <c r="G780" s="35"/>
      <c r="H780" s="35" t="str">
        <f t="shared" si="12"/>
        <v/>
      </c>
      <c r="I780" s="29"/>
      <c r="K780" s="36" t="str">
        <f>IF(ISNUMBER($D780),IF(YEAR($D780)=대시보드!$C$2,$D780+ROW()/100000,""),"")</f>
        <v/>
      </c>
    </row>
    <row r="781" spans="1:11">
      <c r="A781" s="33"/>
      <c r="B781" s="29"/>
      <c r="C781" s="29"/>
      <c r="D781" s="30"/>
      <c r="E781" s="30"/>
      <c r="F781" s="35"/>
      <c r="G781" s="35"/>
      <c r="H781" s="35" t="str">
        <f t="shared" si="12"/>
        <v/>
      </c>
      <c r="I781" s="29"/>
      <c r="K781" s="36" t="str">
        <f>IF(ISNUMBER($D781),IF(YEAR($D781)=대시보드!$C$2,$D781+ROW()/100000,""),"")</f>
        <v/>
      </c>
    </row>
    <row r="782" spans="1:11">
      <c r="A782" s="33"/>
      <c r="B782" s="29"/>
      <c r="C782" s="29"/>
      <c r="D782" s="30"/>
      <c r="E782" s="30"/>
      <c r="F782" s="35"/>
      <c r="G782" s="35"/>
      <c r="H782" s="35" t="str">
        <f t="shared" si="12"/>
        <v/>
      </c>
      <c r="I782" s="29"/>
      <c r="K782" s="36" t="str">
        <f>IF(ISNUMBER($D782),IF(YEAR($D782)=대시보드!$C$2,$D782+ROW()/100000,""),"")</f>
        <v/>
      </c>
    </row>
    <row r="783" spans="1:11">
      <c r="A783" s="33"/>
      <c r="B783" s="29"/>
      <c r="C783" s="29"/>
      <c r="D783" s="30"/>
      <c r="E783" s="30"/>
      <c r="F783" s="35"/>
      <c r="G783" s="35"/>
      <c r="H783" s="35" t="str">
        <f t="shared" si="12"/>
        <v/>
      </c>
      <c r="I783" s="29"/>
      <c r="K783" s="36" t="str">
        <f>IF(ISNUMBER($D783),IF(YEAR($D783)=대시보드!$C$2,$D783+ROW()/100000,""),"")</f>
        <v/>
      </c>
    </row>
    <row r="784" spans="1:11">
      <c r="A784" s="33"/>
      <c r="B784" s="29"/>
      <c r="C784" s="29"/>
      <c r="D784" s="30"/>
      <c r="E784" s="30"/>
      <c r="F784" s="35"/>
      <c r="G784" s="35"/>
      <c r="H784" s="35" t="str">
        <f t="shared" si="12"/>
        <v/>
      </c>
      <c r="I784" s="29"/>
      <c r="K784" s="36" t="str">
        <f>IF(ISNUMBER($D784),IF(YEAR($D784)=대시보드!$C$2,$D784+ROW()/100000,""),"")</f>
        <v/>
      </c>
    </row>
    <row r="785" spans="1:11">
      <c r="A785" s="33"/>
      <c r="B785" s="29"/>
      <c r="C785" s="29"/>
      <c r="D785" s="30"/>
      <c r="E785" s="30"/>
      <c r="F785" s="35"/>
      <c r="G785" s="35"/>
      <c r="H785" s="35" t="str">
        <f t="shared" si="12"/>
        <v/>
      </c>
      <c r="I785" s="29"/>
      <c r="K785" s="36" t="str">
        <f>IF(ISNUMBER($D785),IF(YEAR($D785)=대시보드!$C$2,$D785+ROW()/100000,""),"")</f>
        <v/>
      </c>
    </row>
    <row r="786" spans="1:11">
      <c r="A786" s="33"/>
      <c r="B786" s="29"/>
      <c r="C786" s="29"/>
      <c r="D786" s="30"/>
      <c r="E786" s="30"/>
      <c r="F786" s="35"/>
      <c r="G786" s="35"/>
      <c r="H786" s="35" t="str">
        <f t="shared" si="12"/>
        <v/>
      </c>
      <c r="I786" s="29"/>
      <c r="K786" s="36" t="str">
        <f>IF(ISNUMBER($D786),IF(YEAR($D786)=대시보드!$C$2,$D786+ROW()/100000,""),"")</f>
        <v/>
      </c>
    </row>
    <row r="787" spans="1:11">
      <c r="A787" s="33"/>
      <c r="B787" s="29"/>
      <c r="C787" s="29"/>
      <c r="D787" s="30"/>
      <c r="E787" s="30"/>
      <c r="F787" s="35"/>
      <c r="G787" s="35"/>
      <c r="H787" s="35" t="str">
        <f t="shared" si="12"/>
        <v/>
      </c>
      <c r="I787" s="29"/>
      <c r="K787" s="36" t="str">
        <f>IF(ISNUMBER($D787),IF(YEAR($D787)=대시보드!$C$2,$D787+ROW()/100000,""),"")</f>
        <v/>
      </c>
    </row>
    <row r="788" spans="1:11">
      <c r="A788" s="33"/>
      <c r="B788" s="29"/>
      <c r="C788" s="29"/>
      <c r="D788" s="30"/>
      <c r="E788" s="30"/>
      <c r="F788" s="35"/>
      <c r="G788" s="35"/>
      <c r="H788" s="35" t="str">
        <f t="shared" si="12"/>
        <v/>
      </c>
      <c r="I788" s="29"/>
      <c r="K788" s="36" t="str">
        <f>IF(ISNUMBER($D788),IF(YEAR($D788)=대시보드!$C$2,$D788+ROW()/100000,""),"")</f>
        <v/>
      </c>
    </row>
    <row r="789" spans="1:11">
      <c r="A789" s="33"/>
      <c r="B789" s="29"/>
      <c r="C789" s="29"/>
      <c r="D789" s="30"/>
      <c r="E789" s="30"/>
      <c r="F789" s="35"/>
      <c r="G789" s="35"/>
      <c r="H789" s="35" t="str">
        <f t="shared" si="12"/>
        <v/>
      </c>
      <c r="I789" s="29"/>
      <c r="K789" s="36" t="str">
        <f>IF(ISNUMBER($D789),IF(YEAR($D789)=대시보드!$C$2,$D789+ROW()/100000,""),"")</f>
        <v/>
      </c>
    </row>
    <row r="790" spans="1:11">
      <c r="A790" s="33"/>
      <c r="B790" s="29"/>
      <c r="C790" s="29"/>
      <c r="D790" s="30"/>
      <c r="E790" s="30"/>
      <c r="F790" s="35"/>
      <c r="G790" s="35"/>
      <c r="H790" s="35" t="str">
        <f t="shared" si="12"/>
        <v/>
      </c>
      <c r="I790" s="29"/>
      <c r="K790" s="36" t="str">
        <f>IF(ISNUMBER($D790),IF(YEAR($D790)=대시보드!$C$2,$D790+ROW()/100000,""),"")</f>
        <v/>
      </c>
    </row>
    <row r="791" spans="1:11">
      <c r="A791" s="33"/>
      <c r="B791" s="29"/>
      <c r="C791" s="29"/>
      <c r="D791" s="30"/>
      <c r="E791" s="30"/>
      <c r="F791" s="35"/>
      <c r="G791" s="35"/>
      <c r="H791" s="35" t="str">
        <f t="shared" si="12"/>
        <v/>
      </c>
      <c r="I791" s="29"/>
      <c r="K791" s="36" t="str">
        <f>IF(ISNUMBER($D791),IF(YEAR($D791)=대시보드!$C$2,$D791+ROW()/100000,""),"")</f>
        <v/>
      </c>
    </row>
    <row r="792" spans="1:11">
      <c r="A792" s="33"/>
      <c r="B792" s="29"/>
      <c r="C792" s="29"/>
      <c r="D792" s="30"/>
      <c r="E792" s="30"/>
      <c r="F792" s="35"/>
      <c r="G792" s="35"/>
      <c r="H792" s="35" t="str">
        <f t="shared" si="12"/>
        <v/>
      </c>
      <c r="I792" s="29"/>
      <c r="K792" s="36" t="str">
        <f>IF(ISNUMBER($D792),IF(YEAR($D792)=대시보드!$C$2,$D792+ROW()/100000,""),"")</f>
        <v/>
      </c>
    </row>
    <row r="793" spans="1:11">
      <c r="A793" s="33"/>
      <c r="B793" s="29"/>
      <c r="C793" s="29"/>
      <c r="D793" s="30"/>
      <c r="E793" s="30"/>
      <c r="F793" s="35"/>
      <c r="G793" s="35"/>
      <c r="H793" s="35" t="str">
        <f t="shared" si="12"/>
        <v/>
      </c>
      <c r="I793" s="29"/>
      <c r="K793" s="36" t="str">
        <f>IF(ISNUMBER($D793),IF(YEAR($D793)=대시보드!$C$2,$D793+ROW()/100000,""),"")</f>
        <v/>
      </c>
    </row>
    <row r="794" spans="1:11">
      <c r="A794" s="33"/>
      <c r="B794" s="29"/>
      <c r="C794" s="29"/>
      <c r="D794" s="30"/>
      <c r="E794" s="30"/>
      <c r="F794" s="35"/>
      <c r="G794" s="35"/>
      <c r="H794" s="35" t="str">
        <f t="shared" si="12"/>
        <v/>
      </c>
      <c r="I794" s="29"/>
      <c r="K794" s="36" t="str">
        <f>IF(ISNUMBER($D794),IF(YEAR($D794)=대시보드!$C$2,$D794+ROW()/100000,""),"")</f>
        <v/>
      </c>
    </row>
    <row r="795" spans="1:11">
      <c r="A795" s="33"/>
      <c r="B795" s="29"/>
      <c r="C795" s="29"/>
      <c r="D795" s="30"/>
      <c r="E795" s="30"/>
      <c r="F795" s="35"/>
      <c r="G795" s="35"/>
      <c r="H795" s="35" t="str">
        <f t="shared" si="12"/>
        <v/>
      </c>
      <c r="I795" s="29"/>
      <c r="K795" s="36" t="str">
        <f>IF(ISNUMBER($D795),IF(YEAR($D795)=대시보드!$C$2,$D795+ROW()/100000,""),"")</f>
        <v/>
      </c>
    </row>
    <row r="796" spans="1:11">
      <c r="A796" s="33"/>
      <c r="B796" s="29"/>
      <c r="C796" s="29"/>
      <c r="D796" s="30"/>
      <c r="E796" s="30"/>
      <c r="F796" s="35"/>
      <c r="G796" s="35"/>
      <c r="H796" s="35" t="str">
        <f t="shared" si="12"/>
        <v/>
      </c>
      <c r="I796" s="29"/>
      <c r="K796" s="36" t="str">
        <f>IF(ISNUMBER($D796),IF(YEAR($D796)=대시보드!$C$2,$D796+ROW()/100000,""),"")</f>
        <v/>
      </c>
    </row>
    <row r="797" spans="1:11">
      <c r="A797" s="33"/>
      <c r="B797" s="29"/>
      <c r="C797" s="29"/>
      <c r="D797" s="30"/>
      <c r="E797" s="30"/>
      <c r="F797" s="35"/>
      <c r="G797" s="35"/>
      <c r="H797" s="35" t="str">
        <f t="shared" si="12"/>
        <v/>
      </c>
      <c r="I797" s="29"/>
      <c r="K797" s="36" t="str">
        <f>IF(ISNUMBER($D797),IF(YEAR($D797)=대시보드!$C$2,$D797+ROW()/100000,""),"")</f>
        <v/>
      </c>
    </row>
    <row r="798" spans="1:11">
      <c r="A798" s="33"/>
      <c r="B798" s="29"/>
      <c r="C798" s="29"/>
      <c r="D798" s="30"/>
      <c r="E798" s="30"/>
      <c r="F798" s="35"/>
      <c r="G798" s="35"/>
      <c r="H798" s="35" t="str">
        <f t="shared" si="12"/>
        <v/>
      </c>
      <c r="I798" s="29"/>
      <c r="K798" s="36" t="str">
        <f>IF(ISNUMBER($D798),IF(YEAR($D798)=대시보드!$C$2,$D798+ROW()/100000,""),"")</f>
        <v/>
      </c>
    </row>
    <row r="799" spans="1:11">
      <c r="A799" s="33"/>
      <c r="B799" s="29"/>
      <c r="C799" s="29"/>
      <c r="D799" s="30"/>
      <c r="E799" s="30"/>
      <c r="F799" s="35"/>
      <c r="G799" s="35"/>
      <c r="H799" s="35" t="str">
        <f t="shared" si="12"/>
        <v/>
      </c>
      <c r="I799" s="29"/>
      <c r="K799" s="36" t="str">
        <f>IF(ISNUMBER($D799),IF(YEAR($D799)=대시보드!$C$2,$D799+ROW()/100000,""),"")</f>
        <v/>
      </c>
    </row>
    <row r="800" spans="1:11">
      <c r="A800" s="33"/>
      <c r="B800" s="29"/>
      <c r="C800" s="29"/>
      <c r="D800" s="30"/>
      <c r="E800" s="30"/>
      <c r="F800" s="35"/>
      <c r="G800" s="35"/>
      <c r="H800" s="35" t="str">
        <f t="shared" si="12"/>
        <v/>
      </c>
      <c r="I800" s="29"/>
      <c r="K800" s="36" t="str">
        <f>IF(ISNUMBER($D800),IF(YEAR($D800)=대시보드!$C$2,$D800+ROW()/100000,""),"")</f>
        <v/>
      </c>
    </row>
    <row r="801" spans="1:11">
      <c r="A801" s="33"/>
      <c r="B801" s="29"/>
      <c r="C801" s="29"/>
      <c r="D801" s="30"/>
      <c r="E801" s="30"/>
      <c r="F801" s="35"/>
      <c r="G801" s="35"/>
      <c r="H801" s="35" t="str">
        <f t="shared" si="12"/>
        <v/>
      </c>
      <c r="I801" s="29"/>
      <c r="K801" s="36" t="str">
        <f>IF(ISNUMBER($D801),IF(YEAR($D801)=대시보드!$C$2,$D801+ROW()/100000,""),"")</f>
        <v/>
      </c>
    </row>
    <row r="802" spans="1:11">
      <c r="A802" s="33"/>
      <c r="B802" s="29"/>
      <c r="C802" s="29"/>
      <c r="D802" s="30"/>
      <c r="E802" s="30"/>
      <c r="F802" s="35"/>
      <c r="G802" s="35"/>
      <c r="H802" s="35" t="str">
        <f t="shared" si="12"/>
        <v/>
      </c>
      <c r="I802" s="29"/>
      <c r="K802" s="36" t="str">
        <f>IF(ISNUMBER($D802),IF(YEAR($D802)=대시보드!$C$2,$D802+ROW()/100000,""),"")</f>
        <v/>
      </c>
    </row>
    <row r="803" spans="1:11">
      <c r="A803" s="33"/>
      <c r="B803" s="29"/>
      <c r="C803" s="29"/>
      <c r="D803" s="30"/>
      <c r="E803" s="30"/>
      <c r="F803" s="35"/>
      <c r="G803" s="35"/>
      <c r="H803" s="35" t="str">
        <f t="shared" si="12"/>
        <v/>
      </c>
      <c r="I803" s="29"/>
      <c r="K803" s="36" t="str">
        <f>IF(ISNUMBER($D803),IF(YEAR($D803)=대시보드!$C$2,$D803+ROW()/100000,""),"")</f>
        <v/>
      </c>
    </row>
    <row r="804" spans="1:11">
      <c r="A804" s="33"/>
      <c r="B804" s="29"/>
      <c r="C804" s="29"/>
      <c r="D804" s="30"/>
      <c r="E804" s="30"/>
      <c r="F804" s="35"/>
      <c r="G804" s="35"/>
      <c r="H804" s="35" t="str">
        <f t="shared" si="12"/>
        <v/>
      </c>
      <c r="I804" s="29"/>
      <c r="K804" s="36" t="str">
        <f>IF(ISNUMBER($D804),IF(YEAR($D804)=대시보드!$C$2,$D804+ROW()/100000,""),"")</f>
        <v/>
      </c>
    </row>
    <row r="805" spans="1:11">
      <c r="A805" s="33"/>
      <c r="B805" s="29"/>
      <c r="C805" s="29"/>
      <c r="D805" s="30"/>
      <c r="E805" s="30"/>
      <c r="F805" s="35"/>
      <c r="G805" s="35"/>
      <c r="H805" s="35" t="str">
        <f t="shared" si="12"/>
        <v/>
      </c>
      <c r="I805" s="29"/>
      <c r="K805" s="36" t="str">
        <f>IF(ISNUMBER($D805),IF(YEAR($D805)=대시보드!$C$2,$D805+ROW()/100000,""),"")</f>
        <v/>
      </c>
    </row>
    <row r="806" spans="1:11">
      <c r="A806" s="33"/>
      <c r="B806" s="29"/>
      <c r="C806" s="29"/>
      <c r="D806" s="30"/>
      <c r="E806" s="30"/>
      <c r="F806" s="35"/>
      <c r="G806" s="35"/>
      <c r="H806" s="35" t="str">
        <f t="shared" si="12"/>
        <v/>
      </c>
      <c r="I806" s="29"/>
      <c r="K806" s="36" t="str">
        <f>IF(ISNUMBER($D806),IF(YEAR($D806)=대시보드!$C$2,$D806+ROW()/100000,""),"")</f>
        <v/>
      </c>
    </row>
    <row r="807" spans="1:11">
      <c r="A807" s="33"/>
      <c r="B807" s="29"/>
      <c r="C807" s="29"/>
      <c r="D807" s="30"/>
      <c r="E807" s="30"/>
      <c r="F807" s="35"/>
      <c r="G807" s="35"/>
      <c r="H807" s="35" t="str">
        <f t="shared" si="12"/>
        <v/>
      </c>
      <c r="I807" s="29"/>
      <c r="K807" s="36" t="str">
        <f>IF(ISNUMBER($D807),IF(YEAR($D807)=대시보드!$C$2,$D807+ROW()/100000,""),"")</f>
        <v/>
      </c>
    </row>
    <row r="808" spans="1:11">
      <c r="A808" s="33"/>
      <c r="B808" s="29"/>
      <c r="C808" s="29"/>
      <c r="D808" s="30"/>
      <c r="E808" s="30"/>
      <c r="F808" s="35"/>
      <c r="G808" s="35"/>
      <c r="H808" s="35" t="str">
        <f t="shared" si="12"/>
        <v/>
      </c>
      <c r="I808" s="29"/>
      <c r="K808" s="36" t="str">
        <f>IF(ISNUMBER($D808),IF(YEAR($D808)=대시보드!$C$2,$D808+ROW()/100000,""),"")</f>
        <v/>
      </c>
    </row>
    <row r="809" spans="1:11">
      <c r="A809" s="33"/>
      <c r="B809" s="29"/>
      <c r="C809" s="29"/>
      <c r="D809" s="30"/>
      <c r="E809" s="30"/>
      <c r="F809" s="35"/>
      <c r="G809" s="35"/>
      <c r="H809" s="35" t="str">
        <f t="shared" si="12"/>
        <v/>
      </c>
      <c r="I809" s="29"/>
      <c r="K809" s="36" t="str">
        <f>IF(ISNUMBER($D809),IF(YEAR($D809)=대시보드!$C$2,$D809+ROW()/100000,""),"")</f>
        <v/>
      </c>
    </row>
    <row r="810" spans="1:11">
      <c r="A810" s="33"/>
      <c r="B810" s="29"/>
      <c r="C810" s="29"/>
      <c r="D810" s="30"/>
      <c r="E810" s="30"/>
      <c r="F810" s="35"/>
      <c r="G810" s="35"/>
      <c r="H810" s="35" t="str">
        <f t="shared" si="12"/>
        <v/>
      </c>
      <c r="I810" s="29"/>
      <c r="K810" s="36" t="str">
        <f>IF(ISNUMBER($D810),IF(YEAR($D810)=대시보드!$C$2,$D810+ROW()/100000,""),"")</f>
        <v/>
      </c>
    </row>
    <row r="811" spans="1:11">
      <c r="A811" s="33"/>
      <c r="B811" s="29"/>
      <c r="C811" s="29"/>
      <c r="D811" s="30"/>
      <c r="E811" s="30"/>
      <c r="F811" s="35"/>
      <c r="G811" s="35"/>
      <c r="H811" s="35" t="str">
        <f t="shared" si="12"/>
        <v/>
      </c>
      <c r="I811" s="29"/>
      <c r="K811" s="36" t="str">
        <f>IF(ISNUMBER($D811),IF(YEAR($D811)=대시보드!$C$2,$D811+ROW()/100000,""),"")</f>
        <v/>
      </c>
    </row>
    <row r="812" spans="1:11">
      <c r="A812" s="33"/>
      <c r="B812" s="29"/>
      <c r="C812" s="29"/>
      <c r="D812" s="30"/>
      <c r="E812" s="30"/>
      <c r="F812" s="35"/>
      <c r="G812" s="35"/>
      <c r="H812" s="35" t="str">
        <f t="shared" si="12"/>
        <v/>
      </c>
      <c r="I812" s="29"/>
      <c r="K812" s="36" t="str">
        <f>IF(ISNUMBER($D812),IF(YEAR($D812)=대시보드!$C$2,$D812+ROW()/100000,""),"")</f>
        <v/>
      </c>
    </row>
    <row r="813" spans="1:11">
      <c r="A813" s="33"/>
      <c r="B813" s="29"/>
      <c r="C813" s="29"/>
      <c r="D813" s="30"/>
      <c r="E813" s="30"/>
      <c r="F813" s="35"/>
      <c r="G813" s="35"/>
      <c r="H813" s="35" t="str">
        <f t="shared" si="12"/>
        <v/>
      </c>
      <c r="I813" s="29"/>
      <c r="K813" s="36" t="str">
        <f>IF(ISNUMBER($D813),IF(YEAR($D813)=대시보드!$C$2,$D813+ROW()/100000,""),"")</f>
        <v/>
      </c>
    </row>
    <row r="814" spans="1:11">
      <c r="A814" s="33"/>
      <c r="B814" s="29"/>
      <c r="C814" s="29"/>
      <c r="D814" s="30"/>
      <c r="E814" s="30"/>
      <c r="F814" s="35"/>
      <c r="G814" s="35"/>
      <c r="H814" s="35" t="str">
        <f t="shared" si="12"/>
        <v/>
      </c>
      <c r="I814" s="29"/>
      <c r="K814" s="36" t="str">
        <f>IF(ISNUMBER($D814),IF(YEAR($D814)=대시보드!$C$2,$D814+ROW()/100000,""),"")</f>
        <v/>
      </c>
    </row>
    <row r="815" spans="1:11">
      <c r="A815" s="33"/>
      <c r="B815" s="29"/>
      <c r="C815" s="29"/>
      <c r="D815" s="30"/>
      <c r="E815" s="30"/>
      <c r="F815" s="35"/>
      <c r="G815" s="35"/>
      <c r="H815" s="35" t="str">
        <f t="shared" si="12"/>
        <v/>
      </c>
      <c r="I815" s="29"/>
      <c r="K815" s="36" t="str">
        <f>IF(ISNUMBER($D815),IF(YEAR($D815)=대시보드!$C$2,$D815+ROW()/100000,""),"")</f>
        <v/>
      </c>
    </row>
    <row r="816" spans="1:11">
      <c r="A816" s="33"/>
      <c r="B816" s="29"/>
      <c r="C816" s="29"/>
      <c r="D816" s="30"/>
      <c r="E816" s="30"/>
      <c r="F816" s="35"/>
      <c r="G816" s="35"/>
      <c r="H816" s="35" t="str">
        <f t="shared" si="12"/>
        <v/>
      </c>
      <c r="I816" s="29"/>
      <c r="K816" s="36" t="str">
        <f>IF(ISNUMBER($D816),IF(YEAR($D816)=대시보드!$C$2,$D816+ROW()/100000,""),"")</f>
        <v/>
      </c>
    </row>
    <row r="817" spans="1:11">
      <c r="A817" s="33"/>
      <c r="B817" s="29"/>
      <c r="C817" s="29"/>
      <c r="D817" s="30"/>
      <c r="E817" s="30"/>
      <c r="F817" s="35"/>
      <c r="G817" s="35"/>
      <c r="H817" s="35" t="str">
        <f t="shared" si="12"/>
        <v/>
      </c>
      <c r="I817" s="29"/>
      <c r="K817" s="36" t="str">
        <f>IF(ISNUMBER($D817),IF(YEAR($D817)=대시보드!$C$2,$D817+ROW()/100000,""),"")</f>
        <v/>
      </c>
    </row>
    <row r="818" spans="1:11">
      <c r="A818" s="33"/>
      <c r="B818" s="29"/>
      <c r="C818" s="29"/>
      <c r="D818" s="30"/>
      <c r="E818" s="30"/>
      <c r="F818" s="35"/>
      <c r="G818" s="35"/>
      <c r="H818" s="35" t="str">
        <f t="shared" si="12"/>
        <v/>
      </c>
      <c r="I818" s="29"/>
      <c r="K818" s="36" t="str">
        <f>IF(ISNUMBER($D818),IF(YEAR($D818)=대시보드!$C$2,$D818+ROW()/100000,""),"")</f>
        <v/>
      </c>
    </row>
    <row r="819" spans="1:11">
      <c r="A819" s="33"/>
      <c r="B819" s="29"/>
      <c r="C819" s="29"/>
      <c r="D819" s="30"/>
      <c r="E819" s="30"/>
      <c r="F819" s="35"/>
      <c r="G819" s="35"/>
      <c r="H819" s="35" t="str">
        <f t="shared" si="12"/>
        <v/>
      </c>
      <c r="I819" s="29"/>
      <c r="K819" s="36" t="str">
        <f>IF(ISNUMBER($D819),IF(YEAR($D819)=대시보드!$C$2,$D819+ROW()/100000,""),"")</f>
        <v/>
      </c>
    </row>
    <row r="820" spans="1:11">
      <c r="A820" s="33"/>
      <c r="B820" s="29"/>
      <c r="C820" s="29"/>
      <c r="D820" s="30"/>
      <c r="E820" s="30"/>
      <c r="F820" s="35"/>
      <c r="G820" s="35"/>
      <c r="H820" s="35" t="str">
        <f t="shared" si="12"/>
        <v/>
      </c>
      <c r="I820" s="29"/>
      <c r="K820" s="36" t="str">
        <f>IF(ISNUMBER($D820),IF(YEAR($D820)=대시보드!$C$2,$D820+ROW()/100000,""),"")</f>
        <v/>
      </c>
    </row>
    <row r="821" spans="1:11">
      <c r="A821" s="33"/>
      <c r="B821" s="29"/>
      <c r="C821" s="29"/>
      <c r="D821" s="30"/>
      <c r="E821" s="30"/>
      <c r="F821" s="35"/>
      <c r="G821" s="35"/>
      <c r="H821" s="35" t="str">
        <f t="shared" si="12"/>
        <v/>
      </c>
      <c r="I821" s="29"/>
      <c r="K821" s="36" t="str">
        <f>IF(ISNUMBER($D821),IF(YEAR($D821)=대시보드!$C$2,$D821+ROW()/100000,""),"")</f>
        <v/>
      </c>
    </row>
    <row r="822" spans="1:11">
      <c r="A822" s="33"/>
      <c r="B822" s="29"/>
      <c r="C822" s="29"/>
      <c r="D822" s="30"/>
      <c r="E822" s="30"/>
      <c r="F822" s="35"/>
      <c r="G822" s="35"/>
      <c r="H822" s="35" t="str">
        <f t="shared" si="12"/>
        <v/>
      </c>
      <c r="I822" s="29"/>
      <c r="K822" s="36" t="str">
        <f>IF(ISNUMBER($D822),IF(YEAR($D822)=대시보드!$C$2,$D822+ROW()/100000,""),"")</f>
        <v/>
      </c>
    </row>
    <row r="823" spans="1:11">
      <c r="A823" s="33"/>
      <c r="B823" s="29"/>
      <c r="C823" s="29"/>
      <c r="D823" s="30"/>
      <c r="E823" s="30"/>
      <c r="F823" s="35"/>
      <c r="G823" s="35"/>
      <c r="H823" s="35" t="str">
        <f t="shared" si="12"/>
        <v/>
      </c>
      <c r="I823" s="29"/>
      <c r="K823" s="36" t="str">
        <f>IF(ISNUMBER($D823),IF(YEAR($D823)=대시보드!$C$2,$D823+ROW()/100000,""),"")</f>
        <v/>
      </c>
    </row>
    <row r="824" spans="1:11">
      <c r="A824" s="33"/>
      <c r="B824" s="29"/>
      <c r="C824" s="29"/>
      <c r="D824" s="30"/>
      <c r="E824" s="30"/>
      <c r="F824" s="35"/>
      <c r="G824" s="35"/>
      <c r="H824" s="35" t="str">
        <f t="shared" si="12"/>
        <v/>
      </c>
      <c r="I824" s="29"/>
      <c r="K824" s="36" t="str">
        <f>IF(ISNUMBER($D824),IF(YEAR($D824)=대시보드!$C$2,$D824+ROW()/100000,""),"")</f>
        <v/>
      </c>
    </row>
    <row r="825" spans="1:11">
      <c r="A825" s="33"/>
      <c r="B825" s="29"/>
      <c r="C825" s="29"/>
      <c r="D825" s="30"/>
      <c r="E825" s="30"/>
      <c r="F825" s="35"/>
      <c r="G825" s="35"/>
      <c r="H825" s="35" t="str">
        <f t="shared" si="12"/>
        <v/>
      </c>
      <c r="I825" s="29"/>
      <c r="K825" s="36" t="str">
        <f>IF(ISNUMBER($D825),IF(YEAR($D825)=대시보드!$C$2,$D825+ROW()/100000,""),"")</f>
        <v/>
      </c>
    </row>
    <row r="826" spans="1:11">
      <c r="A826" s="33"/>
      <c r="B826" s="29"/>
      <c r="C826" s="29"/>
      <c r="D826" s="30"/>
      <c r="E826" s="30"/>
      <c r="F826" s="35"/>
      <c r="G826" s="35"/>
      <c r="H826" s="35" t="str">
        <f t="shared" si="12"/>
        <v/>
      </c>
      <c r="I826" s="29"/>
      <c r="K826" s="36" t="str">
        <f>IF(ISNUMBER($D826),IF(YEAR($D826)=대시보드!$C$2,$D826+ROW()/100000,""),"")</f>
        <v/>
      </c>
    </row>
    <row r="827" spans="1:11">
      <c r="A827" s="33"/>
      <c r="B827" s="29"/>
      <c r="C827" s="29"/>
      <c r="D827" s="30"/>
      <c r="E827" s="30"/>
      <c r="F827" s="35"/>
      <c r="G827" s="35"/>
      <c r="H827" s="35" t="str">
        <f t="shared" si="12"/>
        <v/>
      </c>
      <c r="I827" s="29"/>
      <c r="K827" s="36" t="str">
        <f>IF(ISNUMBER($D827),IF(YEAR($D827)=대시보드!$C$2,$D827+ROW()/100000,""),"")</f>
        <v/>
      </c>
    </row>
    <row r="828" spans="1:11">
      <c r="A828" s="33"/>
      <c r="B828" s="29"/>
      <c r="C828" s="29"/>
      <c r="D828" s="30"/>
      <c r="E828" s="30"/>
      <c r="F828" s="35"/>
      <c r="G828" s="35"/>
      <c r="H828" s="35" t="str">
        <f t="shared" si="12"/>
        <v/>
      </c>
      <c r="I828" s="29"/>
      <c r="K828" s="36" t="str">
        <f>IF(ISNUMBER($D828),IF(YEAR($D828)=대시보드!$C$2,$D828+ROW()/100000,""),"")</f>
        <v/>
      </c>
    </row>
    <row r="829" spans="1:11">
      <c r="A829" s="33"/>
      <c r="B829" s="29"/>
      <c r="C829" s="29"/>
      <c r="D829" s="30"/>
      <c r="E829" s="30"/>
      <c r="F829" s="35"/>
      <c r="G829" s="35"/>
      <c r="H829" s="35" t="str">
        <f t="shared" si="12"/>
        <v/>
      </c>
      <c r="I829" s="29"/>
      <c r="K829" s="36" t="str">
        <f>IF(ISNUMBER($D829),IF(YEAR($D829)=대시보드!$C$2,$D829+ROW()/100000,""),"")</f>
        <v/>
      </c>
    </row>
    <row r="830" spans="1:11">
      <c r="A830" s="33"/>
      <c r="B830" s="29"/>
      <c r="C830" s="29"/>
      <c r="D830" s="30"/>
      <c r="E830" s="30"/>
      <c r="F830" s="35"/>
      <c r="G830" s="35"/>
      <c r="H830" s="35" t="str">
        <f t="shared" si="12"/>
        <v/>
      </c>
      <c r="I830" s="29"/>
      <c r="K830" s="36" t="str">
        <f>IF(ISNUMBER($D830),IF(YEAR($D830)=대시보드!$C$2,$D830+ROW()/100000,""),"")</f>
        <v/>
      </c>
    </row>
    <row r="831" spans="1:11">
      <c r="A831" s="33"/>
      <c r="B831" s="29"/>
      <c r="C831" s="29"/>
      <c r="D831" s="30"/>
      <c r="E831" s="30"/>
      <c r="F831" s="35"/>
      <c r="G831" s="35"/>
      <c r="H831" s="35" t="str">
        <f t="shared" si="12"/>
        <v/>
      </c>
      <c r="I831" s="29"/>
      <c r="K831" s="36" t="str">
        <f>IF(ISNUMBER($D831),IF(YEAR($D831)=대시보드!$C$2,$D831+ROW()/100000,""),"")</f>
        <v/>
      </c>
    </row>
    <row r="832" spans="1:11">
      <c r="A832" s="33"/>
      <c r="B832" s="29"/>
      <c r="C832" s="29"/>
      <c r="D832" s="30"/>
      <c r="E832" s="30"/>
      <c r="F832" s="35"/>
      <c r="G832" s="35"/>
      <c r="H832" s="35" t="str">
        <f t="shared" si="12"/>
        <v/>
      </c>
      <c r="I832" s="29"/>
      <c r="K832" s="36" t="str">
        <f>IF(ISNUMBER($D832),IF(YEAR($D832)=대시보드!$C$2,$D832+ROW()/100000,""),"")</f>
        <v/>
      </c>
    </row>
    <row r="833" spans="1:11">
      <c r="A833" s="33"/>
      <c r="B833" s="29"/>
      <c r="C833" s="29"/>
      <c r="D833" s="30"/>
      <c r="E833" s="30"/>
      <c r="F833" s="35"/>
      <c r="G833" s="35"/>
      <c r="H833" s="35" t="str">
        <f t="shared" si="12"/>
        <v/>
      </c>
      <c r="I833" s="29"/>
      <c r="K833" s="36" t="str">
        <f>IF(ISNUMBER($D833),IF(YEAR($D833)=대시보드!$C$2,$D833+ROW()/100000,""),"")</f>
        <v/>
      </c>
    </row>
    <row r="834" spans="1:11">
      <c r="A834" s="33"/>
      <c r="B834" s="29"/>
      <c r="C834" s="29"/>
      <c r="D834" s="30"/>
      <c r="E834" s="30"/>
      <c r="F834" s="35"/>
      <c r="G834" s="35"/>
      <c r="H834" s="35" t="str">
        <f t="shared" si="12"/>
        <v/>
      </c>
      <c r="I834" s="29"/>
      <c r="K834" s="36" t="str">
        <f>IF(ISNUMBER($D834),IF(YEAR($D834)=대시보드!$C$2,$D834+ROW()/100000,""),"")</f>
        <v/>
      </c>
    </row>
    <row r="835" spans="1:11">
      <c r="A835" s="33"/>
      <c r="B835" s="29"/>
      <c r="C835" s="29"/>
      <c r="D835" s="30"/>
      <c r="E835" s="30"/>
      <c r="F835" s="35"/>
      <c r="G835" s="35"/>
      <c r="H835" s="35" t="str">
        <f t="shared" si="12"/>
        <v/>
      </c>
      <c r="I835" s="29"/>
      <c r="K835" s="36" t="str">
        <f>IF(ISNUMBER($D835),IF(YEAR($D835)=대시보드!$C$2,$D835+ROW()/100000,""),"")</f>
        <v/>
      </c>
    </row>
    <row r="836" spans="1:11">
      <c r="A836" s="33"/>
      <c r="B836" s="29"/>
      <c r="C836" s="29"/>
      <c r="D836" s="30"/>
      <c r="E836" s="30"/>
      <c r="F836" s="35"/>
      <c r="G836" s="35"/>
      <c r="H836" s="35" t="str">
        <f t="shared" ref="H836:H899" si="13">IF(F836="","",F836-G836)</f>
        <v/>
      </c>
      <c r="I836" s="29"/>
      <c r="K836" s="36" t="str">
        <f>IF(ISNUMBER($D836),IF(YEAR($D836)=대시보드!$C$2,$D836+ROW()/100000,""),"")</f>
        <v/>
      </c>
    </row>
    <row r="837" spans="1:11">
      <c r="A837" s="33"/>
      <c r="B837" s="29"/>
      <c r="C837" s="29"/>
      <c r="D837" s="30"/>
      <c r="E837" s="30"/>
      <c r="F837" s="35"/>
      <c r="G837" s="35"/>
      <c r="H837" s="35" t="str">
        <f t="shared" si="13"/>
        <v/>
      </c>
      <c r="I837" s="29"/>
      <c r="K837" s="36" t="str">
        <f>IF(ISNUMBER($D837),IF(YEAR($D837)=대시보드!$C$2,$D837+ROW()/100000,""),"")</f>
        <v/>
      </c>
    </row>
    <row r="838" spans="1:11">
      <c r="A838" s="33"/>
      <c r="B838" s="29"/>
      <c r="C838" s="29"/>
      <c r="D838" s="30"/>
      <c r="E838" s="30"/>
      <c r="F838" s="35"/>
      <c r="G838" s="35"/>
      <c r="H838" s="35" t="str">
        <f t="shared" si="13"/>
        <v/>
      </c>
      <c r="I838" s="29"/>
      <c r="K838" s="36" t="str">
        <f>IF(ISNUMBER($D838),IF(YEAR($D838)=대시보드!$C$2,$D838+ROW()/100000,""),"")</f>
        <v/>
      </c>
    </row>
    <row r="839" spans="1:11">
      <c r="A839" s="33"/>
      <c r="B839" s="29"/>
      <c r="C839" s="29"/>
      <c r="D839" s="30"/>
      <c r="E839" s="30"/>
      <c r="F839" s="35"/>
      <c r="G839" s="35"/>
      <c r="H839" s="35" t="str">
        <f t="shared" si="13"/>
        <v/>
      </c>
      <c r="I839" s="29"/>
      <c r="K839" s="36" t="str">
        <f>IF(ISNUMBER($D839),IF(YEAR($D839)=대시보드!$C$2,$D839+ROW()/100000,""),"")</f>
        <v/>
      </c>
    </row>
    <row r="840" spans="1:11">
      <c r="A840" s="33"/>
      <c r="B840" s="29"/>
      <c r="C840" s="29"/>
      <c r="D840" s="30"/>
      <c r="E840" s="30"/>
      <c r="F840" s="35"/>
      <c r="G840" s="35"/>
      <c r="H840" s="35" t="str">
        <f t="shared" si="13"/>
        <v/>
      </c>
      <c r="I840" s="29"/>
      <c r="K840" s="36" t="str">
        <f>IF(ISNUMBER($D840),IF(YEAR($D840)=대시보드!$C$2,$D840+ROW()/100000,""),"")</f>
        <v/>
      </c>
    </row>
    <row r="841" spans="1:11">
      <c r="A841" s="33"/>
      <c r="B841" s="29"/>
      <c r="C841" s="29"/>
      <c r="D841" s="30"/>
      <c r="E841" s="30"/>
      <c r="F841" s="35"/>
      <c r="G841" s="35"/>
      <c r="H841" s="35" t="str">
        <f t="shared" si="13"/>
        <v/>
      </c>
      <c r="I841" s="29"/>
      <c r="K841" s="36" t="str">
        <f>IF(ISNUMBER($D841),IF(YEAR($D841)=대시보드!$C$2,$D841+ROW()/100000,""),"")</f>
        <v/>
      </c>
    </row>
    <row r="842" spans="1:11">
      <c r="A842" s="33"/>
      <c r="B842" s="29"/>
      <c r="C842" s="29"/>
      <c r="D842" s="30"/>
      <c r="E842" s="30"/>
      <c r="F842" s="35"/>
      <c r="G842" s="35"/>
      <c r="H842" s="35" t="str">
        <f t="shared" si="13"/>
        <v/>
      </c>
      <c r="I842" s="29"/>
      <c r="K842" s="36" t="str">
        <f>IF(ISNUMBER($D842),IF(YEAR($D842)=대시보드!$C$2,$D842+ROW()/100000,""),"")</f>
        <v/>
      </c>
    </row>
    <row r="843" spans="1:11">
      <c r="A843" s="33"/>
      <c r="B843" s="29"/>
      <c r="C843" s="29"/>
      <c r="D843" s="30"/>
      <c r="E843" s="30"/>
      <c r="F843" s="35"/>
      <c r="G843" s="35"/>
      <c r="H843" s="35" t="str">
        <f t="shared" si="13"/>
        <v/>
      </c>
      <c r="I843" s="29"/>
      <c r="K843" s="36" t="str">
        <f>IF(ISNUMBER($D843),IF(YEAR($D843)=대시보드!$C$2,$D843+ROW()/100000,""),"")</f>
        <v/>
      </c>
    </row>
    <row r="844" spans="1:11">
      <c r="A844" s="33"/>
      <c r="B844" s="29"/>
      <c r="C844" s="29"/>
      <c r="D844" s="30"/>
      <c r="E844" s="30"/>
      <c r="F844" s="35"/>
      <c r="G844" s="35"/>
      <c r="H844" s="35" t="str">
        <f t="shared" si="13"/>
        <v/>
      </c>
      <c r="I844" s="29"/>
      <c r="K844" s="36" t="str">
        <f>IF(ISNUMBER($D844),IF(YEAR($D844)=대시보드!$C$2,$D844+ROW()/100000,""),"")</f>
        <v/>
      </c>
    </row>
    <row r="845" spans="1:11">
      <c r="A845" s="33"/>
      <c r="B845" s="29"/>
      <c r="C845" s="29"/>
      <c r="D845" s="30"/>
      <c r="E845" s="30"/>
      <c r="F845" s="35"/>
      <c r="G845" s="35"/>
      <c r="H845" s="35" t="str">
        <f t="shared" si="13"/>
        <v/>
      </c>
      <c r="I845" s="29"/>
      <c r="K845" s="36" t="str">
        <f>IF(ISNUMBER($D845),IF(YEAR($D845)=대시보드!$C$2,$D845+ROW()/100000,""),"")</f>
        <v/>
      </c>
    </row>
    <row r="846" spans="1:11">
      <c r="A846" s="33"/>
      <c r="B846" s="29"/>
      <c r="C846" s="29"/>
      <c r="D846" s="30"/>
      <c r="E846" s="30"/>
      <c r="F846" s="35"/>
      <c r="G846" s="35"/>
      <c r="H846" s="35" t="str">
        <f t="shared" si="13"/>
        <v/>
      </c>
      <c r="I846" s="29"/>
      <c r="K846" s="36" t="str">
        <f>IF(ISNUMBER($D846),IF(YEAR($D846)=대시보드!$C$2,$D846+ROW()/100000,""),"")</f>
        <v/>
      </c>
    </row>
    <row r="847" spans="1:11">
      <c r="A847" s="33"/>
      <c r="B847" s="29"/>
      <c r="C847" s="29"/>
      <c r="D847" s="30"/>
      <c r="E847" s="30"/>
      <c r="F847" s="35"/>
      <c r="G847" s="35"/>
      <c r="H847" s="35" t="str">
        <f t="shared" si="13"/>
        <v/>
      </c>
      <c r="I847" s="29"/>
      <c r="K847" s="36" t="str">
        <f>IF(ISNUMBER($D847),IF(YEAR($D847)=대시보드!$C$2,$D847+ROW()/100000,""),"")</f>
        <v/>
      </c>
    </row>
    <row r="848" spans="1:11">
      <c r="A848" s="33"/>
      <c r="B848" s="29"/>
      <c r="C848" s="29"/>
      <c r="D848" s="30"/>
      <c r="E848" s="30"/>
      <c r="F848" s="35"/>
      <c r="G848" s="35"/>
      <c r="H848" s="35" t="str">
        <f t="shared" si="13"/>
        <v/>
      </c>
      <c r="I848" s="29"/>
      <c r="K848" s="36" t="str">
        <f>IF(ISNUMBER($D848),IF(YEAR($D848)=대시보드!$C$2,$D848+ROW()/100000,""),"")</f>
        <v/>
      </c>
    </row>
    <row r="849" spans="1:11">
      <c r="A849" s="33"/>
      <c r="B849" s="29"/>
      <c r="C849" s="29"/>
      <c r="D849" s="30"/>
      <c r="E849" s="30"/>
      <c r="F849" s="35"/>
      <c r="G849" s="35"/>
      <c r="H849" s="35" t="str">
        <f t="shared" si="13"/>
        <v/>
      </c>
      <c r="I849" s="29"/>
      <c r="K849" s="36" t="str">
        <f>IF(ISNUMBER($D849),IF(YEAR($D849)=대시보드!$C$2,$D849+ROW()/100000,""),"")</f>
        <v/>
      </c>
    </row>
    <row r="850" spans="1:11">
      <c r="A850" s="33"/>
      <c r="B850" s="29"/>
      <c r="C850" s="29"/>
      <c r="D850" s="30"/>
      <c r="E850" s="30"/>
      <c r="F850" s="35"/>
      <c r="G850" s="35"/>
      <c r="H850" s="35" t="str">
        <f t="shared" si="13"/>
        <v/>
      </c>
      <c r="I850" s="29"/>
      <c r="K850" s="36" t="str">
        <f>IF(ISNUMBER($D850),IF(YEAR($D850)=대시보드!$C$2,$D850+ROW()/100000,""),"")</f>
        <v/>
      </c>
    </row>
    <row r="851" spans="1:11">
      <c r="A851" s="33"/>
      <c r="B851" s="29"/>
      <c r="C851" s="29"/>
      <c r="D851" s="30"/>
      <c r="E851" s="30"/>
      <c r="F851" s="35"/>
      <c r="G851" s="35"/>
      <c r="H851" s="35" t="str">
        <f t="shared" si="13"/>
        <v/>
      </c>
      <c r="I851" s="29"/>
      <c r="K851" s="36" t="str">
        <f>IF(ISNUMBER($D851),IF(YEAR($D851)=대시보드!$C$2,$D851+ROW()/100000,""),"")</f>
        <v/>
      </c>
    </row>
    <row r="852" spans="1:11">
      <c r="A852" s="33"/>
      <c r="B852" s="29"/>
      <c r="C852" s="29"/>
      <c r="D852" s="30"/>
      <c r="E852" s="30"/>
      <c r="F852" s="35"/>
      <c r="G852" s="35"/>
      <c r="H852" s="35" t="str">
        <f t="shared" si="13"/>
        <v/>
      </c>
      <c r="I852" s="29"/>
      <c r="K852" s="36" t="str">
        <f>IF(ISNUMBER($D852),IF(YEAR($D852)=대시보드!$C$2,$D852+ROW()/100000,""),"")</f>
        <v/>
      </c>
    </row>
    <row r="853" spans="1:11">
      <c r="A853" s="33"/>
      <c r="B853" s="29"/>
      <c r="C853" s="29"/>
      <c r="D853" s="30"/>
      <c r="E853" s="30"/>
      <c r="F853" s="35"/>
      <c r="G853" s="35"/>
      <c r="H853" s="35" t="str">
        <f t="shared" si="13"/>
        <v/>
      </c>
      <c r="I853" s="29"/>
      <c r="K853" s="36" t="str">
        <f>IF(ISNUMBER($D853),IF(YEAR($D853)=대시보드!$C$2,$D853+ROW()/100000,""),"")</f>
        <v/>
      </c>
    </row>
    <row r="854" spans="1:11">
      <c r="A854" s="33"/>
      <c r="B854" s="29"/>
      <c r="C854" s="29"/>
      <c r="D854" s="30"/>
      <c r="E854" s="30"/>
      <c r="F854" s="35"/>
      <c r="G854" s="35"/>
      <c r="H854" s="35" t="str">
        <f t="shared" si="13"/>
        <v/>
      </c>
      <c r="I854" s="29"/>
      <c r="K854" s="36" t="str">
        <f>IF(ISNUMBER($D854),IF(YEAR($D854)=대시보드!$C$2,$D854+ROW()/100000,""),"")</f>
        <v/>
      </c>
    </row>
    <row r="855" spans="1:11">
      <c r="A855" s="33"/>
      <c r="B855" s="29"/>
      <c r="C855" s="29"/>
      <c r="D855" s="30"/>
      <c r="E855" s="30"/>
      <c r="F855" s="35"/>
      <c r="G855" s="35"/>
      <c r="H855" s="35" t="str">
        <f t="shared" si="13"/>
        <v/>
      </c>
      <c r="I855" s="29"/>
      <c r="K855" s="36" t="str">
        <f>IF(ISNUMBER($D855),IF(YEAR($D855)=대시보드!$C$2,$D855+ROW()/100000,""),"")</f>
        <v/>
      </c>
    </row>
    <row r="856" spans="1:11">
      <c r="A856" s="33"/>
      <c r="B856" s="29"/>
      <c r="C856" s="29"/>
      <c r="D856" s="30"/>
      <c r="E856" s="30"/>
      <c r="F856" s="35"/>
      <c r="G856" s="35"/>
      <c r="H856" s="35" t="str">
        <f t="shared" si="13"/>
        <v/>
      </c>
      <c r="I856" s="29"/>
      <c r="K856" s="36" t="str">
        <f>IF(ISNUMBER($D856),IF(YEAR($D856)=대시보드!$C$2,$D856+ROW()/100000,""),"")</f>
        <v/>
      </c>
    </row>
    <row r="857" spans="1:11">
      <c r="A857" s="33"/>
      <c r="B857" s="29"/>
      <c r="C857" s="29"/>
      <c r="D857" s="30"/>
      <c r="E857" s="30"/>
      <c r="F857" s="35"/>
      <c r="G857" s="35"/>
      <c r="H857" s="35" t="str">
        <f t="shared" si="13"/>
        <v/>
      </c>
      <c r="I857" s="29"/>
      <c r="K857" s="36" t="str">
        <f>IF(ISNUMBER($D857),IF(YEAR($D857)=대시보드!$C$2,$D857+ROW()/100000,""),"")</f>
        <v/>
      </c>
    </row>
    <row r="858" spans="1:11">
      <c r="A858" s="33"/>
      <c r="B858" s="29"/>
      <c r="C858" s="29"/>
      <c r="D858" s="30"/>
      <c r="E858" s="30"/>
      <c r="F858" s="35"/>
      <c r="G858" s="35"/>
      <c r="H858" s="35" t="str">
        <f t="shared" si="13"/>
        <v/>
      </c>
      <c r="I858" s="29"/>
      <c r="K858" s="36" t="str">
        <f>IF(ISNUMBER($D858),IF(YEAR($D858)=대시보드!$C$2,$D858+ROW()/100000,""),"")</f>
        <v/>
      </c>
    </row>
    <row r="859" spans="1:11">
      <c r="A859" s="33"/>
      <c r="B859" s="29"/>
      <c r="C859" s="29"/>
      <c r="D859" s="30"/>
      <c r="E859" s="30"/>
      <c r="F859" s="35"/>
      <c r="G859" s="35"/>
      <c r="H859" s="35" t="str">
        <f t="shared" si="13"/>
        <v/>
      </c>
      <c r="I859" s="29"/>
      <c r="K859" s="36" t="str">
        <f>IF(ISNUMBER($D859),IF(YEAR($D859)=대시보드!$C$2,$D859+ROW()/100000,""),"")</f>
        <v/>
      </c>
    </row>
    <row r="860" spans="1:11">
      <c r="A860" s="33"/>
      <c r="B860" s="29"/>
      <c r="C860" s="29"/>
      <c r="D860" s="30"/>
      <c r="E860" s="30"/>
      <c r="F860" s="35"/>
      <c r="G860" s="35"/>
      <c r="H860" s="35" t="str">
        <f t="shared" si="13"/>
        <v/>
      </c>
      <c r="I860" s="29"/>
      <c r="K860" s="36" t="str">
        <f>IF(ISNUMBER($D860),IF(YEAR($D860)=대시보드!$C$2,$D860+ROW()/100000,""),"")</f>
        <v/>
      </c>
    </row>
    <row r="861" spans="1:11">
      <c r="A861" s="33"/>
      <c r="B861" s="29"/>
      <c r="C861" s="29"/>
      <c r="D861" s="30"/>
      <c r="E861" s="30"/>
      <c r="F861" s="35"/>
      <c r="G861" s="35"/>
      <c r="H861" s="35" t="str">
        <f t="shared" si="13"/>
        <v/>
      </c>
      <c r="I861" s="29"/>
      <c r="K861" s="36" t="str">
        <f>IF(ISNUMBER($D861),IF(YEAR($D861)=대시보드!$C$2,$D861+ROW()/100000,""),"")</f>
        <v/>
      </c>
    </row>
    <row r="862" spans="1:11">
      <c r="A862" s="33"/>
      <c r="B862" s="29"/>
      <c r="C862" s="29"/>
      <c r="D862" s="30"/>
      <c r="E862" s="30"/>
      <c r="F862" s="35"/>
      <c r="G862" s="35"/>
      <c r="H862" s="35" t="str">
        <f t="shared" si="13"/>
        <v/>
      </c>
      <c r="I862" s="29"/>
      <c r="K862" s="36" t="str">
        <f>IF(ISNUMBER($D862),IF(YEAR($D862)=대시보드!$C$2,$D862+ROW()/100000,""),"")</f>
        <v/>
      </c>
    </row>
    <row r="863" spans="1:11">
      <c r="A863" s="33"/>
      <c r="B863" s="29"/>
      <c r="C863" s="29"/>
      <c r="D863" s="30"/>
      <c r="E863" s="30"/>
      <c r="F863" s="35"/>
      <c r="G863" s="35"/>
      <c r="H863" s="35" t="str">
        <f t="shared" si="13"/>
        <v/>
      </c>
      <c r="I863" s="29"/>
      <c r="K863" s="36" t="str">
        <f>IF(ISNUMBER($D863),IF(YEAR($D863)=대시보드!$C$2,$D863+ROW()/100000,""),"")</f>
        <v/>
      </c>
    </row>
    <row r="864" spans="1:11">
      <c r="A864" s="33"/>
      <c r="B864" s="29"/>
      <c r="C864" s="29"/>
      <c r="D864" s="30"/>
      <c r="E864" s="30"/>
      <c r="F864" s="35"/>
      <c r="G864" s="35"/>
      <c r="H864" s="35" t="str">
        <f t="shared" si="13"/>
        <v/>
      </c>
      <c r="I864" s="29"/>
      <c r="K864" s="36" t="str">
        <f>IF(ISNUMBER($D864),IF(YEAR($D864)=대시보드!$C$2,$D864+ROW()/100000,""),"")</f>
        <v/>
      </c>
    </row>
    <row r="865" spans="1:11">
      <c r="A865" s="33"/>
      <c r="B865" s="29"/>
      <c r="C865" s="29"/>
      <c r="D865" s="30"/>
      <c r="E865" s="30"/>
      <c r="F865" s="35"/>
      <c r="G865" s="35"/>
      <c r="H865" s="35" t="str">
        <f t="shared" si="13"/>
        <v/>
      </c>
      <c r="I865" s="29"/>
      <c r="K865" s="36" t="str">
        <f>IF(ISNUMBER($D865),IF(YEAR($D865)=대시보드!$C$2,$D865+ROW()/100000,""),"")</f>
        <v/>
      </c>
    </row>
    <row r="866" spans="1:11">
      <c r="A866" s="33"/>
      <c r="B866" s="29"/>
      <c r="C866" s="29"/>
      <c r="D866" s="30"/>
      <c r="E866" s="30"/>
      <c r="F866" s="35"/>
      <c r="G866" s="35"/>
      <c r="H866" s="35" t="str">
        <f t="shared" si="13"/>
        <v/>
      </c>
      <c r="I866" s="29"/>
      <c r="K866" s="36" t="str">
        <f>IF(ISNUMBER($D866),IF(YEAR($D866)=대시보드!$C$2,$D866+ROW()/100000,""),"")</f>
        <v/>
      </c>
    </row>
    <row r="867" spans="1:11">
      <c r="A867" s="33"/>
      <c r="B867" s="29"/>
      <c r="C867" s="29"/>
      <c r="D867" s="30"/>
      <c r="E867" s="30"/>
      <c r="F867" s="35"/>
      <c r="G867" s="35"/>
      <c r="H867" s="35" t="str">
        <f t="shared" si="13"/>
        <v/>
      </c>
      <c r="I867" s="29"/>
      <c r="K867" s="36" t="str">
        <f>IF(ISNUMBER($D867),IF(YEAR($D867)=대시보드!$C$2,$D867+ROW()/100000,""),"")</f>
        <v/>
      </c>
    </row>
    <row r="868" spans="1:11">
      <c r="A868" s="33"/>
      <c r="B868" s="29"/>
      <c r="C868" s="29"/>
      <c r="D868" s="30"/>
      <c r="E868" s="30"/>
      <c r="F868" s="35"/>
      <c r="G868" s="35"/>
      <c r="H868" s="35" t="str">
        <f t="shared" si="13"/>
        <v/>
      </c>
      <c r="I868" s="29"/>
      <c r="K868" s="36" t="str">
        <f>IF(ISNUMBER($D868),IF(YEAR($D868)=대시보드!$C$2,$D868+ROW()/100000,""),"")</f>
        <v/>
      </c>
    </row>
    <row r="869" spans="1:11">
      <c r="A869" s="33"/>
      <c r="B869" s="29"/>
      <c r="C869" s="29"/>
      <c r="D869" s="30"/>
      <c r="E869" s="30"/>
      <c r="F869" s="35"/>
      <c r="G869" s="35"/>
      <c r="H869" s="35" t="str">
        <f t="shared" si="13"/>
        <v/>
      </c>
      <c r="I869" s="29"/>
      <c r="K869" s="36" t="str">
        <f>IF(ISNUMBER($D869),IF(YEAR($D869)=대시보드!$C$2,$D869+ROW()/100000,""),"")</f>
        <v/>
      </c>
    </row>
    <row r="870" spans="1:11">
      <c r="A870" s="33"/>
      <c r="B870" s="29"/>
      <c r="C870" s="29"/>
      <c r="D870" s="30"/>
      <c r="E870" s="30"/>
      <c r="F870" s="35"/>
      <c r="G870" s="35"/>
      <c r="H870" s="35" t="str">
        <f t="shared" si="13"/>
        <v/>
      </c>
      <c r="I870" s="29"/>
      <c r="K870" s="36" t="str">
        <f>IF(ISNUMBER($D870),IF(YEAR($D870)=대시보드!$C$2,$D870+ROW()/100000,""),"")</f>
        <v/>
      </c>
    </row>
    <row r="871" spans="1:11">
      <c r="A871" s="33"/>
      <c r="B871" s="29"/>
      <c r="C871" s="29"/>
      <c r="D871" s="30"/>
      <c r="E871" s="30"/>
      <c r="F871" s="35"/>
      <c r="G871" s="35"/>
      <c r="H871" s="35" t="str">
        <f t="shared" si="13"/>
        <v/>
      </c>
      <c r="I871" s="29"/>
      <c r="K871" s="36" t="str">
        <f>IF(ISNUMBER($D871),IF(YEAR($D871)=대시보드!$C$2,$D871+ROW()/100000,""),"")</f>
        <v/>
      </c>
    </row>
    <row r="872" spans="1:11">
      <c r="A872" s="33"/>
      <c r="B872" s="29"/>
      <c r="C872" s="29"/>
      <c r="D872" s="30"/>
      <c r="E872" s="30"/>
      <c r="F872" s="35"/>
      <c r="G872" s="35"/>
      <c r="H872" s="35" t="str">
        <f t="shared" si="13"/>
        <v/>
      </c>
      <c r="I872" s="29"/>
      <c r="K872" s="36" t="str">
        <f>IF(ISNUMBER($D872),IF(YEAR($D872)=대시보드!$C$2,$D872+ROW()/100000,""),"")</f>
        <v/>
      </c>
    </row>
    <row r="873" spans="1:11">
      <c r="A873" s="33"/>
      <c r="B873" s="29"/>
      <c r="C873" s="29"/>
      <c r="D873" s="30"/>
      <c r="E873" s="30"/>
      <c r="F873" s="35"/>
      <c r="G873" s="35"/>
      <c r="H873" s="35" t="str">
        <f t="shared" si="13"/>
        <v/>
      </c>
      <c r="I873" s="29"/>
      <c r="K873" s="36" t="str">
        <f>IF(ISNUMBER($D873),IF(YEAR($D873)=대시보드!$C$2,$D873+ROW()/100000,""),"")</f>
        <v/>
      </c>
    </row>
    <row r="874" spans="1:11">
      <c r="A874" s="33"/>
      <c r="B874" s="29"/>
      <c r="C874" s="29"/>
      <c r="D874" s="30"/>
      <c r="E874" s="30"/>
      <c r="F874" s="35"/>
      <c r="G874" s="35"/>
      <c r="H874" s="35" t="str">
        <f t="shared" si="13"/>
        <v/>
      </c>
      <c r="I874" s="29"/>
      <c r="K874" s="36" t="str">
        <f>IF(ISNUMBER($D874),IF(YEAR($D874)=대시보드!$C$2,$D874+ROW()/100000,""),"")</f>
        <v/>
      </c>
    </row>
    <row r="875" spans="1:11">
      <c r="A875" s="33"/>
      <c r="B875" s="29"/>
      <c r="C875" s="29"/>
      <c r="D875" s="30"/>
      <c r="E875" s="30"/>
      <c r="F875" s="35"/>
      <c r="G875" s="35"/>
      <c r="H875" s="35" t="str">
        <f t="shared" si="13"/>
        <v/>
      </c>
      <c r="I875" s="29"/>
      <c r="K875" s="36" t="str">
        <f>IF(ISNUMBER($D875),IF(YEAR($D875)=대시보드!$C$2,$D875+ROW()/100000,""),"")</f>
        <v/>
      </c>
    </row>
    <row r="876" spans="1:11">
      <c r="A876" s="33"/>
      <c r="B876" s="29"/>
      <c r="C876" s="29"/>
      <c r="D876" s="30"/>
      <c r="E876" s="30"/>
      <c r="F876" s="35"/>
      <c r="G876" s="35"/>
      <c r="H876" s="35" t="str">
        <f t="shared" si="13"/>
        <v/>
      </c>
      <c r="I876" s="29"/>
      <c r="K876" s="36" t="str">
        <f>IF(ISNUMBER($D876),IF(YEAR($D876)=대시보드!$C$2,$D876+ROW()/100000,""),"")</f>
        <v/>
      </c>
    </row>
    <row r="877" spans="1:11">
      <c r="A877" s="33"/>
      <c r="B877" s="29"/>
      <c r="C877" s="29"/>
      <c r="D877" s="30"/>
      <c r="E877" s="30"/>
      <c r="F877" s="35"/>
      <c r="G877" s="35"/>
      <c r="H877" s="35" t="str">
        <f t="shared" si="13"/>
        <v/>
      </c>
      <c r="I877" s="29"/>
      <c r="K877" s="36" t="str">
        <f>IF(ISNUMBER($D877),IF(YEAR($D877)=대시보드!$C$2,$D877+ROW()/100000,""),"")</f>
        <v/>
      </c>
    </row>
    <row r="878" spans="1:11">
      <c r="A878" s="33"/>
      <c r="B878" s="29"/>
      <c r="C878" s="29"/>
      <c r="D878" s="30"/>
      <c r="E878" s="30"/>
      <c r="F878" s="35"/>
      <c r="G878" s="35"/>
      <c r="H878" s="35" t="str">
        <f t="shared" si="13"/>
        <v/>
      </c>
      <c r="I878" s="29"/>
      <c r="K878" s="36" t="str">
        <f>IF(ISNUMBER($D878),IF(YEAR($D878)=대시보드!$C$2,$D878+ROW()/100000,""),"")</f>
        <v/>
      </c>
    </row>
    <row r="879" spans="1:11">
      <c r="A879" s="33"/>
      <c r="B879" s="29"/>
      <c r="C879" s="29"/>
      <c r="D879" s="30"/>
      <c r="E879" s="30"/>
      <c r="F879" s="35"/>
      <c r="G879" s="35"/>
      <c r="H879" s="35" t="str">
        <f t="shared" si="13"/>
        <v/>
      </c>
      <c r="I879" s="29"/>
      <c r="K879" s="36" t="str">
        <f>IF(ISNUMBER($D879),IF(YEAR($D879)=대시보드!$C$2,$D879+ROW()/100000,""),"")</f>
        <v/>
      </c>
    </row>
    <row r="880" spans="1:11">
      <c r="A880" s="33"/>
      <c r="B880" s="29"/>
      <c r="C880" s="29"/>
      <c r="D880" s="30"/>
      <c r="E880" s="30"/>
      <c r="F880" s="35"/>
      <c r="G880" s="35"/>
      <c r="H880" s="35" t="str">
        <f t="shared" si="13"/>
        <v/>
      </c>
      <c r="I880" s="29"/>
      <c r="K880" s="36" t="str">
        <f>IF(ISNUMBER($D880),IF(YEAR($D880)=대시보드!$C$2,$D880+ROW()/100000,""),"")</f>
        <v/>
      </c>
    </row>
    <row r="881" spans="1:11">
      <c r="A881" s="33"/>
      <c r="B881" s="29"/>
      <c r="C881" s="29"/>
      <c r="D881" s="30"/>
      <c r="E881" s="30"/>
      <c r="F881" s="35"/>
      <c r="G881" s="35"/>
      <c r="H881" s="35" t="str">
        <f t="shared" si="13"/>
        <v/>
      </c>
      <c r="I881" s="29"/>
      <c r="K881" s="36" t="str">
        <f>IF(ISNUMBER($D881),IF(YEAR($D881)=대시보드!$C$2,$D881+ROW()/100000,""),"")</f>
        <v/>
      </c>
    </row>
    <row r="882" spans="1:11">
      <c r="A882" s="33"/>
      <c r="B882" s="29"/>
      <c r="C882" s="29"/>
      <c r="D882" s="30"/>
      <c r="E882" s="30"/>
      <c r="F882" s="35"/>
      <c r="G882" s="35"/>
      <c r="H882" s="35" t="str">
        <f t="shared" si="13"/>
        <v/>
      </c>
      <c r="I882" s="29"/>
      <c r="K882" s="36" t="str">
        <f>IF(ISNUMBER($D882),IF(YEAR($D882)=대시보드!$C$2,$D882+ROW()/100000,""),"")</f>
        <v/>
      </c>
    </row>
    <row r="883" spans="1:11">
      <c r="A883" s="33"/>
      <c r="B883" s="29"/>
      <c r="C883" s="29"/>
      <c r="D883" s="30"/>
      <c r="E883" s="30"/>
      <c r="F883" s="35"/>
      <c r="G883" s="35"/>
      <c r="H883" s="35" t="str">
        <f t="shared" si="13"/>
        <v/>
      </c>
      <c r="I883" s="29"/>
      <c r="K883" s="36" t="str">
        <f>IF(ISNUMBER($D883),IF(YEAR($D883)=대시보드!$C$2,$D883+ROW()/100000,""),"")</f>
        <v/>
      </c>
    </row>
    <row r="884" spans="1:11">
      <c r="A884" s="33"/>
      <c r="B884" s="29"/>
      <c r="C884" s="29"/>
      <c r="D884" s="30"/>
      <c r="E884" s="30"/>
      <c r="F884" s="35"/>
      <c r="G884" s="35"/>
      <c r="H884" s="35" t="str">
        <f t="shared" si="13"/>
        <v/>
      </c>
      <c r="I884" s="29"/>
      <c r="K884" s="36" t="str">
        <f>IF(ISNUMBER($D884),IF(YEAR($D884)=대시보드!$C$2,$D884+ROW()/100000,""),"")</f>
        <v/>
      </c>
    </row>
    <row r="885" spans="1:11">
      <c r="A885" s="33"/>
      <c r="B885" s="29"/>
      <c r="C885" s="29"/>
      <c r="D885" s="30"/>
      <c r="E885" s="30"/>
      <c r="F885" s="35"/>
      <c r="G885" s="35"/>
      <c r="H885" s="35" t="str">
        <f t="shared" si="13"/>
        <v/>
      </c>
      <c r="I885" s="29"/>
      <c r="K885" s="36" t="str">
        <f>IF(ISNUMBER($D885),IF(YEAR($D885)=대시보드!$C$2,$D885+ROW()/100000,""),"")</f>
        <v/>
      </c>
    </row>
    <row r="886" spans="1:11">
      <c r="A886" s="33"/>
      <c r="B886" s="29"/>
      <c r="C886" s="29"/>
      <c r="D886" s="30"/>
      <c r="E886" s="30"/>
      <c r="F886" s="35"/>
      <c r="G886" s="35"/>
      <c r="H886" s="35" t="str">
        <f t="shared" si="13"/>
        <v/>
      </c>
      <c r="I886" s="29"/>
      <c r="K886" s="36" t="str">
        <f>IF(ISNUMBER($D886),IF(YEAR($D886)=대시보드!$C$2,$D886+ROW()/100000,""),"")</f>
        <v/>
      </c>
    </row>
    <row r="887" spans="1:11">
      <c r="A887" s="33"/>
      <c r="B887" s="29"/>
      <c r="C887" s="29"/>
      <c r="D887" s="30"/>
      <c r="E887" s="30"/>
      <c r="F887" s="35"/>
      <c r="G887" s="35"/>
      <c r="H887" s="35" t="str">
        <f t="shared" si="13"/>
        <v/>
      </c>
      <c r="I887" s="29"/>
      <c r="K887" s="36" t="str">
        <f>IF(ISNUMBER($D887),IF(YEAR($D887)=대시보드!$C$2,$D887+ROW()/100000,""),"")</f>
        <v/>
      </c>
    </row>
    <row r="888" spans="1:11">
      <c r="A888" s="33"/>
      <c r="B888" s="29"/>
      <c r="C888" s="29"/>
      <c r="D888" s="30"/>
      <c r="E888" s="30"/>
      <c r="F888" s="35"/>
      <c r="G888" s="35"/>
      <c r="H888" s="35" t="str">
        <f t="shared" si="13"/>
        <v/>
      </c>
      <c r="I888" s="29"/>
      <c r="K888" s="36" t="str">
        <f>IF(ISNUMBER($D888),IF(YEAR($D888)=대시보드!$C$2,$D888+ROW()/100000,""),"")</f>
        <v/>
      </c>
    </row>
    <row r="889" spans="1:11">
      <c r="A889" s="33"/>
      <c r="B889" s="29"/>
      <c r="C889" s="29"/>
      <c r="D889" s="30"/>
      <c r="E889" s="30"/>
      <c r="F889" s="35"/>
      <c r="G889" s="35"/>
      <c r="H889" s="35" t="str">
        <f t="shared" si="13"/>
        <v/>
      </c>
      <c r="I889" s="29"/>
      <c r="K889" s="36" t="str">
        <f>IF(ISNUMBER($D889),IF(YEAR($D889)=대시보드!$C$2,$D889+ROW()/100000,""),"")</f>
        <v/>
      </c>
    </row>
    <row r="890" spans="1:11">
      <c r="A890" s="33"/>
      <c r="B890" s="29"/>
      <c r="C890" s="29"/>
      <c r="D890" s="30"/>
      <c r="E890" s="30"/>
      <c r="F890" s="35"/>
      <c r="G890" s="35"/>
      <c r="H890" s="35" t="str">
        <f t="shared" si="13"/>
        <v/>
      </c>
      <c r="I890" s="29"/>
      <c r="K890" s="36" t="str">
        <f>IF(ISNUMBER($D890),IF(YEAR($D890)=대시보드!$C$2,$D890+ROW()/100000,""),"")</f>
        <v/>
      </c>
    </row>
    <row r="891" spans="1:11">
      <c r="A891" s="33"/>
      <c r="B891" s="29"/>
      <c r="C891" s="29"/>
      <c r="D891" s="30"/>
      <c r="E891" s="30"/>
      <c r="F891" s="35"/>
      <c r="G891" s="35"/>
      <c r="H891" s="35" t="str">
        <f t="shared" si="13"/>
        <v/>
      </c>
      <c r="I891" s="29"/>
      <c r="K891" s="36" t="str">
        <f>IF(ISNUMBER($D891),IF(YEAR($D891)=대시보드!$C$2,$D891+ROW()/100000,""),"")</f>
        <v/>
      </c>
    </row>
    <row r="892" spans="1:11">
      <c r="A892" s="33"/>
      <c r="B892" s="29"/>
      <c r="C892" s="29"/>
      <c r="D892" s="30"/>
      <c r="E892" s="30"/>
      <c r="F892" s="35"/>
      <c r="G892" s="35"/>
      <c r="H892" s="35" t="str">
        <f t="shared" si="13"/>
        <v/>
      </c>
      <c r="I892" s="29"/>
      <c r="K892" s="36" t="str">
        <f>IF(ISNUMBER($D892),IF(YEAR($D892)=대시보드!$C$2,$D892+ROW()/100000,""),"")</f>
        <v/>
      </c>
    </row>
    <row r="893" spans="1:11">
      <c r="A893" s="33"/>
      <c r="B893" s="29"/>
      <c r="C893" s="29"/>
      <c r="D893" s="30"/>
      <c r="E893" s="30"/>
      <c r="F893" s="35"/>
      <c r="G893" s="35"/>
      <c r="H893" s="35" t="str">
        <f t="shared" si="13"/>
        <v/>
      </c>
      <c r="I893" s="29"/>
      <c r="K893" s="36" t="str">
        <f>IF(ISNUMBER($D893),IF(YEAR($D893)=대시보드!$C$2,$D893+ROW()/100000,""),"")</f>
        <v/>
      </c>
    </row>
    <row r="894" spans="1:11">
      <c r="A894" s="33"/>
      <c r="B894" s="29"/>
      <c r="C894" s="29"/>
      <c r="D894" s="30"/>
      <c r="E894" s="30"/>
      <c r="F894" s="35"/>
      <c r="G894" s="35"/>
      <c r="H894" s="35" t="str">
        <f t="shared" si="13"/>
        <v/>
      </c>
      <c r="I894" s="29"/>
      <c r="K894" s="36" t="str">
        <f>IF(ISNUMBER($D894),IF(YEAR($D894)=대시보드!$C$2,$D894+ROW()/100000,""),"")</f>
        <v/>
      </c>
    </row>
    <row r="895" spans="1:11">
      <c r="A895" s="33"/>
      <c r="B895" s="29"/>
      <c r="C895" s="29"/>
      <c r="D895" s="30"/>
      <c r="E895" s="30"/>
      <c r="F895" s="35"/>
      <c r="G895" s="35"/>
      <c r="H895" s="35" t="str">
        <f t="shared" si="13"/>
        <v/>
      </c>
      <c r="I895" s="29"/>
      <c r="K895" s="36" t="str">
        <f>IF(ISNUMBER($D895),IF(YEAR($D895)=대시보드!$C$2,$D895+ROW()/100000,""),"")</f>
        <v/>
      </c>
    </row>
    <row r="896" spans="1:11">
      <c r="A896" s="33"/>
      <c r="B896" s="29"/>
      <c r="C896" s="29"/>
      <c r="D896" s="30"/>
      <c r="E896" s="30"/>
      <c r="F896" s="35"/>
      <c r="G896" s="35"/>
      <c r="H896" s="35" t="str">
        <f t="shared" si="13"/>
        <v/>
      </c>
      <c r="I896" s="29"/>
      <c r="K896" s="36" t="str">
        <f>IF(ISNUMBER($D896),IF(YEAR($D896)=대시보드!$C$2,$D896+ROW()/100000,""),"")</f>
        <v/>
      </c>
    </row>
    <row r="897" spans="1:11">
      <c r="A897" s="33"/>
      <c r="B897" s="29"/>
      <c r="C897" s="29"/>
      <c r="D897" s="30"/>
      <c r="E897" s="30"/>
      <c r="F897" s="35"/>
      <c r="G897" s="35"/>
      <c r="H897" s="35" t="str">
        <f t="shared" si="13"/>
        <v/>
      </c>
      <c r="I897" s="29"/>
      <c r="K897" s="36" t="str">
        <f>IF(ISNUMBER($D897),IF(YEAR($D897)=대시보드!$C$2,$D897+ROW()/100000,""),"")</f>
        <v/>
      </c>
    </row>
    <row r="898" spans="1:11">
      <c r="A898" s="33"/>
      <c r="B898" s="29"/>
      <c r="C898" s="29"/>
      <c r="D898" s="30"/>
      <c r="E898" s="30"/>
      <c r="F898" s="35"/>
      <c r="G898" s="35"/>
      <c r="H898" s="35" t="str">
        <f t="shared" si="13"/>
        <v/>
      </c>
      <c r="I898" s="29"/>
      <c r="K898" s="36" t="str">
        <f>IF(ISNUMBER($D898),IF(YEAR($D898)=대시보드!$C$2,$D898+ROW()/100000,""),"")</f>
        <v/>
      </c>
    </row>
    <row r="899" spans="1:11">
      <c r="A899" s="33"/>
      <c r="B899" s="29"/>
      <c r="C899" s="29"/>
      <c r="D899" s="30"/>
      <c r="E899" s="30"/>
      <c r="F899" s="35"/>
      <c r="G899" s="35"/>
      <c r="H899" s="35" t="str">
        <f t="shared" si="13"/>
        <v/>
      </c>
      <c r="I899" s="29"/>
      <c r="K899" s="36" t="str">
        <f>IF(ISNUMBER($D899),IF(YEAR($D899)=대시보드!$C$2,$D899+ROW()/100000,""),"")</f>
        <v/>
      </c>
    </row>
    <row r="900" spans="1:11">
      <c r="A900" s="33"/>
      <c r="B900" s="29"/>
      <c r="C900" s="29"/>
      <c r="D900" s="30"/>
      <c r="E900" s="30"/>
      <c r="F900" s="35"/>
      <c r="G900" s="35"/>
      <c r="H900" s="35" t="str">
        <f t="shared" ref="H900:H963" si="14">IF(F900="","",F900-G900)</f>
        <v/>
      </c>
      <c r="I900" s="29"/>
      <c r="K900" s="36" t="str">
        <f>IF(ISNUMBER($D900),IF(YEAR($D900)=대시보드!$C$2,$D900+ROW()/100000,""),"")</f>
        <v/>
      </c>
    </row>
    <row r="901" spans="1:11">
      <c r="A901" s="33"/>
      <c r="B901" s="29"/>
      <c r="C901" s="29"/>
      <c r="D901" s="30"/>
      <c r="E901" s="30"/>
      <c r="F901" s="35"/>
      <c r="G901" s="35"/>
      <c r="H901" s="35" t="str">
        <f t="shared" si="14"/>
        <v/>
      </c>
      <c r="I901" s="29"/>
      <c r="K901" s="36" t="str">
        <f>IF(ISNUMBER($D901),IF(YEAR($D901)=대시보드!$C$2,$D901+ROW()/100000,""),"")</f>
        <v/>
      </c>
    </row>
    <row r="902" spans="1:11">
      <c r="A902" s="33"/>
      <c r="B902" s="29"/>
      <c r="C902" s="29"/>
      <c r="D902" s="30"/>
      <c r="E902" s="30"/>
      <c r="F902" s="35"/>
      <c r="G902" s="35"/>
      <c r="H902" s="35" t="str">
        <f t="shared" si="14"/>
        <v/>
      </c>
      <c r="I902" s="29"/>
      <c r="K902" s="36" t="str">
        <f>IF(ISNUMBER($D902),IF(YEAR($D902)=대시보드!$C$2,$D902+ROW()/100000,""),"")</f>
        <v/>
      </c>
    </row>
    <row r="903" spans="1:11">
      <c r="A903" s="33"/>
      <c r="B903" s="29"/>
      <c r="C903" s="29"/>
      <c r="D903" s="30"/>
      <c r="E903" s="30"/>
      <c r="F903" s="35"/>
      <c r="G903" s="35"/>
      <c r="H903" s="35" t="str">
        <f t="shared" si="14"/>
        <v/>
      </c>
      <c r="I903" s="29"/>
      <c r="K903" s="36" t="str">
        <f>IF(ISNUMBER($D903),IF(YEAR($D903)=대시보드!$C$2,$D903+ROW()/100000,""),"")</f>
        <v/>
      </c>
    </row>
    <row r="904" spans="1:11">
      <c r="A904" s="33"/>
      <c r="B904" s="29"/>
      <c r="C904" s="29"/>
      <c r="D904" s="30"/>
      <c r="E904" s="30"/>
      <c r="F904" s="35"/>
      <c r="G904" s="35"/>
      <c r="H904" s="35" t="str">
        <f t="shared" si="14"/>
        <v/>
      </c>
      <c r="I904" s="29"/>
      <c r="K904" s="36" t="str">
        <f>IF(ISNUMBER($D904),IF(YEAR($D904)=대시보드!$C$2,$D904+ROW()/100000,""),"")</f>
        <v/>
      </c>
    </row>
    <row r="905" spans="1:11">
      <c r="A905" s="33"/>
      <c r="B905" s="29"/>
      <c r="C905" s="29"/>
      <c r="D905" s="30"/>
      <c r="E905" s="30"/>
      <c r="F905" s="35"/>
      <c r="G905" s="35"/>
      <c r="H905" s="35" t="str">
        <f t="shared" si="14"/>
        <v/>
      </c>
      <c r="I905" s="29"/>
      <c r="K905" s="36" t="str">
        <f>IF(ISNUMBER($D905),IF(YEAR($D905)=대시보드!$C$2,$D905+ROW()/100000,""),"")</f>
        <v/>
      </c>
    </row>
    <row r="906" spans="1:11">
      <c r="A906" s="33"/>
      <c r="B906" s="29"/>
      <c r="C906" s="29"/>
      <c r="D906" s="30"/>
      <c r="E906" s="30"/>
      <c r="F906" s="35"/>
      <c r="G906" s="35"/>
      <c r="H906" s="35" t="str">
        <f t="shared" si="14"/>
        <v/>
      </c>
      <c r="I906" s="29"/>
      <c r="K906" s="36" t="str">
        <f>IF(ISNUMBER($D906),IF(YEAR($D906)=대시보드!$C$2,$D906+ROW()/100000,""),"")</f>
        <v/>
      </c>
    </row>
    <row r="907" spans="1:11">
      <c r="A907" s="33"/>
      <c r="B907" s="29"/>
      <c r="C907" s="29"/>
      <c r="D907" s="30"/>
      <c r="E907" s="30"/>
      <c r="F907" s="35"/>
      <c r="G907" s="35"/>
      <c r="H907" s="35" t="str">
        <f t="shared" si="14"/>
        <v/>
      </c>
      <c r="I907" s="29"/>
      <c r="K907" s="36" t="str">
        <f>IF(ISNUMBER($D907),IF(YEAR($D907)=대시보드!$C$2,$D907+ROW()/100000,""),"")</f>
        <v/>
      </c>
    </row>
    <row r="908" spans="1:11">
      <c r="A908" s="33"/>
      <c r="B908" s="29"/>
      <c r="C908" s="29"/>
      <c r="D908" s="30"/>
      <c r="E908" s="30"/>
      <c r="F908" s="35"/>
      <c r="G908" s="35"/>
      <c r="H908" s="35" t="str">
        <f t="shared" si="14"/>
        <v/>
      </c>
      <c r="I908" s="29"/>
      <c r="K908" s="36" t="str">
        <f>IF(ISNUMBER($D908),IF(YEAR($D908)=대시보드!$C$2,$D908+ROW()/100000,""),"")</f>
        <v/>
      </c>
    </row>
    <row r="909" spans="1:11">
      <c r="A909" s="33"/>
      <c r="B909" s="29"/>
      <c r="C909" s="29"/>
      <c r="D909" s="30"/>
      <c r="E909" s="30"/>
      <c r="F909" s="35"/>
      <c r="G909" s="35"/>
      <c r="H909" s="35" t="str">
        <f t="shared" si="14"/>
        <v/>
      </c>
      <c r="I909" s="29"/>
      <c r="K909" s="36" t="str">
        <f>IF(ISNUMBER($D909),IF(YEAR($D909)=대시보드!$C$2,$D909+ROW()/100000,""),"")</f>
        <v/>
      </c>
    </row>
    <row r="910" spans="1:11">
      <c r="A910" s="33"/>
      <c r="B910" s="29"/>
      <c r="C910" s="29"/>
      <c r="D910" s="30"/>
      <c r="E910" s="30"/>
      <c r="F910" s="35"/>
      <c r="G910" s="35"/>
      <c r="H910" s="35" t="str">
        <f t="shared" si="14"/>
        <v/>
      </c>
      <c r="I910" s="29"/>
      <c r="K910" s="36" t="str">
        <f>IF(ISNUMBER($D910),IF(YEAR($D910)=대시보드!$C$2,$D910+ROW()/100000,""),"")</f>
        <v/>
      </c>
    </row>
    <row r="911" spans="1:11">
      <c r="A911" s="33"/>
      <c r="B911" s="29"/>
      <c r="C911" s="29"/>
      <c r="D911" s="30"/>
      <c r="E911" s="30"/>
      <c r="F911" s="35"/>
      <c r="G911" s="35"/>
      <c r="H911" s="35" t="str">
        <f t="shared" si="14"/>
        <v/>
      </c>
      <c r="I911" s="29"/>
      <c r="K911" s="36" t="str">
        <f>IF(ISNUMBER($D911),IF(YEAR($D911)=대시보드!$C$2,$D911+ROW()/100000,""),"")</f>
        <v/>
      </c>
    </row>
    <row r="912" spans="1:11">
      <c r="A912" s="33"/>
      <c r="B912" s="29"/>
      <c r="C912" s="29"/>
      <c r="D912" s="30"/>
      <c r="E912" s="30"/>
      <c r="F912" s="35"/>
      <c r="G912" s="35"/>
      <c r="H912" s="35" t="str">
        <f t="shared" si="14"/>
        <v/>
      </c>
      <c r="I912" s="29"/>
      <c r="K912" s="36" t="str">
        <f>IF(ISNUMBER($D912),IF(YEAR($D912)=대시보드!$C$2,$D912+ROW()/100000,""),"")</f>
        <v/>
      </c>
    </row>
    <row r="913" spans="1:11">
      <c r="A913" s="33"/>
      <c r="B913" s="29"/>
      <c r="C913" s="29"/>
      <c r="D913" s="30"/>
      <c r="E913" s="30"/>
      <c r="F913" s="35"/>
      <c r="G913" s="35"/>
      <c r="H913" s="35" t="str">
        <f t="shared" si="14"/>
        <v/>
      </c>
      <c r="I913" s="29"/>
      <c r="K913" s="36" t="str">
        <f>IF(ISNUMBER($D913),IF(YEAR($D913)=대시보드!$C$2,$D913+ROW()/100000,""),"")</f>
        <v/>
      </c>
    </row>
    <row r="914" spans="1:11">
      <c r="A914" s="33"/>
      <c r="B914" s="29"/>
      <c r="C914" s="29"/>
      <c r="D914" s="30"/>
      <c r="E914" s="30"/>
      <c r="F914" s="35"/>
      <c r="G914" s="35"/>
      <c r="H914" s="35" t="str">
        <f t="shared" si="14"/>
        <v/>
      </c>
      <c r="I914" s="29"/>
      <c r="K914" s="36" t="str">
        <f>IF(ISNUMBER($D914),IF(YEAR($D914)=대시보드!$C$2,$D914+ROW()/100000,""),"")</f>
        <v/>
      </c>
    </row>
    <row r="915" spans="1:11">
      <c r="A915" s="33"/>
      <c r="B915" s="29"/>
      <c r="C915" s="29"/>
      <c r="D915" s="30"/>
      <c r="E915" s="30"/>
      <c r="F915" s="35"/>
      <c r="G915" s="35"/>
      <c r="H915" s="35" t="str">
        <f t="shared" si="14"/>
        <v/>
      </c>
      <c r="I915" s="29"/>
      <c r="K915" s="36" t="str">
        <f>IF(ISNUMBER($D915),IF(YEAR($D915)=대시보드!$C$2,$D915+ROW()/100000,""),"")</f>
        <v/>
      </c>
    </row>
    <row r="916" spans="1:11">
      <c r="A916" s="33"/>
      <c r="B916" s="29"/>
      <c r="C916" s="29"/>
      <c r="D916" s="30"/>
      <c r="E916" s="30"/>
      <c r="F916" s="35"/>
      <c r="G916" s="35"/>
      <c r="H916" s="35" t="str">
        <f t="shared" si="14"/>
        <v/>
      </c>
      <c r="I916" s="29"/>
      <c r="K916" s="36" t="str">
        <f>IF(ISNUMBER($D916),IF(YEAR($D916)=대시보드!$C$2,$D916+ROW()/100000,""),"")</f>
        <v/>
      </c>
    </row>
    <row r="917" spans="1:11">
      <c r="A917" s="33"/>
      <c r="B917" s="29"/>
      <c r="C917" s="29"/>
      <c r="D917" s="30"/>
      <c r="E917" s="30"/>
      <c r="F917" s="35"/>
      <c r="G917" s="35"/>
      <c r="H917" s="35" t="str">
        <f t="shared" si="14"/>
        <v/>
      </c>
      <c r="I917" s="29"/>
      <c r="K917" s="36" t="str">
        <f>IF(ISNUMBER($D917),IF(YEAR($D917)=대시보드!$C$2,$D917+ROW()/100000,""),"")</f>
        <v/>
      </c>
    </row>
    <row r="918" spans="1:11">
      <c r="A918" s="33"/>
      <c r="B918" s="29"/>
      <c r="C918" s="29"/>
      <c r="D918" s="30"/>
      <c r="E918" s="30"/>
      <c r="F918" s="35"/>
      <c r="G918" s="35"/>
      <c r="H918" s="35" t="str">
        <f t="shared" si="14"/>
        <v/>
      </c>
      <c r="I918" s="29"/>
      <c r="K918" s="36" t="str">
        <f>IF(ISNUMBER($D918),IF(YEAR($D918)=대시보드!$C$2,$D918+ROW()/100000,""),"")</f>
        <v/>
      </c>
    </row>
    <row r="919" spans="1:11">
      <c r="A919" s="33"/>
      <c r="B919" s="29"/>
      <c r="C919" s="29"/>
      <c r="D919" s="30"/>
      <c r="E919" s="30"/>
      <c r="F919" s="35"/>
      <c r="G919" s="35"/>
      <c r="H919" s="35" t="str">
        <f t="shared" si="14"/>
        <v/>
      </c>
      <c r="I919" s="29"/>
      <c r="K919" s="36" t="str">
        <f>IF(ISNUMBER($D919),IF(YEAR($D919)=대시보드!$C$2,$D919+ROW()/100000,""),"")</f>
        <v/>
      </c>
    </row>
    <row r="920" spans="1:11">
      <c r="A920" s="33"/>
      <c r="B920" s="29"/>
      <c r="C920" s="29"/>
      <c r="D920" s="30"/>
      <c r="E920" s="30"/>
      <c r="F920" s="35"/>
      <c r="G920" s="35"/>
      <c r="H920" s="35" t="str">
        <f t="shared" si="14"/>
        <v/>
      </c>
      <c r="I920" s="29"/>
      <c r="K920" s="36" t="str">
        <f>IF(ISNUMBER($D920),IF(YEAR($D920)=대시보드!$C$2,$D920+ROW()/100000,""),"")</f>
        <v/>
      </c>
    </row>
    <row r="921" spans="1:11">
      <c r="A921" s="33"/>
      <c r="B921" s="29"/>
      <c r="C921" s="29"/>
      <c r="D921" s="30"/>
      <c r="E921" s="30"/>
      <c r="F921" s="35"/>
      <c r="G921" s="35"/>
      <c r="H921" s="35" t="str">
        <f t="shared" si="14"/>
        <v/>
      </c>
      <c r="I921" s="29"/>
      <c r="K921" s="36" t="str">
        <f>IF(ISNUMBER($D921),IF(YEAR($D921)=대시보드!$C$2,$D921+ROW()/100000,""),"")</f>
        <v/>
      </c>
    </row>
    <row r="922" spans="1:11">
      <c r="A922" s="33"/>
      <c r="B922" s="29"/>
      <c r="C922" s="29"/>
      <c r="D922" s="30"/>
      <c r="E922" s="30"/>
      <c r="F922" s="35"/>
      <c r="G922" s="35"/>
      <c r="H922" s="35" t="str">
        <f t="shared" si="14"/>
        <v/>
      </c>
      <c r="I922" s="29"/>
      <c r="K922" s="36" t="str">
        <f>IF(ISNUMBER($D922),IF(YEAR($D922)=대시보드!$C$2,$D922+ROW()/100000,""),"")</f>
        <v/>
      </c>
    </row>
    <row r="923" spans="1:11">
      <c r="A923" s="33"/>
      <c r="B923" s="29"/>
      <c r="C923" s="29"/>
      <c r="D923" s="30"/>
      <c r="E923" s="30"/>
      <c r="F923" s="35"/>
      <c r="G923" s="35"/>
      <c r="H923" s="35" t="str">
        <f t="shared" si="14"/>
        <v/>
      </c>
      <c r="I923" s="29"/>
      <c r="K923" s="36" t="str">
        <f>IF(ISNUMBER($D923),IF(YEAR($D923)=대시보드!$C$2,$D923+ROW()/100000,""),"")</f>
        <v/>
      </c>
    </row>
    <row r="924" spans="1:11">
      <c r="A924" s="33"/>
      <c r="B924" s="29"/>
      <c r="C924" s="29"/>
      <c r="D924" s="30"/>
      <c r="E924" s="30"/>
      <c r="F924" s="35"/>
      <c r="G924" s="35"/>
      <c r="H924" s="35" t="str">
        <f t="shared" si="14"/>
        <v/>
      </c>
      <c r="I924" s="29"/>
      <c r="K924" s="36" t="str">
        <f>IF(ISNUMBER($D924),IF(YEAR($D924)=대시보드!$C$2,$D924+ROW()/100000,""),"")</f>
        <v/>
      </c>
    </row>
    <row r="925" spans="1:11">
      <c r="A925" s="33"/>
      <c r="B925" s="29"/>
      <c r="C925" s="29"/>
      <c r="D925" s="30"/>
      <c r="E925" s="30"/>
      <c r="F925" s="35"/>
      <c r="G925" s="35"/>
      <c r="H925" s="35" t="str">
        <f t="shared" si="14"/>
        <v/>
      </c>
      <c r="I925" s="29"/>
      <c r="K925" s="36" t="str">
        <f>IF(ISNUMBER($D925),IF(YEAR($D925)=대시보드!$C$2,$D925+ROW()/100000,""),"")</f>
        <v/>
      </c>
    </row>
    <row r="926" spans="1:11">
      <c r="A926" s="33"/>
      <c r="B926" s="29"/>
      <c r="C926" s="29"/>
      <c r="D926" s="30"/>
      <c r="E926" s="30"/>
      <c r="F926" s="35"/>
      <c r="G926" s="35"/>
      <c r="H926" s="35" t="str">
        <f t="shared" si="14"/>
        <v/>
      </c>
      <c r="I926" s="29"/>
      <c r="K926" s="36" t="str">
        <f>IF(ISNUMBER($D926),IF(YEAR($D926)=대시보드!$C$2,$D926+ROW()/100000,""),"")</f>
        <v/>
      </c>
    </row>
    <row r="927" spans="1:11">
      <c r="A927" s="33"/>
      <c r="B927" s="29"/>
      <c r="C927" s="29"/>
      <c r="D927" s="30"/>
      <c r="E927" s="30"/>
      <c r="F927" s="35"/>
      <c r="G927" s="35"/>
      <c r="H927" s="35" t="str">
        <f t="shared" si="14"/>
        <v/>
      </c>
      <c r="I927" s="29"/>
      <c r="K927" s="36" t="str">
        <f>IF(ISNUMBER($D927),IF(YEAR($D927)=대시보드!$C$2,$D927+ROW()/100000,""),"")</f>
        <v/>
      </c>
    </row>
    <row r="928" spans="1:11">
      <c r="A928" s="33"/>
      <c r="B928" s="29"/>
      <c r="C928" s="29"/>
      <c r="D928" s="30"/>
      <c r="E928" s="30"/>
      <c r="F928" s="35"/>
      <c r="G928" s="35"/>
      <c r="H928" s="35" t="str">
        <f t="shared" si="14"/>
        <v/>
      </c>
      <c r="I928" s="29"/>
      <c r="K928" s="36" t="str">
        <f>IF(ISNUMBER($D928),IF(YEAR($D928)=대시보드!$C$2,$D928+ROW()/100000,""),"")</f>
        <v/>
      </c>
    </row>
    <row r="929" spans="1:11">
      <c r="A929" s="33"/>
      <c r="B929" s="29"/>
      <c r="C929" s="29"/>
      <c r="D929" s="30"/>
      <c r="E929" s="30"/>
      <c r="F929" s="35"/>
      <c r="G929" s="35"/>
      <c r="H929" s="35" t="str">
        <f t="shared" si="14"/>
        <v/>
      </c>
      <c r="I929" s="29"/>
      <c r="K929" s="36" t="str">
        <f>IF(ISNUMBER($D929),IF(YEAR($D929)=대시보드!$C$2,$D929+ROW()/100000,""),"")</f>
        <v/>
      </c>
    </row>
    <row r="930" spans="1:11">
      <c r="A930" s="33"/>
      <c r="B930" s="29"/>
      <c r="C930" s="29"/>
      <c r="D930" s="30"/>
      <c r="E930" s="30"/>
      <c r="F930" s="35"/>
      <c r="G930" s="35"/>
      <c r="H930" s="35" t="str">
        <f t="shared" si="14"/>
        <v/>
      </c>
      <c r="I930" s="29"/>
      <c r="K930" s="36" t="str">
        <f>IF(ISNUMBER($D930),IF(YEAR($D930)=대시보드!$C$2,$D930+ROW()/100000,""),"")</f>
        <v/>
      </c>
    </row>
    <row r="931" spans="1:11">
      <c r="A931" s="33"/>
      <c r="B931" s="29"/>
      <c r="C931" s="29"/>
      <c r="D931" s="30"/>
      <c r="E931" s="30"/>
      <c r="F931" s="35"/>
      <c r="G931" s="35"/>
      <c r="H931" s="35" t="str">
        <f t="shared" si="14"/>
        <v/>
      </c>
      <c r="I931" s="29"/>
      <c r="K931" s="36" t="str">
        <f>IF(ISNUMBER($D931),IF(YEAR($D931)=대시보드!$C$2,$D931+ROW()/100000,""),"")</f>
        <v/>
      </c>
    </row>
    <row r="932" spans="1:11">
      <c r="A932" s="33"/>
      <c r="B932" s="29"/>
      <c r="C932" s="29"/>
      <c r="D932" s="30"/>
      <c r="E932" s="30"/>
      <c r="F932" s="35"/>
      <c r="G932" s="35"/>
      <c r="H932" s="35" t="str">
        <f t="shared" si="14"/>
        <v/>
      </c>
      <c r="I932" s="29"/>
      <c r="K932" s="36" t="str">
        <f>IF(ISNUMBER($D932),IF(YEAR($D932)=대시보드!$C$2,$D932+ROW()/100000,""),"")</f>
        <v/>
      </c>
    </row>
    <row r="933" spans="1:11">
      <c r="A933" s="33"/>
      <c r="B933" s="29"/>
      <c r="C933" s="29"/>
      <c r="D933" s="30"/>
      <c r="E933" s="30"/>
      <c r="F933" s="35"/>
      <c r="G933" s="35"/>
      <c r="H933" s="35" t="str">
        <f t="shared" si="14"/>
        <v/>
      </c>
      <c r="I933" s="29"/>
      <c r="K933" s="36" t="str">
        <f>IF(ISNUMBER($D933),IF(YEAR($D933)=대시보드!$C$2,$D933+ROW()/100000,""),"")</f>
        <v/>
      </c>
    </row>
    <row r="934" spans="1:11">
      <c r="A934" s="33"/>
      <c r="B934" s="29"/>
      <c r="C934" s="29"/>
      <c r="D934" s="30"/>
      <c r="E934" s="30"/>
      <c r="F934" s="35"/>
      <c r="G934" s="35"/>
      <c r="H934" s="35" t="str">
        <f t="shared" si="14"/>
        <v/>
      </c>
      <c r="I934" s="29"/>
      <c r="K934" s="36" t="str">
        <f>IF(ISNUMBER($D934),IF(YEAR($D934)=대시보드!$C$2,$D934+ROW()/100000,""),"")</f>
        <v/>
      </c>
    </row>
    <row r="935" spans="1:11">
      <c r="A935" s="33"/>
      <c r="B935" s="29"/>
      <c r="C935" s="29"/>
      <c r="D935" s="30"/>
      <c r="E935" s="30"/>
      <c r="F935" s="35"/>
      <c r="G935" s="35"/>
      <c r="H935" s="35" t="str">
        <f t="shared" si="14"/>
        <v/>
      </c>
      <c r="I935" s="29"/>
      <c r="K935" s="36" t="str">
        <f>IF(ISNUMBER($D935),IF(YEAR($D935)=대시보드!$C$2,$D935+ROW()/100000,""),"")</f>
        <v/>
      </c>
    </row>
    <row r="936" spans="1:11">
      <c r="A936" s="33"/>
      <c r="B936" s="29"/>
      <c r="C936" s="29"/>
      <c r="D936" s="30"/>
      <c r="E936" s="30"/>
      <c r="F936" s="35"/>
      <c r="G936" s="35"/>
      <c r="H936" s="35" t="str">
        <f t="shared" si="14"/>
        <v/>
      </c>
      <c r="I936" s="29"/>
      <c r="K936" s="36" t="str">
        <f>IF(ISNUMBER($D936),IF(YEAR($D936)=대시보드!$C$2,$D936+ROW()/100000,""),"")</f>
        <v/>
      </c>
    </row>
    <row r="937" spans="1:11">
      <c r="A937" s="33"/>
      <c r="B937" s="29"/>
      <c r="C937" s="29"/>
      <c r="D937" s="30"/>
      <c r="E937" s="30"/>
      <c r="F937" s="35"/>
      <c r="G937" s="35"/>
      <c r="H937" s="35" t="str">
        <f t="shared" si="14"/>
        <v/>
      </c>
      <c r="I937" s="29"/>
      <c r="K937" s="36" t="str">
        <f>IF(ISNUMBER($D937),IF(YEAR($D937)=대시보드!$C$2,$D937+ROW()/100000,""),"")</f>
        <v/>
      </c>
    </row>
    <row r="938" spans="1:11">
      <c r="A938" s="33"/>
      <c r="B938" s="29"/>
      <c r="C938" s="29"/>
      <c r="D938" s="30"/>
      <c r="E938" s="30"/>
      <c r="F938" s="35"/>
      <c r="G938" s="35"/>
      <c r="H938" s="35" t="str">
        <f t="shared" si="14"/>
        <v/>
      </c>
      <c r="I938" s="29"/>
      <c r="K938" s="36" t="str">
        <f>IF(ISNUMBER($D938),IF(YEAR($D938)=대시보드!$C$2,$D938+ROW()/100000,""),"")</f>
        <v/>
      </c>
    </row>
    <row r="939" spans="1:11">
      <c r="A939" s="33"/>
      <c r="B939" s="29"/>
      <c r="C939" s="29"/>
      <c r="D939" s="30"/>
      <c r="E939" s="30"/>
      <c r="F939" s="35"/>
      <c r="G939" s="35"/>
      <c r="H939" s="35" t="str">
        <f t="shared" si="14"/>
        <v/>
      </c>
      <c r="I939" s="29"/>
      <c r="K939" s="36" t="str">
        <f>IF(ISNUMBER($D939),IF(YEAR($D939)=대시보드!$C$2,$D939+ROW()/100000,""),"")</f>
        <v/>
      </c>
    </row>
    <row r="940" spans="1:11">
      <c r="A940" s="33"/>
      <c r="B940" s="29"/>
      <c r="C940" s="29"/>
      <c r="D940" s="30"/>
      <c r="E940" s="30"/>
      <c r="F940" s="35"/>
      <c r="G940" s="35"/>
      <c r="H940" s="35" t="str">
        <f t="shared" si="14"/>
        <v/>
      </c>
      <c r="I940" s="29"/>
      <c r="K940" s="36" t="str">
        <f>IF(ISNUMBER($D940),IF(YEAR($D940)=대시보드!$C$2,$D940+ROW()/100000,""),"")</f>
        <v/>
      </c>
    </row>
    <row r="941" spans="1:11">
      <c r="A941" s="33"/>
      <c r="B941" s="29"/>
      <c r="C941" s="29"/>
      <c r="D941" s="30"/>
      <c r="E941" s="30"/>
      <c r="F941" s="35"/>
      <c r="G941" s="35"/>
      <c r="H941" s="35" t="str">
        <f t="shared" si="14"/>
        <v/>
      </c>
      <c r="I941" s="29"/>
      <c r="K941" s="36" t="str">
        <f>IF(ISNUMBER($D941),IF(YEAR($D941)=대시보드!$C$2,$D941+ROW()/100000,""),"")</f>
        <v/>
      </c>
    </row>
    <row r="942" spans="1:11">
      <c r="A942" s="33"/>
      <c r="B942" s="29"/>
      <c r="C942" s="29"/>
      <c r="D942" s="30"/>
      <c r="E942" s="30"/>
      <c r="F942" s="35"/>
      <c r="G942" s="35"/>
      <c r="H942" s="35" t="str">
        <f t="shared" si="14"/>
        <v/>
      </c>
      <c r="I942" s="29"/>
      <c r="K942" s="36" t="str">
        <f>IF(ISNUMBER($D942),IF(YEAR($D942)=대시보드!$C$2,$D942+ROW()/100000,""),"")</f>
        <v/>
      </c>
    </row>
    <row r="943" spans="1:11">
      <c r="A943" s="33"/>
      <c r="B943" s="29"/>
      <c r="C943" s="29"/>
      <c r="D943" s="30"/>
      <c r="E943" s="30"/>
      <c r="F943" s="35"/>
      <c r="G943" s="35"/>
      <c r="H943" s="35" t="str">
        <f t="shared" si="14"/>
        <v/>
      </c>
      <c r="I943" s="29"/>
      <c r="K943" s="36" t="str">
        <f>IF(ISNUMBER($D943),IF(YEAR($D943)=대시보드!$C$2,$D943+ROW()/100000,""),"")</f>
        <v/>
      </c>
    </row>
    <row r="944" spans="1:11">
      <c r="A944" s="33"/>
      <c r="B944" s="29"/>
      <c r="C944" s="29"/>
      <c r="D944" s="30"/>
      <c r="E944" s="30"/>
      <c r="F944" s="35"/>
      <c r="G944" s="35"/>
      <c r="H944" s="35" t="str">
        <f t="shared" si="14"/>
        <v/>
      </c>
      <c r="I944" s="29"/>
      <c r="K944" s="36" t="str">
        <f>IF(ISNUMBER($D944),IF(YEAR($D944)=대시보드!$C$2,$D944+ROW()/100000,""),"")</f>
        <v/>
      </c>
    </row>
    <row r="945" spans="1:11">
      <c r="A945" s="33"/>
      <c r="B945" s="29"/>
      <c r="C945" s="29"/>
      <c r="D945" s="30"/>
      <c r="E945" s="30"/>
      <c r="F945" s="35"/>
      <c r="G945" s="35"/>
      <c r="H945" s="35" t="str">
        <f t="shared" si="14"/>
        <v/>
      </c>
      <c r="I945" s="29"/>
      <c r="K945" s="36" t="str">
        <f>IF(ISNUMBER($D945),IF(YEAR($D945)=대시보드!$C$2,$D945+ROW()/100000,""),"")</f>
        <v/>
      </c>
    </row>
    <row r="946" spans="1:11">
      <c r="A946" s="33"/>
      <c r="B946" s="29"/>
      <c r="C946" s="29"/>
      <c r="D946" s="30"/>
      <c r="E946" s="30"/>
      <c r="F946" s="35"/>
      <c r="G946" s="35"/>
      <c r="H946" s="35" t="str">
        <f t="shared" si="14"/>
        <v/>
      </c>
      <c r="I946" s="29"/>
      <c r="K946" s="36" t="str">
        <f>IF(ISNUMBER($D946),IF(YEAR($D946)=대시보드!$C$2,$D946+ROW()/100000,""),"")</f>
        <v/>
      </c>
    </row>
    <row r="947" spans="1:11">
      <c r="A947" s="33"/>
      <c r="B947" s="29"/>
      <c r="C947" s="29"/>
      <c r="D947" s="30"/>
      <c r="E947" s="30"/>
      <c r="F947" s="35"/>
      <c r="G947" s="35"/>
      <c r="H947" s="35" t="str">
        <f t="shared" si="14"/>
        <v/>
      </c>
      <c r="I947" s="29"/>
      <c r="K947" s="36" t="str">
        <f>IF(ISNUMBER($D947),IF(YEAR($D947)=대시보드!$C$2,$D947+ROW()/100000,""),"")</f>
        <v/>
      </c>
    </row>
    <row r="948" spans="1:11">
      <c r="A948" s="33"/>
      <c r="B948" s="29"/>
      <c r="C948" s="29"/>
      <c r="D948" s="30"/>
      <c r="E948" s="30"/>
      <c r="F948" s="35"/>
      <c r="G948" s="35"/>
      <c r="H948" s="35" t="str">
        <f t="shared" si="14"/>
        <v/>
      </c>
      <c r="I948" s="29"/>
      <c r="K948" s="36" t="str">
        <f>IF(ISNUMBER($D948),IF(YEAR($D948)=대시보드!$C$2,$D948+ROW()/100000,""),"")</f>
        <v/>
      </c>
    </row>
    <row r="949" spans="1:11">
      <c r="A949" s="33"/>
      <c r="B949" s="29"/>
      <c r="C949" s="29"/>
      <c r="D949" s="30"/>
      <c r="E949" s="30"/>
      <c r="F949" s="35"/>
      <c r="G949" s="35"/>
      <c r="H949" s="35" t="str">
        <f t="shared" si="14"/>
        <v/>
      </c>
      <c r="I949" s="29"/>
      <c r="K949" s="36" t="str">
        <f>IF(ISNUMBER($D949),IF(YEAR($D949)=대시보드!$C$2,$D949+ROW()/100000,""),"")</f>
        <v/>
      </c>
    </row>
    <row r="950" spans="1:11">
      <c r="A950" s="33"/>
      <c r="B950" s="29"/>
      <c r="C950" s="29"/>
      <c r="D950" s="30"/>
      <c r="E950" s="30"/>
      <c r="F950" s="35"/>
      <c r="G950" s="35"/>
      <c r="H950" s="35" t="str">
        <f t="shared" si="14"/>
        <v/>
      </c>
      <c r="I950" s="29"/>
      <c r="K950" s="36" t="str">
        <f>IF(ISNUMBER($D950),IF(YEAR($D950)=대시보드!$C$2,$D950+ROW()/100000,""),"")</f>
        <v/>
      </c>
    </row>
    <row r="951" spans="1:11">
      <c r="A951" s="33"/>
      <c r="B951" s="29"/>
      <c r="C951" s="29"/>
      <c r="D951" s="30"/>
      <c r="E951" s="30"/>
      <c r="F951" s="35"/>
      <c r="G951" s="35"/>
      <c r="H951" s="35" t="str">
        <f t="shared" si="14"/>
        <v/>
      </c>
      <c r="I951" s="29"/>
      <c r="K951" s="36" t="str">
        <f>IF(ISNUMBER($D951),IF(YEAR($D951)=대시보드!$C$2,$D951+ROW()/100000,""),"")</f>
        <v/>
      </c>
    </row>
    <row r="952" spans="1:11">
      <c r="A952" s="33"/>
      <c r="B952" s="29"/>
      <c r="C952" s="29"/>
      <c r="D952" s="30"/>
      <c r="E952" s="30"/>
      <c r="F952" s="35"/>
      <c r="G952" s="35"/>
      <c r="H952" s="35" t="str">
        <f t="shared" si="14"/>
        <v/>
      </c>
      <c r="I952" s="29"/>
      <c r="K952" s="36" t="str">
        <f>IF(ISNUMBER($D952),IF(YEAR($D952)=대시보드!$C$2,$D952+ROW()/100000,""),"")</f>
        <v/>
      </c>
    </row>
    <row r="953" spans="1:11">
      <c r="A953" s="33"/>
      <c r="B953" s="29"/>
      <c r="C953" s="29"/>
      <c r="D953" s="30"/>
      <c r="E953" s="30"/>
      <c r="F953" s="35"/>
      <c r="G953" s="35"/>
      <c r="H953" s="35" t="str">
        <f t="shared" si="14"/>
        <v/>
      </c>
      <c r="I953" s="29"/>
      <c r="K953" s="36" t="str">
        <f>IF(ISNUMBER($D953),IF(YEAR($D953)=대시보드!$C$2,$D953+ROW()/100000,""),"")</f>
        <v/>
      </c>
    </row>
    <row r="954" spans="1:11">
      <c r="A954" s="33"/>
      <c r="B954" s="29"/>
      <c r="C954" s="29"/>
      <c r="D954" s="30"/>
      <c r="E954" s="30"/>
      <c r="F954" s="35"/>
      <c r="G954" s="35"/>
      <c r="H954" s="35" t="str">
        <f t="shared" si="14"/>
        <v/>
      </c>
      <c r="I954" s="29"/>
      <c r="K954" s="36" t="str">
        <f>IF(ISNUMBER($D954),IF(YEAR($D954)=대시보드!$C$2,$D954+ROW()/100000,""),"")</f>
        <v/>
      </c>
    </row>
    <row r="955" spans="1:11">
      <c r="A955" s="33"/>
      <c r="B955" s="29"/>
      <c r="C955" s="29"/>
      <c r="D955" s="30"/>
      <c r="E955" s="30"/>
      <c r="F955" s="35"/>
      <c r="G955" s="35"/>
      <c r="H955" s="35" t="str">
        <f t="shared" si="14"/>
        <v/>
      </c>
      <c r="I955" s="29"/>
      <c r="K955" s="36" t="str">
        <f>IF(ISNUMBER($D955),IF(YEAR($D955)=대시보드!$C$2,$D955+ROW()/100000,""),"")</f>
        <v/>
      </c>
    </row>
    <row r="956" spans="1:11">
      <c r="A956" s="33"/>
      <c r="B956" s="29"/>
      <c r="C956" s="29"/>
      <c r="D956" s="30"/>
      <c r="E956" s="30"/>
      <c r="F956" s="35"/>
      <c r="G956" s="35"/>
      <c r="H956" s="35" t="str">
        <f t="shared" si="14"/>
        <v/>
      </c>
      <c r="I956" s="29"/>
      <c r="K956" s="36" t="str">
        <f>IF(ISNUMBER($D956),IF(YEAR($D956)=대시보드!$C$2,$D956+ROW()/100000,""),"")</f>
        <v/>
      </c>
    </row>
    <row r="957" spans="1:11">
      <c r="A957" s="33"/>
      <c r="B957" s="29"/>
      <c r="C957" s="29"/>
      <c r="D957" s="30"/>
      <c r="E957" s="30"/>
      <c r="F957" s="35"/>
      <c r="G957" s="35"/>
      <c r="H957" s="35" t="str">
        <f t="shared" si="14"/>
        <v/>
      </c>
      <c r="I957" s="29"/>
      <c r="K957" s="36" t="str">
        <f>IF(ISNUMBER($D957),IF(YEAR($D957)=대시보드!$C$2,$D957+ROW()/100000,""),"")</f>
        <v/>
      </c>
    </row>
    <row r="958" spans="1:11">
      <c r="A958" s="33"/>
      <c r="B958" s="29"/>
      <c r="C958" s="29"/>
      <c r="D958" s="30"/>
      <c r="E958" s="30"/>
      <c r="F958" s="35"/>
      <c r="G958" s="35"/>
      <c r="H958" s="35" t="str">
        <f t="shared" si="14"/>
        <v/>
      </c>
      <c r="I958" s="29"/>
      <c r="K958" s="36" t="str">
        <f>IF(ISNUMBER($D958),IF(YEAR($D958)=대시보드!$C$2,$D958+ROW()/100000,""),"")</f>
        <v/>
      </c>
    </row>
    <row r="959" spans="1:11">
      <c r="A959" s="33"/>
      <c r="B959" s="29"/>
      <c r="C959" s="29"/>
      <c r="D959" s="30"/>
      <c r="E959" s="30"/>
      <c r="F959" s="35"/>
      <c r="G959" s="35"/>
      <c r="H959" s="35" t="str">
        <f t="shared" si="14"/>
        <v/>
      </c>
      <c r="I959" s="29"/>
      <c r="K959" s="36" t="str">
        <f>IF(ISNUMBER($D959),IF(YEAR($D959)=대시보드!$C$2,$D959+ROW()/100000,""),"")</f>
        <v/>
      </c>
    </row>
    <row r="960" spans="1:11">
      <c r="A960" s="33"/>
      <c r="B960" s="29"/>
      <c r="C960" s="29"/>
      <c r="D960" s="30"/>
      <c r="E960" s="30"/>
      <c r="F960" s="35"/>
      <c r="G960" s="35"/>
      <c r="H960" s="35" t="str">
        <f t="shared" si="14"/>
        <v/>
      </c>
      <c r="I960" s="29"/>
      <c r="K960" s="36" t="str">
        <f>IF(ISNUMBER($D960),IF(YEAR($D960)=대시보드!$C$2,$D960+ROW()/100000,""),"")</f>
        <v/>
      </c>
    </row>
    <row r="961" spans="1:11">
      <c r="A961" s="33"/>
      <c r="B961" s="29"/>
      <c r="C961" s="29"/>
      <c r="D961" s="30"/>
      <c r="E961" s="30"/>
      <c r="F961" s="35"/>
      <c r="G961" s="35"/>
      <c r="H961" s="35" t="str">
        <f t="shared" si="14"/>
        <v/>
      </c>
      <c r="I961" s="29"/>
      <c r="K961" s="36" t="str">
        <f>IF(ISNUMBER($D961),IF(YEAR($D961)=대시보드!$C$2,$D961+ROW()/100000,""),"")</f>
        <v/>
      </c>
    </row>
    <row r="962" spans="1:11">
      <c r="A962" s="33"/>
      <c r="B962" s="29"/>
      <c r="C962" s="29"/>
      <c r="D962" s="30"/>
      <c r="E962" s="30"/>
      <c r="F962" s="35"/>
      <c r="G962" s="35"/>
      <c r="H962" s="35" t="str">
        <f t="shared" si="14"/>
        <v/>
      </c>
      <c r="I962" s="29"/>
      <c r="K962" s="36" t="str">
        <f>IF(ISNUMBER($D962),IF(YEAR($D962)=대시보드!$C$2,$D962+ROW()/100000,""),"")</f>
        <v/>
      </c>
    </row>
    <row r="963" spans="1:11">
      <c r="A963" s="33"/>
      <c r="B963" s="29"/>
      <c r="C963" s="29"/>
      <c r="D963" s="30"/>
      <c r="E963" s="30"/>
      <c r="F963" s="35"/>
      <c r="G963" s="35"/>
      <c r="H963" s="35" t="str">
        <f t="shared" si="14"/>
        <v/>
      </c>
      <c r="I963" s="29"/>
      <c r="K963" s="36" t="str">
        <f>IF(ISNUMBER($D963),IF(YEAR($D963)=대시보드!$C$2,$D963+ROW()/100000,""),"")</f>
        <v/>
      </c>
    </row>
    <row r="964" spans="1:11">
      <c r="A964" s="33"/>
      <c r="B964" s="29"/>
      <c r="C964" s="29"/>
      <c r="D964" s="30"/>
      <c r="E964" s="30"/>
      <c r="F964" s="35"/>
      <c r="G964" s="35"/>
      <c r="H964" s="35" t="str">
        <f t="shared" ref="H964:H1027" si="15">IF(F964="","",F964-G964)</f>
        <v/>
      </c>
      <c r="I964" s="29"/>
      <c r="K964" s="36" t="str">
        <f>IF(ISNUMBER($D964),IF(YEAR($D964)=대시보드!$C$2,$D964+ROW()/100000,""),"")</f>
        <v/>
      </c>
    </row>
    <row r="965" spans="1:11">
      <c r="A965" s="33"/>
      <c r="B965" s="29"/>
      <c r="C965" s="29"/>
      <c r="D965" s="30"/>
      <c r="E965" s="30"/>
      <c r="F965" s="35"/>
      <c r="G965" s="35"/>
      <c r="H965" s="35" t="str">
        <f t="shared" si="15"/>
        <v/>
      </c>
      <c r="I965" s="29"/>
      <c r="K965" s="36" t="str">
        <f>IF(ISNUMBER($D965),IF(YEAR($D965)=대시보드!$C$2,$D965+ROW()/100000,""),"")</f>
        <v/>
      </c>
    </row>
    <row r="966" spans="1:11">
      <c r="A966" s="33"/>
      <c r="B966" s="29"/>
      <c r="C966" s="29"/>
      <c r="D966" s="30"/>
      <c r="E966" s="30"/>
      <c r="F966" s="35"/>
      <c r="G966" s="35"/>
      <c r="H966" s="35" t="str">
        <f t="shared" si="15"/>
        <v/>
      </c>
      <c r="I966" s="29"/>
      <c r="K966" s="36" t="str">
        <f>IF(ISNUMBER($D966),IF(YEAR($D966)=대시보드!$C$2,$D966+ROW()/100000,""),"")</f>
        <v/>
      </c>
    </row>
    <row r="967" spans="1:11">
      <c r="A967" s="33"/>
      <c r="B967" s="29"/>
      <c r="C967" s="29"/>
      <c r="D967" s="30"/>
      <c r="E967" s="30"/>
      <c r="F967" s="35"/>
      <c r="G967" s="35"/>
      <c r="H967" s="35" t="str">
        <f t="shared" si="15"/>
        <v/>
      </c>
      <c r="I967" s="29"/>
      <c r="K967" s="36" t="str">
        <f>IF(ISNUMBER($D967),IF(YEAR($D967)=대시보드!$C$2,$D967+ROW()/100000,""),"")</f>
        <v/>
      </c>
    </row>
    <row r="968" spans="1:11">
      <c r="A968" s="33"/>
      <c r="B968" s="29"/>
      <c r="C968" s="29"/>
      <c r="D968" s="30"/>
      <c r="E968" s="30"/>
      <c r="F968" s="35"/>
      <c r="G968" s="35"/>
      <c r="H968" s="35" t="str">
        <f t="shared" si="15"/>
        <v/>
      </c>
      <c r="I968" s="29"/>
      <c r="K968" s="36" t="str">
        <f>IF(ISNUMBER($D968),IF(YEAR($D968)=대시보드!$C$2,$D968+ROW()/100000,""),"")</f>
        <v/>
      </c>
    </row>
    <row r="969" spans="1:11">
      <c r="A969" s="33"/>
      <c r="B969" s="29"/>
      <c r="C969" s="29"/>
      <c r="D969" s="30"/>
      <c r="E969" s="30"/>
      <c r="F969" s="35"/>
      <c r="G969" s="35"/>
      <c r="H969" s="35" t="str">
        <f t="shared" si="15"/>
        <v/>
      </c>
      <c r="I969" s="29"/>
      <c r="K969" s="36" t="str">
        <f>IF(ISNUMBER($D969),IF(YEAR($D969)=대시보드!$C$2,$D969+ROW()/100000,""),"")</f>
        <v/>
      </c>
    </row>
    <row r="970" spans="1:11">
      <c r="A970" s="33"/>
      <c r="B970" s="29"/>
      <c r="C970" s="29"/>
      <c r="D970" s="30"/>
      <c r="E970" s="30"/>
      <c r="F970" s="35"/>
      <c r="G970" s="35"/>
      <c r="H970" s="35" t="str">
        <f t="shared" si="15"/>
        <v/>
      </c>
      <c r="I970" s="29"/>
      <c r="K970" s="36" t="str">
        <f>IF(ISNUMBER($D970),IF(YEAR($D970)=대시보드!$C$2,$D970+ROW()/100000,""),"")</f>
        <v/>
      </c>
    </row>
    <row r="971" spans="1:11">
      <c r="A971" s="33"/>
      <c r="B971" s="29"/>
      <c r="C971" s="29"/>
      <c r="D971" s="30"/>
      <c r="E971" s="30"/>
      <c r="F971" s="35"/>
      <c r="G971" s="35"/>
      <c r="H971" s="35" t="str">
        <f t="shared" si="15"/>
        <v/>
      </c>
      <c r="I971" s="29"/>
      <c r="K971" s="36" t="str">
        <f>IF(ISNUMBER($D971),IF(YEAR($D971)=대시보드!$C$2,$D971+ROW()/100000,""),"")</f>
        <v/>
      </c>
    </row>
    <row r="972" spans="1:11">
      <c r="A972" s="33"/>
      <c r="B972" s="29"/>
      <c r="C972" s="29"/>
      <c r="D972" s="30"/>
      <c r="E972" s="30"/>
      <c r="F972" s="35"/>
      <c r="G972" s="35"/>
      <c r="H972" s="35" t="str">
        <f t="shared" si="15"/>
        <v/>
      </c>
      <c r="I972" s="29"/>
      <c r="K972" s="36" t="str">
        <f>IF(ISNUMBER($D972),IF(YEAR($D972)=대시보드!$C$2,$D972+ROW()/100000,""),"")</f>
        <v/>
      </c>
    </row>
    <row r="973" spans="1:11">
      <c r="A973" s="33"/>
      <c r="B973" s="29"/>
      <c r="C973" s="29"/>
      <c r="D973" s="30"/>
      <c r="E973" s="30"/>
      <c r="F973" s="35"/>
      <c r="G973" s="35"/>
      <c r="H973" s="35" t="str">
        <f t="shared" si="15"/>
        <v/>
      </c>
      <c r="I973" s="29"/>
      <c r="K973" s="36" t="str">
        <f>IF(ISNUMBER($D973),IF(YEAR($D973)=대시보드!$C$2,$D973+ROW()/100000,""),"")</f>
        <v/>
      </c>
    </row>
    <row r="974" spans="1:11">
      <c r="A974" s="33"/>
      <c r="B974" s="29"/>
      <c r="C974" s="29"/>
      <c r="D974" s="30"/>
      <c r="E974" s="30"/>
      <c r="F974" s="35"/>
      <c r="G974" s="35"/>
      <c r="H974" s="35" t="str">
        <f t="shared" si="15"/>
        <v/>
      </c>
      <c r="I974" s="29"/>
      <c r="K974" s="36" t="str">
        <f>IF(ISNUMBER($D974),IF(YEAR($D974)=대시보드!$C$2,$D974+ROW()/100000,""),"")</f>
        <v/>
      </c>
    </row>
    <row r="975" spans="1:11">
      <c r="A975" s="33"/>
      <c r="B975" s="29"/>
      <c r="C975" s="29"/>
      <c r="D975" s="30"/>
      <c r="E975" s="30"/>
      <c r="F975" s="35"/>
      <c r="G975" s="35"/>
      <c r="H975" s="35" t="str">
        <f t="shared" si="15"/>
        <v/>
      </c>
      <c r="I975" s="29"/>
      <c r="K975" s="36" t="str">
        <f>IF(ISNUMBER($D975),IF(YEAR($D975)=대시보드!$C$2,$D975+ROW()/100000,""),"")</f>
        <v/>
      </c>
    </row>
    <row r="976" spans="1:11">
      <c r="A976" s="33"/>
      <c r="B976" s="29"/>
      <c r="C976" s="29"/>
      <c r="D976" s="30"/>
      <c r="E976" s="30"/>
      <c r="F976" s="35"/>
      <c r="G976" s="35"/>
      <c r="H976" s="35" t="str">
        <f t="shared" si="15"/>
        <v/>
      </c>
      <c r="I976" s="29"/>
      <c r="K976" s="36" t="str">
        <f>IF(ISNUMBER($D976),IF(YEAR($D976)=대시보드!$C$2,$D976+ROW()/100000,""),"")</f>
        <v/>
      </c>
    </row>
    <row r="977" spans="1:11">
      <c r="A977" s="33"/>
      <c r="B977" s="29"/>
      <c r="C977" s="29"/>
      <c r="D977" s="30"/>
      <c r="E977" s="30"/>
      <c r="F977" s="35"/>
      <c r="G977" s="35"/>
      <c r="H977" s="35" t="str">
        <f t="shared" si="15"/>
        <v/>
      </c>
      <c r="I977" s="29"/>
      <c r="K977" s="36" t="str">
        <f>IF(ISNUMBER($D977),IF(YEAR($D977)=대시보드!$C$2,$D977+ROW()/100000,""),"")</f>
        <v/>
      </c>
    </row>
    <row r="978" spans="1:11">
      <c r="A978" s="33"/>
      <c r="B978" s="29"/>
      <c r="C978" s="29"/>
      <c r="D978" s="30"/>
      <c r="E978" s="30"/>
      <c r="F978" s="35"/>
      <c r="G978" s="35"/>
      <c r="H978" s="35" t="str">
        <f t="shared" si="15"/>
        <v/>
      </c>
      <c r="I978" s="29"/>
      <c r="K978" s="36" t="str">
        <f>IF(ISNUMBER($D978),IF(YEAR($D978)=대시보드!$C$2,$D978+ROW()/100000,""),"")</f>
        <v/>
      </c>
    </row>
    <row r="979" spans="1:11">
      <c r="A979" s="33"/>
      <c r="B979" s="29"/>
      <c r="C979" s="29"/>
      <c r="D979" s="30"/>
      <c r="E979" s="30"/>
      <c r="F979" s="35"/>
      <c r="G979" s="35"/>
      <c r="H979" s="35" t="str">
        <f t="shared" si="15"/>
        <v/>
      </c>
      <c r="I979" s="29"/>
      <c r="K979" s="36" t="str">
        <f>IF(ISNUMBER($D979),IF(YEAR($D979)=대시보드!$C$2,$D979+ROW()/100000,""),"")</f>
        <v/>
      </c>
    </row>
    <row r="980" spans="1:11">
      <c r="A980" s="33"/>
      <c r="B980" s="29"/>
      <c r="C980" s="29"/>
      <c r="D980" s="30"/>
      <c r="E980" s="30"/>
      <c r="F980" s="35"/>
      <c r="G980" s="35"/>
      <c r="H980" s="35" t="str">
        <f t="shared" si="15"/>
        <v/>
      </c>
      <c r="I980" s="29"/>
      <c r="K980" s="36" t="str">
        <f>IF(ISNUMBER($D980),IF(YEAR($D980)=대시보드!$C$2,$D980+ROW()/100000,""),"")</f>
        <v/>
      </c>
    </row>
    <row r="981" spans="1:11">
      <c r="A981" s="33"/>
      <c r="B981" s="29"/>
      <c r="C981" s="29"/>
      <c r="D981" s="30"/>
      <c r="E981" s="30"/>
      <c r="F981" s="35"/>
      <c r="G981" s="35"/>
      <c r="H981" s="35" t="str">
        <f t="shared" si="15"/>
        <v/>
      </c>
      <c r="I981" s="29"/>
      <c r="K981" s="36" t="str">
        <f>IF(ISNUMBER($D981),IF(YEAR($D981)=대시보드!$C$2,$D981+ROW()/100000,""),"")</f>
        <v/>
      </c>
    </row>
    <row r="982" spans="1:11">
      <c r="A982" s="33"/>
      <c r="B982" s="29"/>
      <c r="C982" s="29"/>
      <c r="D982" s="30"/>
      <c r="E982" s="30"/>
      <c r="F982" s="35"/>
      <c r="G982" s="35"/>
      <c r="H982" s="35" t="str">
        <f t="shared" si="15"/>
        <v/>
      </c>
      <c r="I982" s="29"/>
      <c r="K982" s="36" t="str">
        <f>IF(ISNUMBER($D982),IF(YEAR($D982)=대시보드!$C$2,$D982+ROW()/100000,""),"")</f>
        <v/>
      </c>
    </row>
    <row r="983" spans="1:11">
      <c r="A983" s="33"/>
      <c r="B983" s="29"/>
      <c r="C983" s="29"/>
      <c r="D983" s="30"/>
      <c r="E983" s="30"/>
      <c r="F983" s="35"/>
      <c r="G983" s="35"/>
      <c r="H983" s="35" t="str">
        <f t="shared" si="15"/>
        <v/>
      </c>
      <c r="I983" s="29"/>
      <c r="K983" s="36" t="str">
        <f>IF(ISNUMBER($D983),IF(YEAR($D983)=대시보드!$C$2,$D983+ROW()/100000,""),"")</f>
        <v/>
      </c>
    </row>
    <row r="984" spans="1:11">
      <c r="A984" s="33"/>
      <c r="B984" s="29"/>
      <c r="C984" s="29"/>
      <c r="D984" s="30"/>
      <c r="E984" s="30"/>
      <c r="F984" s="35"/>
      <c r="G984" s="35"/>
      <c r="H984" s="35" t="str">
        <f t="shared" si="15"/>
        <v/>
      </c>
      <c r="I984" s="29"/>
      <c r="K984" s="36" t="str">
        <f>IF(ISNUMBER($D984),IF(YEAR($D984)=대시보드!$C$2,$D984+ROW()/100000,""),"")</f>
        <v/>
      </c>
    </row>
    <row r="985" spans="1:11">
      <c r="A985" s="33"/>
      <c r="B985" s="29"/>
      <c r="C985" s="29"/>
      <c r="D985" s="30"/>
      <c r="E985" s="30"/>
      <c r="F985" s="35"/>
      <c r="G985" s="35"/>
      <c r="H985" s="35" t="str">
        <f t="shared" si="15"/>
        <v/>
      </c>
      <c r="I985" s="29"/>
      <c r="K985" s="36" t="str">
        <f>IF(ISNUMBER($D985),IF(YEAR($D985)=대시보드!$C$2,$D985+ROW()/100000,""),"")</f>
        <v/>
      </c>
    </row>
    <row r="986" spans="1:11">
      <c r="A986" s="33"/>
      <c r="B986" s="29"/>
      <c r="C986" s="29"/>
      <c r="D986" s="30"/>
      <c r="E986" s="30"/>
      <c r="F986" s="35"/>
      <c r="G986" s="35"/>
      <c r="H986" s="35" t="str">
        <f t="shared" si="15"/>
        <v/>
      </c>
      <c r="I986" s="29"/>
      <c r="K986" s="36" t="str">
        <f>IF(ISNUMBER($D986),IF(YEAR($D986)=대시보드!$C$2,$D986+ROW()/100000,""),"")</f>
        <v/>
      </c>
    </row>
    <row r="987" spans="1:11">
      <c r="A987" s="33"/>
      <c r="B987" s="29"/>
      <c r="C987" s="29"/>
      <c r="D987" s="30"/>
      <c r="E987" s="30"/>
      <c r="F987" s="35"/>
      <c r="G987" s="35"/>
      <c r="H987" s="35" t="str">
        <f t="shared" si="15"/>
        <v/>
      </c>
      <c r="I987" s="29"/>
      <c r="K987" s="36" t="str">
        <f>IF(ISNUMBER($D987),IF(YEAR($D987)=대시보드!$C$2,$D987+ROW()/100000,""),"")</f>
        <v/>
      </c>
    </row>
    <row r="988" spans="1:11">
      <c r="A988" s="33"/>
      <c r="B988" s="29"/>
      <c r="C988" s="29"/>
      <c r="D988" s="30"/>
      <c r="E988" s="30"/>
      <c r="F988" s="35"/>
      <c r="G988" s="35"/>
      <c r="H988" s="35" t="str">
        <f t="shared" si="15"/>
        <v/>
      </c>
      <c r="I988" s="29"/>
      <c r="K988" s="36" t="str">
        <f>IF(ISNUMBER($D988),IF(YEAR($D988)=대시보드!$C$2,$D988+ROW()/100000,""),"")</f>
        <v/>
      </c>
    </row>
    <row r="989" spans="1:11">
      <c r="A989" s="33"/>
      <c r="B989" s="29"/>
      <c r="C989" s="29"/>
      <c r="D989" s="30"/>
      <c r="E989" s="30"/>
      <c r="F989" s="35"/>
      <c r="G989" s="35"/>
      <c r="H989" s="35" t="str">
        <f t="shared" si="15"/>
        <v/>
      </c>
      <c r="I989" s="29"/>
      <c r="K989" s="36" t="str">
        <f>IF(ISNUMBER($D989),IF(YEAR($D989)=대시보드!$C$2,$D989+ROW()/100000,""),"")</f>
        <v/>
      </c>
    </row>
    <row r="990" spans="1:11">
      <c r="A990" s="33"/>
      <c r="B990" s="29"/>
      <c r="C990" s="29"/>
      <c r="D990" s="30"/>
      <c r="E990" s="30"/>
      <c r="F990" s="35"/>
      <c r="G990" s="35"/>
      <c r="H990" s="35" t="str">
        <f t="shared" si="15"/>
        <v/>
      </c>
      <c r="I990" s="29"/>
      <c r="K990" s="36" t="str">
        <f>IF(ISNUMBER($D990),IF(YEAR($D990)=대시보드!$C$2,$D990+ROW()/100000,""),"")</f>
        <v/>
      </c>
    </row>
    <row r="991" spans="1:11">
      <c r="A991" s="33"/>
      <c r="B991" s="29"/>
      <c r="C991" s="29"/>
      <c r="D991" s="30"/>
      <c r="E991" s="30"/>
      <c r="F991" s="35"/>
      <c r="G991" s="35"/>
      <c r="H991" s="35" t="str">
        <f t="shared" si="15"/>
        <v/>
      </c>
      <c r="I991" s="29"/>
      <c r="K991" s="36" t="str">
        <f>IF(ISNUMBER($D991),IF(YEAR($D991)=대시보드!$C$2,$D991+ROW()/100000,""),"")</f>
        <v/>
      </c>
    </row>
    <row r="992" spans="1:11">
      <c r="A992" s="33"/>
      <c r="B992" s="29"/>
      <c r="C992" s="29"/>
      <c r="D992" s="30"/>
      <c r="E992" s="30"/>
      <c r="F992" s="35"/>
      <c r="G992" s="35"/>
      <c r="H992" s="35" t="str">
        <f t="shared" si="15"/>
        <v/>
      </c>
      <c r="I992" s="29"/>
      <c r="K992" s="36" t="str">
        <f>IF(ISNUMBER($D992),IF(YEAR($D992)=대시보드!$C$2,$D992+ROW()/100000,""),"")</f>
        <v/>
      </c>
    </row>
    <row r="993" spans="1:11">
      <c r="A993" s="33"/>
      <c r="B993" s="29"/>
      <c r="C993" s="29"/>
      <c r="D993" s="30"/>
      <c r="E993" s="30"/>
      <c r="F993" s="35"/>
      <c r="G993" s="35"/>
      <c r="H993" s="35" t="str">
        <f t="shared" si="15"/>
        <v/>
      </c>
      <c r="I993" s="29"/>
      <c r="K993" s="36" t="str">
        <f>IF(ISNUMBER($D993),IF(YEAR($D993)=대시보드!$C$2,$D993+ROW()/100000,""),"")</f>
        <v/>
      </c>
    </row>
    <row r="994" spans="1:11">
      <c r="A994" s="33"/>
      <c r="B994" s="29"/>
      <c r="C994" s="29"/>
      <c r="D994" s="30"/>
      <c r="E994" s="30"/>
      <c r="F994" s="35"/>
      <c r="G994" s="35"/>
      <c r="H994" s="35" t="str">
        <f t="shared" si="15"/>
        <v/>
      </c>
      <c r="I994" s="29"/>
      <c r="K994" s="36" t="str">
        <f>IF(ISNUMBER($D994),IF(YEAR($D994)=대시보드!$C$2,$D994+ROW()/100000,""),"")</f>
        <v/>
      </c>
    </row>
    <row r="995" spans="1:11">
      <c r="A995" s="33"/>
      <c r="B995" s="29"/>
      <c r="C995" s="29"/>
      <c r="D995" s="30"/>
      <c r="E995" s="30"/>
      <c r="F995" s="35"/>
      <c r="G995" s="35"/>
      <c r="H995" s="35" t="str">
        <f t="shared" si="15"/>
        <v/>
      </c>
      <c r="I995" s="29"/>
      <c r="K995" s="36" t="str">
        <f>IF(ISNUMBER($D995),IF(YEAR($D995)=대시보드!$C$2,$D995+ROW()/100000,""),"")</f>
        <v/>
      </c>
    </row>
    <row r="996" spans="1:11">
      <c r="A996" s="33"/>
      <c r="B996" s="29"/>
      <c r="C996" s="29"/>
      <c r="D996" s="30"/>
      <c r="E996" s="30"/>
      <c r="F996" s="35"/>
      <c r="G996" s="35"/>
      <c r="H996" s="35" t="str">
        <f t="shared" si="15"/>
        <v/>
      </c>
      <c r="I996" s="29"/>
      <c r="K996" s="36" t="str">
        <f>IF(ISNUMBER($D996),IF(YEAR($D996)=대시보드!$C$2,$D996+ROW()/100000,""),"")</f>
        <v/>
      </c>
    </row>
    <row r="997" spans="1:11">
      <c r="A997" s="33"/>
      <c r="B997" s="29"/>
      <c r="C997" s="29"/>
      <c r="D997" s="30"/>
      <c r="E997" s="30"/>
      <c r="F997" s="35"/>
      <c r="G997" s="35"/>
      <c r="H997" s="35" t="str">
        <f t="shared" si="15"/>
        <v/>
      </c>
      <c r="I997" s="29"/>
      <c r="K997" s="36" t="str">
        <f>IF(ISNUMBER($D997),IF(YEAR($D997)=대시보드!$C$2,$D997+ROW()/100000,""),"")</f>
        <v/>
      </c>
    </row>
    <row r="998" spans="1:11">
      <c r="A998" s="33"/>
      <c r="B998" s="29"/>
      <c r="C998" s="29"/>
      <c r="D998" s="30"/>
      <c r="E998" s="30"/>
      <c r="F998" s="35"/>
      <c r="G998" s="35"/>
      <c r="H998" s="35" t="str">
        <f t="shared" si="15"/>
        <v/>
      </c>
      <c r="I998" s="29"/>
      <c r="K998" s="36" t="str">
        <f>IF(ISNUMBER($D998),IF(YEAR($D998)=대시보드!$C$2,$D998+ROW()/100000,""),"")</f>
        <v/>
      </c>
    </row>
    <row r="999" spans="1:11">
      <c r="A999" s="33"/>
      <c r="B999" s="29"/>
      <c r="C999" s="29"/>
      <c r="D999" s="30"/>
      <c r="E999" s="30"/>
      <c r="F999" s="35"/>
      <c r="G999" s="35"/>
      <c r="H999" s="35" t="str">
        <f t="shared" si="15"/>
        <v/>
      </c>
      <c r="I999" s="29"/>
      <c r="K999" s="36" t="str">
        <f>IF(ISNUMBER($D999),IF(YEAR($D999)=대시보드!$C$2,$D999+ROW()/100000,""),"")</f>
        <v/>
      </c>
    </row>
    <row r="1000" spans="1:11">
      <c r="A1000" s="33"/>
      <c r="B1000" s="29"/>
      <c r="C1000" s="29"/>
      <c r="D1000" s="30"/>
      <c r="E1000" s="30"/>
      <c r="F1000" s="35"/>
      <c r="G1000" s="35"/>
      <c r="H1000" s="35" t="str">
        <f t="shared" si="15"/>
        <v/>
      </c>
      <c r="I1000" s="29"/>
      <c r="K1000" s="36" t="str">
        <f>IF(ISNUMBER($D1000),IF(YEAR($D1000)=대시보드!$C$2,$D1000+ROW()/100000,""),"")</f>
        <v/>
      </c>
    </row>
    <row r="1001" spans="1:11">
      <c r="A1001" s="33"/>
      <c r="B1001" s="29"/>
      <c r="C1001" s="29"/>
      <c r="D1001" s="30"/>
      <c r="E1001" s="30"/>
      <c r="F1001" s="35"/>
      <c r="G1001" s="35"/>
      <c r="H1001" s="35" t="str">
        <f t="shared" si="15"/>
        <v/>
      </c>
      <c r="I1001" s="29"/>
      <c r="K1001" s="36" t="str">
        <f>IF(ISNUMBER($D1001),IF(YEAR($D1001)=대시보드!$C$2,$D1001+ROW()/100000,""),"")</f>
        <v/>
      </c>
    </row>
    <row r="1002" spans="1:11">
      <c r="A1002" s="33"/>
      <c r="B1002" s="29"/>
      <c r="C1002" s="29"/>
      <c r="D1002" s="30"/>
      <c r="E1002" s="30"/>
      <c r="F1002" s="35"/>
      <c r="G1002" s="35"/>
      <c r="H1002" s="35" t="str">
        <f t="shared" si="15"/>
        <v/>
      </c>
      <c r="I1002" s="29"/>
      <c r="K1002" s="36" t="str">
        <f>IF(ISNUMBER($D1002),IF(YEAR($D1002)=대시보드!$C$2,$D1002+ROW()/100000,""),"")</f>
        <v/>
      </c>
    </row>
    <row r="1003" spans="1:11">
      <c r="A1003" s="33"/>
      <c r="B1003" s="29"/>
      <c r="C1003" s="29"/>
      <c r="D1003" s="30"/>
      <c r="E1003" s="30"/>
      <c r="F1003" s="35"/>
      <c r="G1003" s="35"/>
      <c r="H1003" s="35" t="str">
        <f t="shared" si="15"/>
        <v/>
      </c>
      <c r="I1003" s="29"/>
      <c r="K1003" s="36" t="str">
        <f>IF(ISNUMBER($D1003),IF(YEAR($D1003)=대시보드!$C$2,$D1003+ROW()/100000,""),"")</f>
        <v/>
      </c>
    </row>
    <row r="1004" spans="1:11">
      <c r="A1004" s="33"/>
      <c r="B1004" s="29"/>
      <c r="C1004" s="29"/>
      <c r="D1004" s="30"/>
      <c r="E1004" s="30"/>
      <c r="F1004" s="35"/>
      <c r="G1004" s="35"/>
      <c r="H1004" s="35" t="str">
        <f t="shared" si="15"/>
        <v/>
      </c>
      <c r="I1004" s="29"/>
      <c r="K1004" s="36" t="str">
        <f>IF(ISNUMBER($D1004),IF(YEAR($D1004)=대시보드!$C$2,$D1004+ROW()/100000,""),"")</f>
        <v/>
      </c>
    </row>
    <row r="1005" spans="1:11">
      <c r="A1005" s="33"/>
      <c r="B1005" s="29"/>
      <c r="C1005" s="29"/>
      <c r="D1005" s="30"/>
      <c r="E1005" s="30"/>
      <c r="F1005" s="35"/>
      <c r="G1005" s="35"/>
      <c r="H1005" s="35" t="str">
        <f t="shared" si="15"/>
        <v/>
      </c>
      <c r="I1005" s="29"/>
      <c r="K1005" s="36" t="str">
        <f>IF(ISNUMBER($D1005),IF(YEAR($D1005)=대시보드!$C$2,$D1005+ROW()/100000,""),"")</f>
        <v/>
      </c>
    </row>
    <row r="1006" spans="1:11">
      <c r="A1006" s="33"/>
      <c r="B1006" s="29"/>
      <c r="C1006" s="29"/>
      <c r="D1006" s="30"/>
      <c r="E1006" s="30"/>
      <c r="F1006" s="35"/>
      <c r="G1006" s="35"/>
      <c r="H1006" s="35" t="str">
        <f t="shared" si="15"/>
        <v/>
      </c>
      <c r="I1006" s="29"/>
      <c r="K1006" s="36" t="str">
        <f>IF(ISNUMBER($D1006),IF(YEAR($D1006)=대시보드!$C$2,$D1006+ROW()/100000,""),"")</f>
        <v/>
      </c>
    </row>
    <row r="1007" spans="1:11">
      <c r="A1007" s="33"/>
      <c r="B1007" s="29"/>
      <c r="C1007" s="29"/>
      <c r="D1007" s="30"/>
      <c r="E1007" s="30"/>
      <c r="F1007" s="35"/>
      <c r="G1007" s="35"/>
      <c r="H1007" s="35" t="str">
        <f t="shared" si="15"/>
        <v/>
      </c>
      <c r="I1007" s="29"/>
      <c r="K1007" s="36" t="str">
        <f>IF(ISNUMBER($D1007),IF(YEAR($D1007)=대시보드!$C$2,$D1007+ROW()/100000,""),"")</f>
        <v/>
      </c>
    </row>
    <row r="1008" spans="1:11">
      <c r="A1008" s="33"/>
      <c r="B1008" s="29"/>
      <c r="C1008" s="29"/>
      <c r="D1008" s="30"/>
      <c r="E1008" s="30"/>
      <c r="F1008" s="35"/>
      <c r="G1008" s="35"/>
      <c r="H1008" s="35" t="str">
        <f t="shared" si="15"/>
        <v/>
      </c>
      <c r="I1008" s="29"/>
      <c r="K1008" s="36" t="str">
        <f>IF(ISNUMBER($D1008),IF(YEAR($D1008)=대시보드!$C$2,$D1008+ROW()/100000,""),"")</f>
        <v/>
      </c>
    </row>
    <row r="1009" spans="1:11">
      <c r="A1009" s="33"/>
      <c r="B1009" s="29"/>
      <c r="C1009" s="29"/>
      <c r="D1009" s="30"/>
      <c r="E1009" s="30"/>
      <c r="F1009" s="35"/>
      <c r="G1009" s="35"/>
      <c r="H1009" s="35" t="str">
        <f t="shared" si="15"/>
        <v/>
      </c>
      <c r="I1009" s="29"/>
      <c r="K1009" s="36" t="str">
        <f>IF(ISNUMBER($D1009),IF(YEAR($D1009)=대시보드!$C$2,$D1009+ROW()/100000,""),"")</f>
        <v/>
      </c>
    </row>
    <row r="1010" spans="1:11">
      <c r="A1010" s="33"/>
      <c r="B1010" s="29"/>
      <c r="C1010" s="29"/>
      <c r="D1010" s="30"/>
      <c r="E1010" s="30"/>
      <c r="F1010" s="35"/>
      <c r="G1010" s="35"/>
      <c r="H1010" s="35" t="str">
        <f t="shared" si="15"/>
        <v/>
      </c>
      <c r="I1010" s="29"/>
      <c r="K1010" s="36" t="str">
        <f>IF(ISNUMBER($D1010),IF(YEAR($D1010)=대시보드!$C$2,$D1010+ROW()/100000,""),"")</f>
        <v/>
      </c>
    </row>
    <row r="1011" spans="1:11">
      <c r="A1011" s="33"/>
      <c r="B1011" s="29"/>
      <c r="C1011" s="29"/>
      <c r="D1011" s="30"/>
      <c r="E1011" s="30"/>
      <c r="F1011" s="35"/>
      <c r="G1011" s="35"/>
      <c r="H1011" s="35" t="str">
        <f t="shared" si="15"/>
        <v/>
      </c>
      <c r="I1011" s="29"/>
      <c r="K1011" s="36" t="str">
        <f>IF(ISNUMBER($D1011),IF(YEAR($D1011)=대시보드!$C$2,$D1011+ROW()/100000,""),"")</f>
        <v/>
      </c>
    </row>
    <row r="1012" spans="1:11">
      <c r="A1012" s="33"/>
      <c r="B1012" s="29"/>
      <c r="C1012" s="29"/>
      <c r="D1012" s="30"/>
      <c r="E1012" s="30"/>
      <c r="F1012" s="35"/>
      <c r="G1012" s="35"/>
      <c r="H1012" s="35" t="str">
        <f t="shared" si="15"/>
        <v/>
      </c>
      <c r="I1012" s="29"/>
      <c r="K1012" s="36" t="str">
        <f>IF(ISNUMBER($D1012),IF(YEAR($D1012)=대시보드!$C$2,$D1012+ROW()/100000,""),"")</f>
        <v/>
      </c>
    </row>
    <row r="1013" spans="1:11">
      <c r="A1013" s="33"/>
      <c r="B1013" s="29"/>
      <c r="C1013" s="29"/>
      <c r="D1013" s="30"/>
      <c r="E1013" s="30"/>
      <c r="F1013" s="35"/>
      <c r="G1013" s="35"/>
      <c r="H1013" s="35" t="str">
        <f t="shared" si="15"/>
        <v/>
      </c>
      <c r="I1013" s="29"/>
      <c r="K1013" s="36" t="str">
        <f>IF(ISNUMBER($D1013),IF(YEAR($D1013)=대시보드!$C$2,$D1013+ROW()/100000,""),"")</f>
        <v/>
      </c>
    </row>
    <row r="1014" spans="1:11">
      <c r="A1014" s="33"/>
      <c r="B1014" s="29"/>
      <c r="C1014" s="29"/>
      <c r="D1014" s="30"/>
      <c r="E1014" s="30"/>
      <c r="F1014" s="35"/>
      <c r="G1014" s="35"/>
      <c r="H1014" s="35" t="str">
        <f t="shared" si="15"/>
        <v/>
      </c>
      <c r="I1014" s="29"/>
      <c r="K1014" s="36" t="str">
        <f>IF(ISNUMBER($D1014),IF(YEAR($D1014)=대시보드!$C$2,$D1014+ROW()/100000,""),"")</f>
        <v/>
      </c>
    </row>
    <row r="1015" spans="1:11">
      <c r="A1015" s="33"/>
      <c r="B1015" s="29"/>
      <c r="C1015" s="29"/>
      <c r="D1015" s="30"/>
      <c r="E1015" s="30"/>
      <c r="F1015" s="35"/>
      <c r="G1015" s="35"/>
      <c r="H1015" s="35" t="str">
        <f t="shared" si="15"/>
        <v/>
      </c>
      <c r="I1015" s="29"/>
      <c r="K1015" s="36" t="str">
        <f>IF(ISNUMBER($D1015),IF(YEAR($D1015)=대시보드!$C$2,$D1015+ROW()/100000,""),"")</f>
        <v/>
      </c>
    </row>
    <row r="1016" spans="1:11">
      <c r="A1016" s="33"/>
      <c r="B1016" s="29"/>
      <c r="C1016" s="29"/>
      <c r="D1016" s="30"/>
      <c r="E1016" s="30"/>
      <c r="F1016" s="35"/>
      <c r="G1016" s="35"/>
      <c r="H1016" s="35" t="str">
        <f t="shared" si="15"/>
        <v/>
      </c>
      <c r="I1016" s="29"/>
      <c r="K1016" s="36" t="str">
        <f>IF(ISNUMBER($D1016),IF(YEAR($D1016)=대시보드!$C$2,$D1016+ROW()/100000,""),"")</f>
        <v/>
      </c>
    </row>
    <row r="1017" spans="1:11">
      <c r="A1017" s="33"/>
      <c r="B1017" s="29"/>
      <c r="C1017" s="29"/>
      <c r="D1017" s="30"/>
      <c r="E1017" s="30"/>
      <c r="F1017" s="35"/>
      <c r="G1017" s="35"/>
      <c r="H1017" s="35" t="str">
        <f t="shared" si="15"/>
        <v/>
      </c>
      <c r="I1017" s="29"/>
      <c r="K1017" s="36" t="str">
        <f>IF(ISNUMBER($D1017),IF(YEAR($D1017)=대시보드!$C$2,$D1017+ROW()/100000,""),"")</f>
        <v/>
      </c>
    </row>
    <row r="1018" spans="1:11">
      <c r="A1018" s="33"/>
      <c r="B1018" s="29"/>
      <c r="C1018" s="29"/>
      <c r="D1018" s="30"/>
      <c r="E1018" s="30"/>
      <c r="F1018" s="35"/>
      <c r="G1018" s="35"/>
      <c r="H1018" s="35" t="str">
        <f t="shared" si="15"/>
        <v/>
      </c>
      <c r="I1018" s="29"/>
      <c r="K1018" s="36" t="str">
        <f>IF(ISNUMBER($D1018),IF(YEAR($D1018)=대시보드!$C$2,$D1018+ROW()/100000,""),"")</f>
        <v/>
      </c>
    </row>
    <row r="1019" spans="1:11">
      <c r="A1019" s="33"/>
      <c r="B1019" s="29"/>
      <c r="C1019" s="29"/>
      <c r="D1019" s="30"/>
      <c r="E1019" s="30"/>
      <c r="F1019" s="35"/>
      <c r="G1019" s="35"/>
      <c r="H1019" s="35" t="str">
        <f t="shared" si="15"/>
        <v/>
      </c>
      <c r="I1019" s="29"/>
      <c r="K1019" s="36" t="str">
        <f>IF(ISNUMBER($D1019),IF(YEAR($D1019)=대시보드!$C$2,$D1019+ROW()/100000,""),"")</f>
        <v/>
      </c>
    </row>
    <row r="1020" spans="1:11">
      <c r="A1020" s="33"/>
      <c r="B1020" s="29"/>
      <c r="C1020" s="29"/>
      <c r="D1020" s="30"/>
      <c r="E1020" s="30"/>
      <c r="F1020" s="35"/>
      <c r="G1020" s="35"/>
      <c r="H1020" s="35" t="str">
        <f t="shared" si="15"/>
        <v/>
      </c>
      <c r="I1020" s="29"/>
      <c r="K1020" s="36" t="str">
        <f>IF(ISNUMBER($D1020),IF(YEAR($D1020)=대시보드!$C$2,$D1020+ROW()/100000,""),"")</f>
        <v/>
      </c>
    </row>
    <row r="1021" spans="1:11">
      <c r="A1021" s="33"/>
      <c r="B1021" s="29"/>
      <c r="C1021" s="29"/>
      <c r="D1021" s="30"/>
      <c r="E1021" s="30"/>
      <c r="F1021" s="35"/>
      <c r="G1021" s="35"/>
      <c r="H1021" s="35" t="str">
        <f t="shared" si="15"/>
        <v/>
      </c>
      <c r="I1021" s="29"/>
      <c r="K1021" s="36" t="str">
        <f>IF(ISNUMBER($D1021),IF(YEAR($D1021)=대시보드!$C$2,$D1021+ROW()/100000,""),"")</f>
        <v/>
      </c>
    </row>
    <row r="1022" spans="1:11">
      <c r="A1022" s="33"/>
      <c r="B1022" s="29"/>
      <c r="C1022" s="29"/>
      <c r="D1022" s="30"/>
      <c r="E1022" s="30"/>
      <c r="F1022" s="35"/>
      <c r="G1022" s="35"/>
      <c r="H1022" s="35" t="str">
        <f t="shared" si="15"/>
        <v/>
      </c>
      <c r="I1022" s="29"/>
      <c r="K1022" s="36" t="str">
        <f>IF(ISNUMBER($D1022),IF(YEAR($D1022)=대시보드!$C$2,$D1022+ROW()/100000,""),"")</f>
        <v/>
      </c>
    </row>
    <row r="1023" spans="1:11">
      <c r="A1023" s="33"/>
      <c r="B1023" s="29"/>
      <c r="C1023" s="29"/>
      <c r="D1023" s="30"/>
      <c r="E1023" s="30"/>
      <c r="F1023" s="35"/>
      <c r="G1023" s="35"/>
      <c r="H1023" s="35" t="str">
        <f t="shared" si="15"/>
        <v/>
      </c>
      <c r="I1023" s="29"/>
      <c r="K1023" s="36" t="str">
        <f>IF(ISNUMBER($D1023),IF(YEAR($D1023)=대시보드!$C$2,$D1023+ROW()/100000,""),"")</f>
        <v/>
      </c>
    </row>
    <row r="1024" spans="1:11">
      <c r="A1024" s="33"/>
      <c r="B1024" s="29"/>
      <c r="C1024" s="29"/>
      <c r="D1024" s="30"/>
      <c r="E1024" s="30"/>
      <c r="F1024" s="35"/>
      <c r="G1024" s="35"/>
      <c r="H1024" s="35" t="str">
        <f t="shared" si="15"/>
        <v/>
      </c>
      <c r="I1024" s="29"/>
      <c r="K1024" s="36" t="str">
        <f>IF(ISNUMBER($D1024),IF(YEAR($D1024)=대시보드!$C$2,$D1024+ROW()/100000,""),"")</f>
        <v/>
      </c>
    </row>
    <row r="1025" spans="1:11">
      <c r="A1025" s="33"/>
      <c r="B1025" s="29"/>
      <c r="C1025" s="29"/>
      <c r="D1025" s="30"/>
      <c r="E1025" s="30"/>
      <c r="F1025" s="35"/>
      <c r="G1025" s="35"/>
      <c r="H1025" s="35" t="str">
        <f t="shared" si="15"/>
        <v/>
      </c>
      <c r="I1025" s="29"/>
      <c r="K1025" s="36" t="str">
        <f>IF(ISNUMBER($D1025),IF(YEAR($D1025)=대시보드!$C$2,$D1025+ROW()/100000,""),"")</f>
        <v/>
      </c>
    </row>
    <row r="1026" spans="1:11">
      <c r="A1026" s="33"/>
      <c r="B1026" s="29"/>
      <c r="C1026" s="29"/>
      <c r="D1026" s="30"/>
      <c r="E1026" s="30"/>
      <c r="F1026" s="35"/>
      <c r="G1026" s="35"/>
      <c r="H1026" s="35" t="str">
        <f t="shared" si="15"/>
        <v/>
      </c>
      <c r="I1026" s="29"/>
      <c r="K1026" s="36" t="str">
        <f>IF(ISNUMBER($D1026),IF(YEAR($D1026)=대시보드!$C$2,$D1026+ROW()/100000,""),"")</f>
        <v/>
      </c>
    </row>
    <row r="1027" spans="1:11">
      <c r="A1027" s="33"/>
      <c r="B1027" s="29"/>
      <c r="C1027" s="29"/>
      <c r="D1027" s="30"/>
      <c r="E1027" s="30"/>
      <c r="F1027" s="35"/>
      <c r="G1027" s="35"/>
      <c r="H1027" s="35" t="str">
        <f t="shared" si="15"/>
        <v/>
      </c>
      <c r="I1027" s="29"/>
      <c r="K1027" s="36" t="str">
        <f>IF(ISNUMBER($D1027),IF(YEAR($D1027)=대시보드!$C$2,$D1027+ROW()/100000,""),"")</f>
        <v/>
      </c>
    </row>
    <row r="1028" spans="1:11">
      <c r="A1028" s="33"/>
      <c r="B1028" s="29"/>
      <c r="C1028" s="29"/>
      <c r="D1028" s="30"/>
      <c r="E1028" s="30"/>
      <c r="F1028" s="35"/>
      <c r="G1028" s="35"/>
      <c r="H1028" s="35" t="str">
        <f t="shared" ref="H1028:H1091" si="16">IF(F1028="","",F1028-G1028)</f>
        <v/>
      </c>
      <c r="I1028" s="29"/>
      <c r="K1028" s="36" t="str">
        <f>IF(ISNUMBER($D1028),IF(YEAR($D1028)=대시보드!$C$2,$D1028+ROW()/100000,""),"")</f>
        <v/>
      </c>
    </row>
    <row r="1029" spans="1:11">
      <c r="A1029" s="33"/>
      <c r="B1029" s="29"/>
      <c r="C1029" s="29"/>
      <c r="D1029" s="30"/>
      <c r="E1029" s="30"/>
      <c r="F1029" s="35"/>
      <c r="G1029" s="35"/>
      <c r="H1029" s="35" t="str">
        <f t="shared" si="16"/>
        <v/>
      </c>
      <c r="I1029" s="29"/>
      <c r="K1029" s="36" t="str">
        <f>IF(ISNUMBER($D1029),IF(YEAR($D1029)=대시보드!$C$2,$D1029+ROW()/100000,""),"")</f>
        <v/>
      </c>
    </row>
    <row r="1030" spans="1:11">
      <c r="A1030" s="33"/>
      <c r="B1030" s="29"/>
      <c r="C1030" s="29"/>
      <c r="D1030" s="30"/>
      <c r="E1030" s="30"/>
      <c r="F1030" s="35"/>
      <c r="G1030" s="35"/>
      <c r="H1030" s="35" t="str">
        <f t="shared" si="16"/>
        <v/>
      </c>
      <c r="I1030" s="29"/>
      <c r="K1030" s="36" t="str">
        <f>IF(ISNUMBER($D1030),IF(YEAR($D1030)=대시보드!$C$2,$D1030+ROW()/100000,""),"")</f>
        <v/>
      </c>
    </row>
    <row r="1031" spans="1:11">
      <c r="A1031" s="33"/>
      <c r="B1031" s="29"/>
      <c r="C1031" s="29"/>
      <c r="D1031" s="30"/>
      <c r="E1031" s="30"/>
      <c r="F1031" s="35"/>
      <c r="G1031" s="35"/>
      <c r="H1031" s="35" t="str">
        <f t="shared" si="16"/>
        <v/>
      </c>
      <c r="I1031" s="29"/>
      <c r="K1031" s="36" t="str">
        <f>IF(ISNUMBER($D1031),IF(YEAR($D1031)=대시보드!$C$2,$D1031+ROW()/100000,""),"")</f>
        <v/>
      </c>
    </row>
    <row r="1032" spans="1:11">
      <c r="A1032" s="33"/>
      <c r="B1032" s="29"/>
      <c r="C1032" s="29"/>
      <c r="D1032" s="30"/>
      <c r="E1032" s="30"/>
      <c r="F1032" s="35"/>
      <c r="G1032" s="35"/>
      <c r="H1032" s="35" t="str">
        <f t="shared" si="16"/>
        <v/>
      </c>
      <c r="I1032" s="29"/>
      <c r="K1032" s="36" t="str">
        <f>IF(ISNUMBER($D1032),IF(YEAR($D1032)=대시보드!$C$2,$D1032+ROW()/100000,""),"")</f>
        <v/>
      </c>
    </row>
    <row r="1033" spans="1:11">
      <c r="A1033" s="33"/>
      <c r="B1033" s="29"/>
      <c r="C1033" s="29"/>
      <c r="D1033" s="30"/>
      <c r="E1033" s="30"/>
      <c r="F1033" s="35"/>
      <c r="G1033" s="35"/>
      <c r="H1033" s="35" t="str">
        <f t="shared" si="16"/>
        <v/>
      </c>
      <c r="I1033" s="29"/>
      <c r="K1033" s="36" t="str">
        <f>IF(ISNUMBER($D1033),IF(YEAR($D1033)=대시보드!$C$2,$D1033+ROW()/100000,""),"")</f>
        <v/>
      </c>
    </row>
    <row r="1034" spans="1:11">
      <c r="A1034" s="33"/>
      <c r="B1034" s="29"/>
      <c r="C1034" s="29"/>
      <c r="D1034" s="30"/>
      <c r="E1034" s="30"/>
      <c r="F1034" s="35"/>
      <c r="G1034" s="35"/>
      <c r="H1034" s="35" t="str">
        <f t="shared" si="16"/>
        <v/>
      </c>
      <c r="I1034" s="29"/>
      <c r="K1034" s="36" t="str">
        <f>IF(ISNUMBER($D1034),IF(YEAR($D1034)=대시보드!$C$2,$D1034+ROW()/100000,""),"")</f>
        <v/>
      </c>
    </row>
    <row r="1035" spans="1:11">
      <c r="A1035" s="33"/>
      <c r="B1035" s="29"/>
      <c r="C1035" s="29"/>
      <c r="D1035" s="30"/>
      <c r="E1035" s="30"/>
      <c r="F1035" s="35"/>
      <c r="G1035" s="35"/>
      <c r="H1035" s="35" t="str">
        <f t="shared" si="16"/>
        <v/>
      </c>
      <c r="I1035" s="29"/>
      <c r="K1035" s="36" t="str">
        <f>IF(ISNUMBER($D1035),IF(YEAR($D1035)=대시보드!$C$2,$D1035+ROW()/100000,""),"")</f>
        <v/>
      </c>
    </row>
    <row r="1036" spans="1:11">
      <c r="A1036" s="33"/>
      <c r="B1036" s="29"/>
      <c r="C1036" s="29"/>
      <c r="D1036" s="30"/>
      <c r="E1036" s="30"/>
      <c r="F1036" s="35"/>
      <c r="G1036" s="35"/>
      <c r="H1036" s="35" t="str">
        <f t="shared" si="16"/>
        <v/>
      </c>
      <c r="I1036" s="29"/>
      <c r="K1036" s="36" t="str">
        <f>IF(ISNUMBER($D1036),IF(YEAR($D1036)=대시보드!$C$2,$D1036+ROW()/100000,""),"")</f>
        <v/>
      </c>
    </row>
    <row r="1037" spans="1:11">
      <c r="A1037" s="33"/>
      <c r="B1037" s="29"/>
      <c r="C1037" s="29"/>
      <c r="D1037" s="30"/>
      <c r="E1037" s="30"/>
      <c r="F1037" s="35"/>
      <c r="G1037" s="35"/>
      <c r="H1037" s="35" t="str">
        <f t="shared" si="16"/>
        <v/>
      </c>
      <c r="I1037" s="29"/>
      <c r="K1037" s="36" t="str">
        <f>IF(ISNUMBER($D1037),IF(YEAR($D1037)=대시보드!$C$2,$D1037+ROW()/100000,""),"")</f>
        <v/>
      </c>
    </row>
    <row r="1038" spans="1:11">
      <c r="A1038" s="33"/>
      <c r="B1038" s="29"/>
      <c r="C1038" s="29"/>
      <c r="D1038" s="30"/>
      <c r="E1038" s="30"/>
      <c r="F1038" s="35"/>
      <c r="G1038" s="35"/>
      <c r="H1038" s="35" t="str">
        <f t="shared" si="16"/>
        <v/>
      </c>
      <c r="I1038" s="29"/>
      <c r="K1038" s="36" t="str">
        <f>IF(ISNUMBER($D1038),IF(YEAR($D1038)=대시보드!$C$2,$D1038+ROW()/100000,""),"")</f>
        <v/>
      </c>
    </row>
    <row r="1039" spans="1:11">
      <c r="A1039" s="33"/>
      <c r="B1039" s="29"/>
      <c r="C1039" s="29"/>
      <c r="D1039" s="30"/>
      <c r="E1039" s="30"/>
      <c r="F1039" s="35"/>
      <c r="G1039" s="35"/>
      <c r="H1039" s="35" t="str">
        <f t="shared" si="16"/>
        <v/>
      </c>
      <c r="I1039" s="29"/>
      <c r="K1039" s="36" t="str">
        <f>IF(ISNUMBER($D1039),IF(YEAR($D1039)=대시보드!$C$2,$D1039+ROW()/100000,""),"")</f>
        <v/>
      </c>
    </row>
    <row r="1040" spans="1:11">
      <c r="A1040" s="33"/>
      <c r="B1040" s="29"/>
      <c r="C1040" s="29"/>
      <c r="D1040" s="30"/>
      <c r="E1040" s="30"/>
      <c r="F1040" s="35"/>
      <c r="G1040" s="35"/>
      <c r="H1040" s="35" t="str">
        <f t="shared" si="16"/>
        <v/>
      </c>
      <c r="I1040" s="29"/>
      <c r="K1040" s="36" t="str">
        <f>IF(ISNUMBER($D1040),IF(YEAR($D1040)=대시보드!$C$2,$D1040+ROW()/100000,""),"")</f>
        <v/>
      </c>
    </row>
    <row r="1041" spans="1:11">
      <c r="A1041" s="33"/>
      <c r="B1041" s="29"/>
      <c r="C1041" s="29"/>
      <c r="D1041" s="30"/>
      <c r="E1041" s="30"/>
      <c r="F1041" s="35"/>
      <c r="G1041" s="35"/>
      <c r="H1041" s="35" t="str">
        <f t="shared" si="16"/>
        <v/>
      </c>
      <c r="I1041" s="29"/>
      <c r="K1041" s="36" t="str">
        <f>IF(ISNUMBER($D1041),IF(YEAR($D1041)=대시보드!$C$2,$D1041+ROW()/100000,""),"")</f>
        <v/>
      </c>
    </row>
    <row r="1042" spans="1:11">
      <c r="A1042" s="33"/>
      <c r="B1042" s="29"/>
      <c r="C1042" s="29"/>
      <c r="D1042" s="30"/>
      <c r="E1042" s="30"/>
      <c r="F1042" s="35"/>
      <c r="G1042" s="35"/>
      <c r="H1042" s="35" t="str">
        <f t="shared" si="16"/>
        <v/>
      </c>
      <c r="I1042" s="29"/>
      <c r="K1042" s="36" t="str">
        <f>IF(ISNUMBER($D1042),IF(YEAR($D1042)=대시보드!$C$2,$D1042+ROW()/100000,""),"")</f>
        <v/>
      </c>
    </row>
    <row r="1043" spans="1:11">
      <c r="A1043" s="33"/>
      <c r="B1043" s="29"/>
      <c r="C1043" s="29"/>
      <c r="D1043" s="30"/>
      <c r="E1043" s="30"/>
      <c r="F1043" s="35"/>
      <c r="G1043" s="35"/>
      <c r="H1043" s="35" t="str">
        <f t="shared" si="16"/>
        <v/>
      </c>
      <c r="I1043" s="29"/>
      <c r="K1043" s="36" t="str">
        <f>IF(ISNUMBER($D1043),IF(YEAR($D1043)=대시보드!$C$2,$D1043+ROW()/100000,""),"")</f>
        <v/>
      </c>
    </row>
    <row r="1044" spans="1:11">
      <c r="A1044" s="33"/>
      <c r="B1044" s="29"/>
      <c r="C1044" s="29"/>
      <c r="D1044" s="30"/>
      <c r="E1044" s="30"/>
      <c r="F1044" s="35"/>
      <c r="G1044" s="35"/>
      <c r="H1044" s="35" t="str">
        <f t="shared" si="16"/>
        <v/>
      </c>
      <c r="I1044" s="29"/>
      <c r="K1044" s="36" t="str">
        <f>IF(ISNUMBER($D1044),IF(YEAR($D1044)=대시보드!$C$2,$D1044+ROW()/100000,""),"")</f>
        <v/>
      </c>
    </row>
    <row r="1045" spans="1:11">
      <c r="A1045" s="33"/>
      <c r="B1045" s="29"/>
      <c r="C1045" s="29"/>
      <c r="D1045" s="30"/>
      <c r="E1045" s="30"/>
      <c r="F1045" s="35"/>
      <c r="G1045" s="35"/>
      <c r="H1045" s="35" t="str">
        <f t="shared" si="16"/>
        <v/>
      </c>
      <c r="I1045" s="29"/>
      <c r="K1045" s="36" t="str">
        <f>IF(ISNUMBER($D1045),IF(YEAR($D1045)=대시보드!$C$2,$D1045+ROW()/100000,""),"")</f>
        <v/>
      </c>
    </row>
    <row r="1046" spans="1:11">
      <c r="A1046" s="33"/>
      <c r="B1046" s="29"/>
      <c r="C1046" s="29"/>
      <c r="D1046" s="30"/>
      <c r="E1046" s="30"/>
      <c r="F1046" s="35"/>
      <c r="G1046" s="35"/>
      <c r="H1046" s="35" t="str">
        <f t="shared" si="16"/>
        <v/>
      </c>
      <c r="I1046" s="29"/>
      <c r="K1046" s="36" t="str">
        <f>IF(ISNUMBER($D1046),IF(YEAR($D1046)=대시보드!$C$2,$D1046+ROW()/100000,""),"")</f>
        <v/>
      </c>
    </row>
    <row r="1047" spans="1:11">
      <c r="A1047" s="33"/>
      <c r="B1047" s="29"/>
      <c r="C1047" s="29"/>
      <c r="D1047" s="30"/>
      <c r="E1047" s="30"/>
      <c r="F1047" s="35"/>
      <c r="G1047" s="35"/>
      <c r="H1047" s="35" t="str">
        <f t="shared" si="16"/>
        <v/>
      </c>
      <c r="I1047" s="29"/>
      <c r="K1047" s="36" t="str">
        <f>IF(ISNUMBER($D1047),IF(YEAR($D1047)=대시보드!$C$2,$D1047+ROW()/100000,""),"")</f>
        <v/>
      </c>
    </row>
    <row r="1048" spans="1:11">
      <c r="A1048" s="33"/>
      <c r="B1048" s="29"/>
      <c r="C1048" s="29"/>
      <c r="D1048" s="30"/>
      <c r="E1048" s="30"/>
      <c r="F1048" s="35"/>
      <c r="G1048" s="35"/>
      <c r="H1048" s="35" t="str">
        <f t="shared" si="16"/>
        <v/>
      </c>
      <c r="I1048" s="29"/>
      <c r="K1048" s="36" t="str">
        <f>IF(ISNUMBER($D1048),IF(YEAR($D1048)=대시보드!$C$2,$D1048+ROW()/100000,""),"")</f>
        <v/>
      </c>
    </row>
    <row r="1049" spans="1:11">
      <c r="A1049" s="33"/>
      <c r="B1049" s="29"/>
      <c r="C1049" s="29"/>
      <c r="D1049" s="30"/>
      <c r="E1049" s="30"/>
      <c r="F1049" s="35"/>
      <c r="G1049" s="35"/>
      <c r="H1049" s="35" t="str">
        <f t="shared" si="16"/>
        <v/>
      </c>
      <c r="I1049" s="29"/>
      <c r="K1049" s="36" t="str">
        <f>IF(ISNUMBER($D1049),IF(YEAR($D1049)=대시보드!$C$2,$D1049+ROW()/100000,""),"")</f>
        <v/>
      </c>
    </row>
    <row r="1050" spans="1:11">
      <c r="A1050" s="33"/>
      <c r="B1050" s="29"/>
      <c r="C1050" s="29"/>
      <c r="D1050" s="30"/>
      <c r="E1050" s="30"/>
      <c r="F1050" s="35"/>
      <c r="G1050" s="35"/>
      <c r="H1050" s="35" t="str">
        <f t="shared" si="16"/>
        <v/>
      </c>
      <c r="I1050" s="29"/>
      <c r="K1050" s="36" t="str">
        <f>IF(ISNUMBER($D1050),IF(YEAR($D1050)=대시보드!$C$2,$D1050+ROW()/100000,""),"")</f>
        <v/>
      </c>
    </row>
    <row r="1051" spans="1:11">
      <c r="A1051" s="33"/>
      <c r="B1051" s="29"/>
      <c r="C1051" s="29"/>
      <c r="D1051" s="30"/>
      <c r="E1051" s="30"/>
      <c r="F1051" s="35"/>
      <c r="G1051" s="35"/>
      <c r="H1051" s="35" t="str">
        <f t="shared" si="16"/>
        <v/>
      </c>
      <c r="I1051" s="29"/>
      <c r="K1051" s="36" t="str">
        <f>IF(ISNUMBER($D1051),IF(YEAR($D1051)=대시보드!$C$2,$D1051+ROW()/100000,""),"")</f>
        <v/>
      </c>
    </row>
    <row r="1052" spans="1:11">
      <c r="A1052" s="33"/>
      <c r="B1052" s="29"/>
      <c r="C1052" s="29"/>
      <c r="D1052" s="30"/>
      <c r="E1052" s="30"/>
      <c r="F1052" s="35"/>
      <c r="G1052" s="35"/>
      <c r="H1052" s="35" t="str">
        <f t="shared" si="16"/>
        <v/>
      </c>
      <c r="I1052" s="29"/>
      <c r="K1052" s="36" t="str">
        <f>IF(ISNUMBER($D1052),IF(YEAR($D1052)=대시보드!$C$2,$D1052+ROW()/100000,""),"")</f>
        <v/>
      </c>
    </row>
    <row r="1053" spans="1:11">
      <c r="A1053" s="33"/>
      <c r="B1053" s="29"/>
      <c r="C1053" s="29"/>
      <c r="D1053" s="30"/>
      <c r="E1053" s="30"/>
      <c r="F1053" s="35"/>
      <c r="G1053" s="35"/>
      <c r="H1053" s="35" t="str">
        <f t="shared" si="16"/>
        <v/>
      </c>
      <c r="I1053" s="29"/>
      <c r="K1053" s="36" t="str">
        <f>IF(ISNUMBER($D1053),IF(YEAR($D1053)=대시보드!$C$2,$D1053+ROW()/100000,""),"")</f>
        <v/>
      </c>
    </row>
    <row r="1054" spans="1:11">
      <c r="A1054" s="33"/>
      <c r="B1054" s="29"/>
      <c r="C1054" s="29"/>
      <c r="D1054" s="30"/>
      <c r="E1054" s="30"/>
      <c r="F1054" s="35"/>
      <c r="G1054" s="35"/>
      <c r="H1054" s="35" t="str">
        <f t="shared" si="16"/>
        <v/>
      </c>
      <c r="I1054" s="29"/>
      <c r="K1054" s="36" t="str">
        <f>IF(ISNUMBER($D1054),IF(YEAR($D1054)=대시보드!$C$2,$D1054+ROW()/100000,""),"")</f>
        <v/>
      </c>
    </row>
    <row r="1055" spans="1:11">
      <c r="A1055" s="33"/>
      <c r="B1055" s="29"/>
      <c r="C1055" s="29"/>
      <c r="D1055" s="30"/>
      <c r="E1055" s="30"/>
      <c r="F1055" s="35"/>
      <c r="G1055" s="35"/>
      <c r="H1055" s="35" t="str">
        <f t="shared" si="16"/>
        <v/>
      </c>
      <c r="I1055" s="29"/>
      <c r="K1055" s="36" t="str">
        <f>IF(ISNUMBER($D1055),IF(YEAR($D1055)=대시보드!$C$2,$D1055+ROW()/100000,""),"")</f>
        <v/>
      </c>
    </row>
    <row r="1056" spans="1:11">
      <c r="A1056" s="33"/>
      <c r="B1056" s="29"/>
      <c r="C1056" s="29"/>
      <c r="D1056" s="30"/>
      <c r="E1056" s="30"/>
      <c r="F1056" s="35"/>
      <c r="G1056" s="35"/>
      <c r="H1056" s="35" t="str">
        <f t="shared" si="16"/>
        <v/>
      </c>
      <c r="I1056" s="29"/>
      <c r="K1056" s="36" t="str">
        <f>IF(ISNUMBER($D1056),IF(YEAR($D1056)=대시보드!$C$2,$D1056+ROW()/100000,""),"")</f>
        <v/>
      </c>
    </row>
    <row r="1057" spans="1:11">
      <c r="A1057" s="33"/>
      <c r="B1057" s="29"/>
      <c r="C1057" s="29"/>
      <c r="D1057" s="30"/>
      <c r="E1057" s="30"/>
      <c r="F1057" s="35"/>
      <c r="G1057" s="35"/>
      <c r="H1057" s="35" t="str">
        <f t="shared" si="16"/>
        <v/>
      </c>
      <c r="I1057" s="29"/>
      <c r="K1057" s="36" t="str">
        <f>IF(ISNUMBER($D1057),IF(YEAR($D1057)=대시보드!$C$2,$D1057+ROW()/100000,""),"")</f>
        <v/>
      </c>
    </row>
    <row r="1058" spans="1:11">
      <c r="A1058" s="33"/>
      <c r="B1058" s="29"/>
      <c r="C1058" s="29"/>
      <c r="D1058" s="30"/>
      <c r="E1058" s="30"/>
      <c r="F1058" s="35"/>
      <c r="G1058" s="35"/>
      <c r="H1058" s="35" t="str">
        <f t="shared" si="16"/>
        <v/>
      </c>
      <c r="I1058" s="29"/>
      <c r="K1058" s="36" t="str">
        <f>IF(ISNUMBER($D1058),IF(YEAR($D1058)=대시보드!$C$2,$D1058+ROW()/100000,""),"")</f>
        <v/>
      </c>
    </row>
    <row r="1059" spans="1:11">
      <c r="A1059" s="33"/>
      <c r="B1059" s="29"/>
      <c r="C1059" s="29"/>
      <c r="D1059" s="30"/>
      <c r="E1059" s="30"/>
      <c r="F1059" s="35"/>
      <c r="G1059" s="35"/>
      <c r="H1059" s="35" t="str">
        <f t="shared" si="16"/>
        <v/>
      </c>
      <c r="I1059" s="29"/>
      <c r="K1059" s="36" t="str">
        <f>IF(ISNUMBER($D1059),IF(YEAR($D1059)=대시보드!$C$2,$D1059+ROW()/100000,""),"")</f>
        <v/>
      </c>
    </row>
    <row r="1060" spans="1:11">
      <c r="A1060" s="33"/>
      <c r="B1060" s="29"/>
      <c r="C1060" s="29"/>
      <c r="D1060" s="30"/>
      <c r="E1060" s="30"/>
      <c r="F1060" s="35"/>
      <c r="G1060" s="35"/>
      <c r="H1060" s="35" t="str">
        <f t="shared" si="16"/>
        <v/>
      </c>
      <c r="I1060" s="29"/>
      <c r="K1060" s="36" t="str">
        <f>IF(ISNUMBER($D1060),IF(YEAR($D1060)=대시보드!$C$2,$D1060+ROW()/100000,""),"")</f>
        <v/>
      </c>
    </row>
    <row r="1061" spans="1:11">
      <c r="A1061" s="33"/>
      <c r="B1061" s="29"/>
      <c r="C1061" s="29"/>
      <c r="D1061" s="30"/>
      <c r="E1061" s="30"/>
      <c r="F1061" s="35"/>
      <c r="G1061" s="35"/>
      <c r="H1061" s="35" t="str">
        <f t="shared" si="16"/>
        <v/>
      </c>
      <c r="I1061" s="29"/>
      <c r="K1061" s="36" t="str">
        <f>IF(ISNUMBER($D1061),IF(YEAR($D1061)=대시보드!$C$2,$D1061+ROW()/100000,""),"")</f>
        <v/>
      </c>
    </row>
    <row r="1062" spans="1:11">
      <c r="A1062" s="33"/>
      <c r="B1062" s="29"/>
      <c r="C1062" s="29"/>
      <c r="D1062" s="30"/>
      <c r="E1062" s="30"/>
      <c r="F1062" s="35"/>
      <c r="G1062" s="35"/>
      <c r="H1062" s="35" t="str">
        <f t="shared" si="16"/>
        <v/>
      </c>
      <c r="I1062" s="29"/>
      <c r="K1062" s="36" t="str">
        <f>IF(ISNUMBER($D1062),IF(YEAR($D1062)=대시보드!$C$2,$D1062+ROW()/100000,""),"")</f>
        <v/>
      </c>
    </row>
    <row r="1063" spans="1:11">
      <c r="A1063" s="33"/>
      <c r="B1063" s="29"/>
      <c r="C1063" s="29"/>
      <c r="D1063" s="30"/>
      <c r="E1063" s="30"/>
      <c r="F1063" s="35"/>
      <c r="G1063" s="35"/>
      <c r="H1063" s="35" t="str">
        <f t="shared" si="16"/>
        <v/>
      </c>
      <c r="I1063" s="29"/>
      <c r="K1063" s="36" t="str">
        <f>IF(ISNUMBER($D1063),IF(YEAR($D1063)=대시보드!$C$2,$D1063+ROW()/100000,""),"")</f>
        <v/>
      </c>
    </row>
    <row r="1064" spans="1:11">
      <c r="A1064" s="33"/>
      <c r="B1064" s="29"/>
      <c r="C1064" s="29"/>
      <c r="D1064" s="30"/>
      <c r="E1064" s="30"/>
      <c r="F1064" s="35"/>
      <c r="G1064" s="35"/>
      <c r="H1064" s="35" t="str">
        <f t="shared" si="16"/>
        <v/>
      </c>
      <c r="I1064" s="29"/>
      <c r="K1064" s="36" t="str">
        <f>IF(ISNUMBER($D1064),IF(YEAR($D1064)=대시보드!$C$2,$D1064+ROW()/100000,""),"")</f>
        <v/>
      </c>
    </row>
    <row r="1065" spans="1:11">
      <c r="A1065" s="33"/>
      <c r="B1065" s="29"/>
      <c r="C1065" s="29"/>
      <c r="D1065" s="30"/>
      <c r="E1065" s="30"/>
      <c r="F1065" s="35"/>
      <c r="G1065" s="35"/>
      <c r="H1065" s="35" t="str">
        <f t="shared" si="16"/>
        <v/>
      </c>
      <c r="I1065" s="29"/>
      <c r="K1065" s="36" t="str">
        <f>IF(ISNUMBER($D1065),IF(YEAR($D1065)=대시보드!$C$2,$D1065+ROW()/100000,""),"")</f>
        <v/>
      </c>
    </row>
    <row r="1066" spans="1:11">
      <c r="A1066" s="33"/>
      <c r="B1066" s="29"/>
      <c r="C1066" s="29"/>
      <c r="D1066" s="30"/>
      <c r="E1066" s="30"/>
      <c r="F1066" s="35"/>
      <c r="G1066" s="35"/>
      <c r="H1066" s="35" t="str">
        <f t="shared" si="16"/>
        <v/>
      </c>
      <c r="I1066" s="29"/>
      <c r="K1066" s="36" t="str">
        <f>IF(ISNUMBER($D1066),IF(YEAR($D1066)=대시보드!$C$2,$D1066+ROW()/100000,""),"")</f>
        <v/>
      </c>
    </row>
    <row r="1067" spans="1:11">
      <c r="A1067" s="33"/>
      <c r="B1067" s="29"/>
      <c r="C1067" s="29"/>
      <c r="D1067" s="30"/>
      <c r="E1067" s="30"/>
      <c r="F1067" s="35"/>
      <c r="G1067" s="35"/>
      <c r="H1067" s="35" t="str">
        <f t="shared" si="16"/>
        <v/>
      </c>
      <c r="I1067" s="29"/>
      <c r="K1067" s="36" t="str">
        <f>IF(ISNUMBER($D1067),IF(YEAR($D1067)=대시보드!$C$2,$D1067+ROW()/100000,""),"")</f>
        <v/>
      </c>
    </row>
    <row r="1068" spans="1:11">
      <c r="A1068" s="33"/>
      <c r="B1068" s="29"/>
      <c r="C1068" s="29"/>
      <c r="D1068" s="30"/>
      <c r="E1068" s="30"/>
      <c r="F1068" s="35"/>
      <c r="G1068" s="35"/>
      <c r="H1068" s="35" t="str">
        <f t="shared" si="16"/>
        <v/>
      </c>
      <c r="I1068" s="29"/>
      <c r="K1068" s="36" t="str">
        <f>IF(ISNUMBER($D1068),IF(YEAR($D1068)=대시보드!$C$2,$D1068+ROW()/100000,""),"")</f>
        <v/>
      </c>
    </row>
    <row r="1069" spans="1:11">
      <c r="A1069" s="33"/>
      <c r="B1069" s="29"/>
      <c r="C1069" s="29"/>
      <c r="D1069" s="30"/>
      <c r="E1069" s="30"/>
      <c r="F1069" s="35"/>
      <c r="G1069" s="35"/>
      <c r="H1069" s="35" t="str">
        <f t="shared" si="16"/>
        <v/>
      </c>
      <c r="I1069" s="29"/>
      <c r="K1069" s="36" t="str">
        <f>IF(ISNUMBER($D1069),IF(YEAR($D1069)=대시보드!$C$2,$D1069+ROW()/100000,""),"")</f>
        <v/>
      </c>
    </row>
    <row r="1070" spans="1:11">
      <c r="A1070" s="33"/>
      <c r="B1070" s="29"/>
      <c r="C1070" s="29"/>
      <c r="D1070" s="30"/>
      <c r="E1070" s="30"/>
      <c r="F1070" s="35"/>
      <c r="G1070" s="35"/>
      <c r="H1070" s="35" t="str">
        <f t="shared" si="16"/>
        <v/>
      </c>
      <c r="I1070" s="29"/>
      <c r="K1070" s="36" t="str">
        <f>IF(ISNUMBER($D1070),IF(YEAR($D1070)=대시보드!$C$2,$D1070+ROW()/100000,""),"")</f>
        <v/>
      </c>
    </row>
    <row r="1071" spans="1:11">
      <c r="A1071" s="33"/>
      <c r="B1071" s="29"/>
      <c r="C1071" s="29"/>
      <c r="D1071" s="30"/>
      <c r="E1071" s="30"/>
      <c r="F1071" s="35"/>
      <c r="G1071" s="35"/>
      <c r="H1071" s="35" t="str">
        <f t="shared" si="16"/>
        <v/>
      </c>
      <c r="I1071" s="29"/>
      <c r="K1071" s="36" t="str">
        <f>IF(ISNUMBER($D1071),IF(YEAR($D1071)=대시보드!$C$2,$D1071+ROW()/100000,""),"")</f>
        <v/>
      </c>
    </row>
    <row r="1072" spans="1:11">
      <c r="A1072" s="33"/>
      <c r="B1072" s="29"/>
      <c r="C1072" s="29"/>
      <c r="D1072" s="30"/>
      <c r="E1072" s="30"/>
      <c r="F1072" s="35"/>
      <c r="G1072" s="35"/>
      <c r="H1072" s="35" t="str">
        <f t="shared" si="16"/>
        <v/>
      </c>
      <c r="I1072" s="29"/>
      <c r="K1072" s="36" t="str">
        <f>IF(ISNUMBER($D1072),IF(YEAR($D1072)=대시보드!$C$2,$D1072+ROW()/100000,""),"")</f>
        <v/>
      </c>
    </row>
    <row r="1073" spans="1:11">
      <c r="A1073" s="33"/>
      <c r="B1073" s="29"/>
      <c r="C1073" s="29"/>
      <c r="D1073" s="30"/>
      <c r="E1073" s="30"/>
      <c r="F1073" s="35"/>
      <c r="G1073" s="35"/>
      <c r="H1073" s="35" t="str">
        <f t="shared" si="16"/>
        <v/>
      </c>
      <c r="I1073" s="29"/>
      <c r="K1073" s="36" t="str">
        <f>IF(ISNUMBER($D1073),IF(YEAR($D1073)=대시보드!$C$2,$D1073+ROW()/100000,""),"")</f>
        <v/>
      </c>
    </row>
    <row r="1074" spans="1:11">
      <c r="A1074" s="33"/>
      <c r="B1074" s="29"/>
      <c r="C1074" s="29"/>
      <c r="D1074" s="30"/>
      <c r="E1074" s="30"/>
      <c r="F1074" s="35"/>
      <c r="G1074" s="35"/>
      <c r="H1074" s="35" t="str">
        <f t="shared" si="16"/>
        <v/>
      </c>
      <c r="I1074" s="29"/>
      <c r="K1074" s="36" t="str">
        <f>IF(ISNUMBER($D1074),IF(YEAR($D1074)=대시보드!$C$2,$D1074+ROW()/100000,""),"")</f>
        <v/>
      </c>
    </row>
    <row r="1075" spans="1:11">
      <c r="A1075" s="33"/>
      <c r="B1075" s="29"/>
      <c r="C1075" s="29"/>
      <c r="D1075" s="30"/>
      <c r="E1075" s="30"/>
      <c r="F1075" s="35"/>
      <c r="G1075" s="35"/>
      <c r="H1075" s="35" t="str">
        <f t="shared" si="16"/>
        <v/>
      </c>
      <c r="I1075" s="29"/>
      <c r="K1075" s="36" t="str">
        <f>IF(ISNUMBER($D1075),IF(YEAR($D1075)=대시보드!$C$2,$D1075+ROW()/100000,""),"")</f>
        <v/>
      </c>
    </row>
    <row r="1076" spans="1:11">
      <c r="A1076" s="33"/>
      <c r="B1076" s="29"/>
      <c r="C1076" s="29"/>
      <c r="D1076" s="30"/>
      <c r="E1076" s="30"/>
      <c r="F1076" s="35"/>
      <c r="G1076" s="35"/>
      <c r="H1076" s="35" t="str">
        <f t="shared" si="16"/>
        <v/>
      </c>
      <c r="I1076" s="29"/>
      <c r="K1076" s="36" t="str">
        <f>IF(ISNUMBER($D1076),IF(YEAR($D1076)=대시보드!$C$2,$D1076+ROW()/100000,""),"")</f>
        <v/>
      </c>
    </row>
    <row r="1077" spans="1:11">
      <c r="A1077" s="33"/>
      <c r="B1077" s="29"/>
      <c r="C1077" s="29"/>
      <c r="D1077" s="30"/>
      <c r="E1077" s="30"/>
      <c r="F1077" s="35"/>
      <c r="G1077" s="35"/>
      <c r="H1077" s="35" t="str">
        <f t="shared" si="16"/>
        <v/>
      </c>
      <c r="I1077" s="29"/>
      <c r="K1077" s="36" t="str">
        <f>IF(ISNUMBER($D1077),IF(YEAR($D1077)=대시보드!$C$2,$D1077+ROW()/100000,""),"")</f>
        <v/>
      </c>
    </row>
    <row r="1078" spans="1:11">
      <c r="A1078" s="33"/>
      <c r="B1078" s="29"/>
      <c r="C1078" s="29"/>
      <c r="D1078" s="30"/>
      <c r="E1078" s="30"/>
      <c r="F1078" s="35"/>
      <c r="G1078" s="35"/>
      <c r="H1078" s="35" t="str">
        <f t="shared" si="16"/>
        <v/>
      </c>
      <c r="I1078" s="29"/>
      <c r="K1078" s="36" t="str">
        <f>IF(ISNUMBER($D1078),IF(YEAR($D1078)=대시보드!$C$2,$D1078+ROW()/100000,""),"")</f>
        <v/>
      </c>
    </row>
    <row r="1079" spans="1:11">
      <c r="A1079" s="33"/>
      <c r="B1079" s="29"/>
      <c r="C1079" s="29"/>
      <c r="D1079" s="30"/>
      <c r="E1079" s="30"/>
      <c r="F1079" s="35"/>
      <c r="G1079" s="35"/>
      <c r="H1079" s="35" t="str">
        <f t="shared" si="16"/>
        <v/>
      </c>
      <c r="I1079" s="29"/>
      <c r="K1079" s="36" t="str">
        <f>IF(ISNUMBER($D1079),IF(YEAR($D1079)=대시보드!$C$2,$D1079+ROW()/100000,""),"")</f>
        <v/>
      </c>
    </row>
    <row r="1080" spans="1:11">
      <c r="A1080" s="33"/>
      <c r="B1080" s="29"/>
      <c r="C1080" s="29"/>
      <c r="D1080" s="30"/>
      <c r="E1080" s="30"/>
      <c r="F1080" s="35"/>
      <c r="G1080" s="35"/>
      <c r="H1080" s="35" t="str">
        <f t="shared" si="16"/>
        <v/>
      </c>
      <c r="I1080" s="29"/>
      <c r="K1080" s="36" t="str">
        <f>IF(ISNUMBER($D1080),IF(YEAR($D1080)=대시보드!$C$2,$D1080+ROW()/100000,""),"")</f>
        <v/>
      </c>
    </row>
    <row r="1081" spans="1:11">
      <c r="A1081" s="33"/>
      <c r="B1081" s="29"/>
      <c r="C1081" s="29"/>
      <c r="D1081" s="30"/>
      <c r="E1081" s="30"/>
      <c r="F1081" s="35"/>
      <c r="G1081" s="35"/>
      <c r="H1081" s="35" t="str">
        <f t="shared" si="16"/>
        <v/>
      </c>
      <c r="I1081" s="29"/>
      <c r="K1081" s="36" t="str">
        <f>IF(ISNUMBER($D1081),IF(YEAR($D1081)=대시보드!$C$2,$D1081+ROW()/100000,""),"")</f>
        <v/>
      </c>
    </row>
    <row r="1082" spans="1:11">
      <c r="A1082" s="33"/>
      <c r="B1082" s="29"/>
      <c r="C1082" s="29"/>
      <c r="D1082" s="30"/>
      <c r="E1082" s="30"/>
      <c r="F1082" s="35"/>
      <c r="G1082" s="35"/>
      <c r="H1082" s="35" t="str">
        <f t="shared" si="16"/>
        <v/>
      </c>
      <c r="I1082" s="29"/>
      <c r="K1082" s="36" t="str">
        <f>IF(ISNUMBER($D1082),IF(YEAR($D1082)=대시보드!$C$2,$D1082+ROW()/100000,""),"")</f>
        <v/>
      </c>
    </row>
    <row r="1083" spans="1:11">
      <c r="A1083" s="33"/>
      <c r="B1083" s="29"/>
      <c r="C1083" s="29"/>
      <c r="D1083" s="30"/>
      <c r="E1083" s="30"/>
      <c r="F1083" s="35"/>
      <c r="G1083" s="35"/>
      <c r="H1083" s="35" t="str">
        <f t="shared" si="16"/>
        <v/>
      </c>
      <c r="I1083" s="29"/>
      <c r="K1083" s="36" t="str">
        <f>IF(ISNUMBER($D1083),IF(YEAR($D1083)=대시보드!$C$2,$D1083+ROW()/100000,""),"")</f>
        <v/>
      </c>
    </row>
    <row r="1084" spans="1:11">
      <c r="A1084" s="33"/>
      <c r="B1084" s="29"/>
      <c r="C1084" s="29"/>
      <c r="D1084" s="30"/>
      <c r="E1084" s="30"/>
      <c r="F1084" s="35"/>
      <c r="G1084" s="35"/>
      <c r="H1084" s="35" t="str">
        <f t="shared" si="16"/>
        <v/>
      </c>
      <c r="I1084" s="29"/>
      <c r="K1084" s="36" t="str">
        <f>IF(ISNUMBER($D1084),IF(YEAR($D1084)=대시보드!$C$2,$D1084+ROW()/100000,""),"")</f>
        <v/>
      </c>
    </row>
    <row r="1085" spans="1:11">
      <c r="A1085" s="33"/>
      <c r="B1085" s="29"/>
      <c r="C1085" s="29"/>
      <c r="D1085" s="30"/>
      <c r="E1085" s="30"/>
      <c r="F1085" s="35"/>
      <c r="G1085" s="35"/>
      <c r="H1085" s="35" t="str">
        <f t="shared" si="16"/>
        <v/>
      </c>
      <c r="I1085" s="29"/>
      <c r="K1085" s="36" t="str">
        <f>IF(ISNUMBER($D1085),IF(YEAR($D1085)=대시보드!$C$2,$D1085+ROW()/100000,""),"")</f>
        <v/>
      </c>
    </row>
    <row r="1086" spans="1:11">
      <c r="A1086" s="33"/>
      <c r="B1086" s="29"/>
      <c r="C1086" s="29"/>
      <c r="D1086" s="30"/>
      <c r="E1086" s="30"/>
      <c r="F1086" s="35"/>
      <c r="G1086" s="35"/>
      <c r="H1086" s="35" t="str">
        <f t="shared" si="16"/>
        <v/>
      </c>
      <c r="I1086" s="29"/>
      <c r="K1086" s="36" t="str">
        <f>IF(ISNUMBER($D1086),IF(YEAR($D1086)=대시보드!$C$2,$D1086+ROW()/100000,""),"")</f>
        <v/>
      </c>
    </row>
    <row r="1087" spans="1:11">
      <c r="A1087" s="33"/>
      <c r="B1087" s="29"/>
      <c r="C1087" s="29"/>
      <c r="D1087" s="30"/>
      <c r="E1087" s="30"/>
      <c r="F1087" s="35"/>
      <c r="G1087" s="35"/>
      <c r="H1087" s="35" t="str">
        <f t="shared" si="16"/>
        <v/>
      </c>
      <c r="I1087" s="29"/>
      <c r="K1087" s="36" t="str">
        <f>IF(ISNUMBER($D1087),IF(YEAR($D1087)=대시보드!$C$2,$D1087+ROW()/100000,""),"")</f>
        <v/>
      </c>
    </row>
    <row r="1088" spans="1:11">
      <c r="A1088" s="33"/>
      <c r="B1088" s="29"/>
      <c r="C1088" s="29"/>
      <c r="D1088" s="30"/>
      <c r="E1088" s="30"/>
      <c r="F1088" s="35"/>
      <c r="G1088" s="35"/>
      <c r="H1088" s="35" t="str">
        <f t="shared" si="16"/>
        <v/>
      </c>
      <c r="I1088" s="29"/>
      <c r="K1088" s="36" t="str">
        <f>IF(ISNUMBER($D1088),IF(YEAR($D1088)=대시보드!$C$2,$D1088+ROW()/100000,""),"")</f>
        <v/>
      </c>
    </row>
    <row r="1089" spans="1:11">
      <c r="A1089" s="33"/>
      <c r="B1089" s="29"/>
      <c r="C1089" s="29"/>
      <c r="D1089" s="30"/>
      <c r="E1089" s="30"/>
      <c r="F1089" s="35"/>
      <c r="G1089" s="35"/>
      <c r="H1089" s="35" t="str">
        <f t="shared" si="16"/>
        <v/>
      </c>
      <c r="I1089" s="29"/>
      <c r="K1089" s="36" t="str">
        <f>IF(ISNUMBER($D1089),IF(YEAR($D1089)=대시보드!$C$2,$D1089+ROW()/100000,""),"")</f>
        <v/>
      </c>
    </row>
    <row r="1090" spans="1:11">
      <c r="A1090" s="33"/>
      <c r="B1090" s="29"/>
      <c r="C1090" s="29"/>
      <c r="D1090" s="30"/>
      <c r="E1090" s="30"/>
      <c r="F1090" s="35"/>
      <c r="G1090" s="35"/>
      <c r="H1090" s="35" t="str">
        <f t="shared" si="16"/>
        <v/>
      </c>
      <c r="I1090" s="29"/>
      <c r="K1090" s="36" t="str">
        <f>IF(ISNUMBER($D1090),IF(YEAR($D1090)=대시보드!$C$2,$D1090+ROW()/100000,""),"")</f>
        <v/>
      </c>
    </row>
    <row r="1091" spans="1:11">
      <c r="A1091" s="33"/>
      <c r="B1091" s="29"/>
      <c r="C1091" s="29"/>
      <c r="D1091" s="30"/>
      <c r="E1091" s="30"/>
      <c r="F1091" s="35"/>
      <c r="G1091" s="35"/>
      <c r="H1091" s="35" t="str">
        <f t="shared" si="16"/>
        <v/>
      </c>
      <c r="I1091" s="29"/>
      <c r="K1091" s="36" t="str">
        <f>IF(ISNUMBER($D1091),IF(YEAR($D1091)=대시보드!$C$2,$D1091+ROW()/100000,""),"")</f>
        <v/>
      </c>
    </row>
    <row r="1092" spans="1:11">
      <c r="A1092" s="33"/>
      <c r="B1092" s="29"/>
      <c r="C1092" s="29"/>
      <c r="D1092" s="30"/>
      <c r="E1092" s="30"/>
      <c r="F1092" s="35"/>
      <c r="G1092" s="35"/>
      <c r="H1092" s="35" t="str">
        <f t="shared" ref="H1092:H1155" si="17">IF(F1092="","",F1092-G1092)</f>
        <v/>
      </c>
      <c r="I1092" s="29"/>
      <c r="K1092" s="36" t="str">
        <f>IF(ISNUMBER($D1092),IF(YEAR($D1092)=대시보드!$C$2,$D1092+ROW()/100000,""),"")</f>
        <v/>
      </c>
    </row>
    <row r="1093" spans="1:11">
      <c r="A1093" s="33"/>
      <c r="B1093" s="29"/>
      <c r="C1093" s="29"/>
      <c r="D1093" s="30"/>
      <c r="E1093" s="30"/>
      <c r="F1093" s="35"/>
      <c r="G1093" s="35"/>
      <c r="H1093" s="35" t="str">
        <f t="shared" si="17"/>
        <v/>
      </c>
      <c r="I1093" s="29"/>
      <c r="K1093" s="36" t="str">
        <f>IF(ISNUMBER($D1093),IF(YEAR($D1093)=대시보드!$C$2,$D1093+ROW()/100000,""),"")</f>
        <v/>
      </c>
    </row>
    <row r="1094" spans="1:11">
      <c r="A1094" s="33"/>
      <c r="B1094" s="29"/>
      <c r="C1094" s="29"/>
      <c r="D1094" s="30"/>
      <c r="E1094" s="30"/>
      <c r="F1094" s="35"/>
      <c r="G1094" s="35"/>
      <c r="H1094" s="35" t="str">
        <f t="shared" si="17"/>
        <v/>
      </c>
      <c r="I1094" s="29"/>
      <c r="K1094" s="36" t="str">
        <f>IF(ISNUMBER($D1094),IF(YEAR($D1094)=대시보드!$C$2,$D1094+ROW()/100000,""),"")</f>
        <v/>
      </c>
    </row>
    <row r="1095" spans="1:11">
      <c r="A1095" s="33"/>
      <c r="B1095" s="29"/>
      <c r="C1095" s="29"/>
      <c r="D1095" s="30"/>
      <c r="E1095" s="30"/>
      <c r="F1095" s="35"/>
      <c r="G1095" s="35"/>
      <c r="H1095" s="35" t="str">
        <f t="shared" si="17"/>
        <v/>
      </c>
      <c r="I1095" s="29"/>
      <c r="K1095" s="36" t="str">
        <f>IF(ISNUMBER($D1095),IF(YEAR($D1095)=대시보드!$C$2,$D1095+ROW()/100000,""),"")</f>
        <v/>
      </c>
    </row>
    <row r="1096" spans="1:11">
      <c r="A1096" s="33"/>
      <c r="B1096" s="29"/>
      <c r="C1096" s="29"/>
      <c r="D1096" s="30"/>
      <c r="E1096" s="30"/>
      <c r="F1096" s="35"/>
      <c r="G1096" s="35"/>
      <c r="H1096" s="35" t="str">
        <f t="shared" si="17"/>
        <v/>
      </c>
      <c r="I1096" s="29"/>
      <c r="K1096" s="36" t="str">
        <f>IF(ISNUMBER($D1096),IF(YEAR($D1096)=대시보드!$C$2,$D1096+ROW()/100000,""),"")</f>
        <v/>
      </c>
    </row>
    <row r="1097" spans="1:11">
      <c r="A1097" s="33"/>
      <c r="B1097" s="29"/>
      <c r="C1097" s="29"/>
      <c r="D1097" s="30"/>
      <c r="E1097" s="30"/>
      <c r="F1097" s="35"/>
      <c r="G1097" s="35"/>
      <c r="H1097" s="35" t="str">
        <f t="shared" si="17"/>
        <v/>
      </c>
      <c r="I1097" s="29"/>
      <c r="K1097" s="36" t="str">
        <f>IF(ISNUMBER($D1097),IF(YEAR($D1097)=대시보드!$C$2,$D1097+ROW()/100000,""),"")</f>
        <v/>
      </c>
    </row>
    <row r="1098" spans="1:11">
      <c r="A1098" s="33"/>
      <c r="B1098" s="29"/>
      <c r="C1098" s="29"/>
      <c r="D1098" s="30"/>
      <c r="E1098" s="30"/>
      <c r="F1098" s="35"/>
      <c r="G1098" s="35"/>
      <c r="H1098" s="35" t="str">
        <f t="shared" si="17"/>
        <v/>
      </c>
      <c r="I1098" s="29"/>
      <c r="K1098" s="36" t="str">
        <f>IF(ISNUMBER($D1098),IF(YEAR($D1098)=대시보드!$C$2,$D1098+ROW()/100000,""),"")</f>
        <v/>
      </c>
    </row>
    <row r="1099" spans="1:11">
      <c r="A1099" s="33"/>
      <c r="B1099" s="29"/>
      <c r="C1099" s="29"/>
      <c r="D1099" s="30"/>
      <c r="E1099" s="30"/>
      <c r="F1099" s="35"/>
      <c r="G1099" s="35"/>
      <c r="H1099" s="35" t="str">
        <f t="shared" si="17"/>
        <v/>
      </c>
      <c r="I1099" s="29"/>
      <c r="K1099" s="36" t="str">
        <f>IF(ISNUMBER($D1099),IF(YEAR($D1099)=대시보드!$C$2,$D1099+ROW()/100000,""),"")</f>
        <v/>
      </c>
    </row>
    <row r="1100" spans="1:11">
      <c r="A1100" s="33"/>
      <c r="B1100" s="29"/>
      <c r="C1100" s="29"/>
      <c r="D1100" s="30"/>
      <c r="E1100" s="30"/>
      <c r="F1100" s="35"/>
      <c r="G1100" s="35"/>
      <c r="H1100" s="35" t="str">
        <f t="shared" si="17"/>
        <v/>
      </c>
      <c r="I1100" s="29"/>
      <c r="K1100" s="36" t="str">
        <f>IF(ISNUMBER($D1100),IF(YEAR($D1100)=대시보드!$C$2,$D1100+ROW()/100000,""),"")</f>
        <v/>
      </c>
    </row>
    <row r="1101" spans="1:11">
      <c r="A1101" s="33"/>
      <c r="B1101" s="29"/>
      <c r="C1101" s="29"/>
      <c r="D1101" s="30"/>
      <c r="E1101" s="30"/>
      <c r="F1101" s="35"/>
      <c r="G1101" s="35"/>
      <c r="H1101" s="35" t="str">
        <f t="shared" si="17"/>
        <v/>
      </c>
      <c r="I1101" s="29"/>
      <c r="K1101" s="36" t="str">
        <f>IF(ISNUMBER($D1101),IF(YEAR($D1101)=대시보드!$C$2,$D1101+ROW()/100000,""),"")</f>
        <v/>
      </c>
    </row>
    <row r="1102" spans="1:11">
      <c r="A1102" s="33"/>
      <c r="B1102" s="29"/>
      <c r="C1102" s="29"/>
      <c r="D1102" s="30"/>
      <c r="E1102" s="30"/>
      <c r="F1102" s="35"/>
      <c r="G1102" s="35"/>
      <c r="H1102" s="35" t="str">
        <f t="shared" si="17"/>
        <v/>
      </c>
      <c r="I1102" s="29"/>
      <c r="K1102" s="36" t="str">
        <f>IF(ISNUMBER($D1102),IF(YEAR($D1102)=대시보드!$C$2,$D1102+ROW()/100000,""),"")</f>
        <v/>
      </c>
    </row>
    <row r="1103" spans="1:11">
      <c r="A1103" s="33"/>
      <c r="B1103" s="29"/>
      <c r="C1103" s="29"/>
      <c r="D1103" s="30"/>
      <c r="E1103" s="30"/>
      <c r="F1103" s="35"/>
      <c r="G1103" s="35"/>
      <c r="H1103" s="35" t="str">
        <f t="shared" si="17"/>
        <v/>
      </c>
      <c r="I1103" s="29"/>
      <c r="K1103" s="36" t="str">
        <f>IF(ISNUMBER($D1103),IF(YEAR($D1103)=대시보드!$C$2,$D1103+ROW()/100000,""),"")</f>
        <v/>
      </c>
    </row>
    <row r="1104" spans="1:11">
      <c r="A1104" s="33"/>
      <c r="B1104" s="29"/>
      <c r="C1104" s="29"/>
      <c r="D1104" s="30"/>
      <c r="E1104" s="30"/>
      <c r="F1104" s="35"/>
      <c r="G1104" s="35"/>
      <c r="H1104" s="35" t="str">
        <f t="shared" si="17"/>
        <v/>
      </c>
      <c r="I1104" s="29"/>
      <c r="K1104" s="36" t="str">
        <f>IF(ISNUMBER($D1104),IF(YEAR($D1104)=대시보드!$C$2,$D1104+ROW()/100000,""),"")</f>
        <v/>
      </c>
    </row>
    <row r="1105" spans="1:11">
      <c r="A1105" s="33"/>
      <c r="B1105" s="29"/>
      <c r="C1105" s="29"/>
      <c r="D1105" s="30"/>
      <c r="E1105" s="30"/>
      <c r="F1105" s="35"/>
      <c r="G1105" s="35"/>
      <c r="H1105" s="35" t="str">
        <f t="shared" si="17"/>
        <v/>
      </c>
      <c r="I1105" s="29"/>
      <c r="K1105" s="36" t="str">
        <f>IF(ISNUMBER($D1105),IF(YEAR($D1105)=대시보드!$C$2,$D1105+ROW()/100000,""),"")</f>
        <v/>
      </c>
    </row>
    <row r="1106" spans="1:11">
      <c r="A1106" s="33"/>
      <c r="B1106" s="29"/>
      <c r="C1106" s="29"/>
      <c r="D1106" s="30"/>
      <c r="E1106" s="30"/>
      <c r="F1106" s="35"/>
      <c r="G1106" s="35"/>
      <c r="H1106" s="35" t="str">
        <f t="shared" si="17"/>
        <v/>
      </c>
      <c r="I1106" s="29"/>
      <c r="K1106" s="36" t="str">
        <f>IF(ISNUMBER($D1106),IF(YEAR($D1106)=대시보드!$C$2,$D1106+ROW()/100000,""),"")</f>
        <v/>
      </c>
    </row>
    <row r="1107" spans="1:11">
      <c r="A1107" s="33"/>
      <c r="B1107" s="29"/>
      <c r="C1107" s="29"/>
      <c r="D1107" s="30"/>
      <c r="E1107" s="30"/>
      <c r="F1107" s="35"/>
      <c r="G1107" s="35"/>
      <c r="H1107" s="35" t="str">
        <f t="shared" si="17"/>
        <v/>
      </c>
      <c r="I1107" s="29"/>
      <c r="K1107" s="36" t="str">
        <f>IF(ISNUMBER($D1107),IF(YEAR($D1107)=대시보드!$C$2,$D1107+ROW()/100000,""),"")</f>
        <v/>
      </c>
    </row>
    <row r="1108" spans="1:11">
      <c r="A1108" s="33"/>
      <c r="B1108" s="29"/>
      <c r="C1108" s="29"/>
      <c r="D1108" s="30"/>
      <c r="E1108" s="30"/>
      <c r="F1108" s="35"/>
      <c r="G1108" s="35"/>
      <c r="H1108" s="35" t="str">
        <f t="shared" si="17"/>
        <v/>
      </c>
      <c r="I1108" s="29"/>
      <c r="K1108" s="36" t="str">
        <f>IF(ISNUMBER($D1108),IF(YEAR($D1108)=대시보드!$C$2,$D1108+ROW()/100000,""),"")</f>
        <v/>
      </c>
    </row>
    <row r="1109" spans="1:11">
      <c r="A1109" s="33"/>
      <c r="B1109" s="29"/>
      <c r="C1109" s="29"/>
      <c r="D1109" s="30"/>
      <c r="E1109" s="30"/>
      <c r="F1109" s="35"/>
      <c r="G1109" s="35"/>
      <c r="H1109" s="35" t="str">
        <f t="shared" si="17"/>
        <v/>
      </c>
      <c r="I1109" s="29"/>
      <c r="K1109" s="36" t="str">
        <f>IF(ISNUMBER($D1109),IF(YEAR($D1109)=대시보드!$C$2,$D1109+ROW()/100000,""),"")</f>
        <v/>
      </c>
    </row>
    <row r="1110" spans="1:11">
      <c r="A1110" s="33"/>
      <c r="B1110" s="29"/>
      <c r="C1110" s="29"/>
      <c r="D1110" s="30"/>
      <c r="E1110" s="30"/>
      <c r="F1110" s="35"/>
      <c r="G1110" s="35"/>
      <c r="H1110" s="35" t="str">
        <f t="shared" si="17"/>
        <v/>
      </c>
      <c r="I1110" s="29"/>
      <c r="K1110" s="36" t="str">
        <f>IF(ISNUMBER($D1110),IF(YEAR($D1110)=대시보드!$C$2,$D1110+ROW()/100000,""),"")</f>
        <v/>
      </c>
    </row>
    <row r="1111" spans="1:11">
      <c r="A1111" s="33"/>
      <c r="B1111" s="29"/>
      <c r="C1111" s="29"/>
      <c r="D1111" s="30"/>
      <c r="E1111" s="30"/>
      <c r="F1111" s="35"/>
      <c r="G1111" s="35"/>
      <c r="H1111" s="35" t="str">
        <f t="shared" si="17"/>
        <v/>
      </c>
      <c r="I1111" s="29"/>
      <c r="K1111" s="36" t="str">
        <f>IF(ISNUMBER($D1111),IF(YEAR($D1111)=대시보드!$C$2,$D1111+ROW()/100000,""),"")</f>
        <v/>
      </c>
    </row>
    <row r="1112" spans="1:11">
      <c r="A1112" s="33"/>
      <c r="B1112" s="29"/>
      <c r="C1112" s="29"/>
      <c r="D1112" s="30"/>
      <c r="E1112" s="30"/>
      <c r="F1112" s="35"/>
      <c r="G1112" s="35"/>
      <c r="H1112" s="35" t="str">
        <f t="shared" si="17"/>
        <v/>
      </c>
      <c r="I1112" s="29"/>
      <c r="K1112" s="36" t="str">
        <f>IF(ISNUMBER($D1112),IF(YEAR($D1112)=대시보드!$C$2,$D1112+ROW()/100000,""),"")</f>
        <v/>
      </c>
    </row>
    <row r="1113" spans="1:11">
      <c r="A1113" s="33"/>
      <c r="B1113" s="29"/>
      <c r="C1113" s="29"/>
      <c r="D1113" s="30"/>
      <c r="E1113" s="30"/>
      <c r="F1113" s="35"/>
      <c r="G1113" s="35"/>
      <c r="H1113" s="35" t="str">
        <f t="shared" si="17"/>
        <v/>
      </c>
      <c r="I1113" s="29"/>
      <c r="K1113" s="36" t="str">
        <f>IF(ISNUMBER($D1113),IF(YEAR($D1113)=대시보드!$C$2,$D1113+ROW()/100000,""),"")</f>
        <v/>
      </c>
    </row>
    <row r="1114" spans="1:11">
      <c r="A1114" s="33"/>
      <c r="B1114" s="29"/>
      <c r="C1114" s="29"/>
      <c r="D1114" s="30"/>
      <c r="E1114" s="30"/>
      <c r="F1114" s="35"/>
      <c r="G1114" s="35"/>
      <c r="H1114" s="35" t="str">
        <f t="shared" si="17"/>
        <v/>
      </c>
      <c r="I1114" s="29"/>
      <c r="K1114" s="36" t="str">
        <f>IF(ISNUMBER($D1114),IF(YEAR($D1114)=대시보드!$C$2,$D1114+ROW()/100000,""),"")</f>
        <v/>
      </c>
    </row>
    <row r="1115" spans="1:11">
      <c r="A1115" s="33"/>
      <c r="B1115" s="29"/>
      <c r="C1115" s="29"/>
      <c r="D1115" s="30"/>
      <c r="E1115" s="30"/>
      <c r="F1115" s="35"/>
      <c r="G1115" s="35"/>
      <c r="H1115" s="35" t="str">
        <f t="shared" si="17"/>
        <v/>
      </c>
      <c r="I1115" s="29"/>
      <c r="K1115" s="36" t="str">
        <f>IF(ISNUMBER($D1115),IF(YEAR($D1115)=대시보드!$C$2,$D1115+ROW()/100000,""),"")</f>
        <v/>
      </c>
    </row>
    <row r="1116" spans="1:11">
      <c r="A1116" s="33"/>
      <c r="B1116" s="29"/>
      <c r="C1116" s="29"/>
      <c r="D1116" s="30"/>
      <c r="E1116" s="30"/>
      <c r="F1116" s="35"/>
      <c r="G1116" s="35"/>
      <c r="H1116" s="35" t="str">
        <f t="shared" si="17"/>
        <v/>
      </c>
      <c r="I1116" s="29"/>
      <c r="K1116" s="36" t="str">
        <f>IF(ISNUMBER($D1116),IF(YEAR($D1116)=대시보드!$C$2,$D1116+ROW()/100000,""),"")</f>
        <v/>
      </c>
    </row>
    <row r="1117" spans="1:11">
      <c r="A1117" s="33"/>
      <c r="B1117" s="29"/>
      <c r="C1117" s="29"/>
      <c r="D1117" s="30"/>
      <c r="E1117" s="30"/>
      <c r="F1117" s="35"/>
      <c r="G1117" s="35"/>
      <c r="H1117" s="35" t="str">
        <f t="shared" si="17"/>
        <v/>
      </c>
      <c r="I1117" s="29"/>
      <c r="K1117" s="36" t="str">
        <f>IF(ISNUMBER($D1117),IF(YEAR($D1117)=대시보드!$C$2,$D1117+ROW()/100000,""),"")</f>
        <v/>
      </c>
    </row>
    <row r="1118" spans="1:11">
      <c r="A1118" s="33"/>
      <c r="B1118" s="29"/>
      <c r="C1118" s="29"/>
      <c r="D1118" s="30"/>
      <c r="E1118" s="30"/>
      <c r="F1118" s="35"/>
      <c r="G1118" s="35"/>
      <c r="H1118" s="35" t="str">
        <f t="shared" si="17"/>
        <v/>
      </c>
      <c r="I1118" s="29"/>
      <c r="K1118" s="36" t="str">
        <f>IF(ISNUMBER($D1118),IF(YEAR($D1118)=대시보드!$C$2,$D1118+ROW()/100000,""),"")</f>
        <v/>
      </c>
    </row>
    <row r="1119" spans="1:11">
      <c r="A1119" s="33"/>
      <c r="B1119" s="29"/>
      <c r="C1119" s="29"/>
      <c r="D1119" s="30"/>
      <c r="E1119" s="30"/>
      <c r="F1119" s="35"/>
      <c r="G1119" s="35"/>
      <c r="H1119" s="35" t="str">
        <f t="shared" si="17"/>
        <v/>
      </c>
      <c r="I1119" s="29"/>
      <c r="K1119" s="36" t="str">
        <f>IF(ISNUMBER($D1119),IF(YEAR($D1119)=대시보드!$C$2,$D1119+ROW()/100000,""),"")</f>
        <v/>
      </c>
    </row>
    <row r="1120" spans="1:11">
      <c r="A1120" s="33"/>
      <c r="B1120" s="29"/>
      <c r="C1120" s="29"/>
      <c r="D1120" s="30"/>
      <c r="E1120" s="30"/>
      <c r="F1120" s="35"/>
      <c r="G1120" s="35"/>
      <c r="H1120" s="35" t="str">
        <f t="shared" si="17"/>
        <v/>
      </c>
      <c r="I1120" s="29"/>
      <c r="K1120" s="36" t="str">
        <f>IF(ISNUMBER($D1120),IF(YEAR($D1120)=대시보드!$C$2,$D1120+ROW()/100000,""),"")</f>
        <v/>
      </c>
    </row>
    <row r="1121" spans="1:11">
      <c r="A1121" s="33"/>
      <c r="B1121" s="29"/>
      <c r="C1121" s="29"/>
      <c r="D1121" s="30"/>
      <c r="E1121" s="30"/>
      <c r="F1121" s="35"/>
      <c r="G1121" s="35"/>
      <c r="H1121" s="35" t="str">
        <f t="shared" si="17"/>
        <v/>
      </c>
      <c r="I1121" s="29"/>
      <c r="K1121" s="36" t="str">
        <f>IF(ISNUMBER($D1121),IF(YEAR($D1121)=대시보드!$C$2,$D1121+ROW()/100000,""),"")</f>
        <v/>
      </c>
    </row>
    <row r="1122" spans="1:11">
      <c r="A1122" s="33"/>
      <c r="B1122" s="29"/>
      <c r="C1122" s="29"/>
      <c r="D1122" s="30"/>
      <c r="E1122" s="30"/>
      <c r="F1122" s="35"/>
      <c r="G1122" s="35"/>
      <c r="H1122" s="35" t="str">
        <f t="shared" si="17"/>
        <v/>
      </c>
      <c r="I1122" s="29"/>
      <c r="K1122" s="36" t="str">
        <f>IF(ISNUMBER($D1122),IF(YEAR($D1122)=대시보드!$C$2,$D1122+ROW()/100000,""),"")</f>
        <v/>
      </c>
    </row>
    <row r="1123" spans="1:11">
      <c r="A1123" s="33"/>
      <c r="B1123" s="29"/>
      <c r="C1123" s="29"/>
      <c r="D1123" s="30"/>
      <c r="E1123" s="30"/>
      <c r="F1123" s="35"/>
      <c r="G1123" s="35"/>
      <c r="H1123" s="35" t="str">
        <f t="shared" si="17"/>
        <v/>
      </c>
      <c r="I1123" s="29"/>
      <c r="K1123" s="36" t="str">
        <f>IF(ISNUMBER($D1123),IF(YEAR($D1123)=대시보드!$C$2,$D1123+ROW()/100000,""),"")</f>
        <v/>
      </c>
    </row>
    <row r="1124" spans="1:11">
      <c r="A1124" s="33"/>
      <c r="B1124" s="29"/>
      <c r="C1124" s="29"/>
      <c r="D1124" s="30"/>
      <c r="E1124" s="30"/>
      <c r="F1124" s="35"/>
      <c r="G1124" s="35"/>
      <c r="H1124" s="35" t="str">
        <f t="shared" si="17"/>
        <v/>
      </c>
      <c r="I1124" s="29"/>
      <c r="K1124" s="36" t="str">
        <f>IF(ISNUMBER($D1124),IF(YEAR($D1124)=대시보드!$C$2,$D1124+ROW()/100000,""),"")</f>
        <v/>
      </c>
    </row>
    <row r="1125" spans="1:11">
      <c r="A1125" s="33"/>
      <c r="B1125" s="29"/>
      <c r="C1125" s="29"/>
      <c r="D1125" s="30"/>
      <c r="E1125" s="30"/>
      <c r="F1125" s="35"/>
      <c r="G1125" s="35"/>
      <c r="H1125" s="35" t="str">
        <f t="shared" si="17"/>
        <v/>
      </c>
      <c r="I1125" s="29"/>
      <c r="K1125" s="36" t="str">
        <f>IF(ISNUMBER($D1125),IF(YEAR($D1125)=대시보드!$C$2,$D1125+ROW()/100000,""),"")</f>
        <v/>
      </c>
    </row>
    <row r="1126" spans="1:11">
      <c r="A1126" s="33"/>
      <c r="B1126" s="29"/>
      <c r="C1126" s="29"/>
      <c r="D1126" s="30"/>
      <c r="E1126" s="30"/>
      <c r="F1126" s="35"/>
      <c r="G1126" s="35"/>
      <c r="H1126" s="35" t="str">
        <f t="shared" si="17"/>
        <v/>
      </c>
      <c r="I1126" s="29"/>
      <c r="K1126" s="36" t="str">
        <f>IF(ISNUMBER($D1126),IF(YEAR($D1126)=대시보드!$C$2,$D1126+ROW()/100000,""),"")</f>
        <v/>
      </c>
    </row>
    <row r="1127" spans="1:11">
      <c r="A1127" s="33"/>
      <c r="B1127" s="29"/>
      <c r="C1127" s="29"/>
      <c r="D1127" s="30"/>
      <c r="E1127" s="30"/>
      <c r="F1127" s="35"/>
      <c r="G1127" s="35"/>
      <c r="H1127" s="35" t="str">
        <f t="shared" si="17"/>
        <v/>
      </c>
      <c r="I1127" s="29"/>
      <c r="K1127" s="36" t="str">
        <f>IF(ISNUMBER($D1127),IF(YEAR($D1127)=대시보드!$C$2,$D1127+ROW()/100000,""),"")</f>
        <v/>
      </c>
    </row>
    <row r="1128" spans="1:11">
      <c r="A1128" s="33"/>
      <c r="B1128" s="29"/>
      <c r="C1128" s="29"/>
      <c r="D1128" s="30"/>
      <c r="E1128" s="30"/>
      <c r="F1128" s="35"/>
      <c r="G1128" s="35"/>
      <c r="H1128" s="35" t="str">
        <f t="shared" si="17"/>
        <v/>
      </c>
      <c r="I1128" s="29"/>
      <c r="K1128" s="36" t="str">
        <f>IF(ISNUMBER($D1128),IF(YEAR($D1128)=대시보드!$C$2,$D1128+ROW()/100000,""),"")</f>
        <v/>
      </c>
    </row>
    <row r="1129" spans="1:11">
      <c r="A1129" s="33"/>
      <c r="B1129" s="29"/>
      <c r="C1129" s="29"/>
      <c r="D1129" s="30"/>
      <c r="E1129" s="30"/>
      <c r="F1129" s="35"/>
      <c r="G1129" s="35"/>
      <c r="H1129" s="35" t="str">
        <f t="shared" si="17"/>
        <v/>
      </c>
      <c r="I1129" s="29"/>
      <c r="K1129" s="36" t="str">
        <f>IF(ISNUMBER($D1129),IF(YEAR($D1129)=대시보드!$C$2,$D1129+ROW()/100000,""),"")</f>
        <v/>
      </c>
    </row>
    <row r="1130" spans="1:11">
      <c r="A1130" s="33"/>
      <c r="B1130" s="29"/>
      <c r="C1130" s="29"/>
      <c r="D1130" s="30"/>
      <c r="E1130" s="30"/>
      <c r="F1130" s="35"/>
      <c r="G1130" s="35"/>
      <c r="H1130" s="35" t="str">
        <f t="shared" si="17"/>
        <v/>
      </c>
      <c r="I1130" s="29"/>
      <c r="K1130" s="36" t="str">
        <f>IF(ISNUMBER($D1130),IF(YEAR($D1130)=대시보드!$C$2,$D1130+ROW()/100000,""),"")</f>
        <v/>
      </c>
    </row>
    <row r="1131" spans="1:11">
      <c r="A1131" s="33"/>
      <c r="B1131" s="29"/>
      <c r="C1131" s="29"/>
      <c r="D1131" s="30"/>
      <c r="E1131" s="30"/>
      <c r="F1131" s="35"/>
      <c r="G1131" s="35"/>
      <c r="H1131" s="35" t="str">
        <f t="shared" si="17"/>
        <v/>
      </c>
      <c r="I1131" s="29"/>
      <c r="K1131" s="36" t="str">
        <f>IF(ISNUMBER($D1131),IF(YEAR($D1131)=대시보드!$C$2,$D1131+ROW()/100000,""),"")</f>
        <v/>
      </c>
    </row>
    <row r="1132" spans="1:11">
      <c r="A1132" s="33"/>
      <c r="B1132" s="29"/>
      <c r="C1132" s="29"/>
      <c r="D1132" s="30"/>
      <c r="E1132" s="30"/>
      <c r="F1132" s="35"/>
      <c r="G1132" s="35"/>
      <c r="H1132" s="35" t="str">
        <f t="shared" si="17"/>
        <v/>
      </c>
      <c r="I1132" s="29"/>
      <c r="K1132" s="36" t="str">
        <f>IF(ISNUMBER($D1132),IF(YEAR($D1132)=대시보드!$C$2,$D1132+ROW()/100000,""),"")</f>
        <v/>
      </c>
    </row>
    <row r="1133" spans="1:11">
      <c r="A1133" s="33"/>
      <c r="B1133" s="29"/>
      <c r="C1133" s="29"/>
      <c r="D1133" s="30"/>
      <c r="E1133" s="30"/>
      <c r="F1133" s="35"/>
      <c r="G1133" s="35"/>
      <c r="H1133" s="35" t="str">
        <f t="shared" si="17"/>
        <v/>
      </c>
      <c r="I1133" s="29"/>
      <c r="K1133" s="36" t="str">
        <f>IF(ISNUMBER($D1133),IF(YEAR($D1133)=대시보드!$C$2,$D1133+ROW()/100000,""),"")</f>
        <v/>
      </c>
    </row>
    <row r="1134" spans="1:11">
      <c r="A1134" s="33"/>
      <c r="B1134" s="29"/>
      <c r="C1134" s="29"/>
      <c r="D1134" s="30"/>
      <c r="E1134" s="30"/>
      <c r="F1134" s="35"/>
      <c r="G1134" s="35"/>
      <c r="H1134" s="35" t="str">
        <f t="shared" si="17"/>
        <v/>
      </c>
      <c r="I1134" s="29"/>
      <c r="K1134" s="36" t="str">
        <f>IF(ISNUMBER($D1134),IF(YEAR($D1134)=대시보드!$C$2,$D1134+ROW()/100000,""),"")</f>
        <v/>
      </c>
    </row>
    <row r="1135" spans="1:11">
      <c r="A1135" s="33"/>
      <c r="B1135" s="29"/>
      <c r="C1135" s="29"/>
      <c r="D1135" s="30"/>
      <c r="E1135" s="30"/>
      <c r="F1135" s="35"/>
      <c r="G1135" s="35"/>
      <c r="H1135" s="35" t="str">
        <f t="shared" si="17"/>
        <v/>
      </c>
      <c r="I1135" s="29"/>
      <c r="K1135" s="36" t="str">
        <f>IF(ISNUMBER($D1135),IF(YEAR($D1135)=대시보드!$C$2,$D1135+ROW()/100000,""),"")</f>
        <v/>
      </c>
    </row>
    <row r="1136" spans="1:11">
      <c r="A1136" s="33"/>
      <c r="B1136" s="29"/>
      <c r="C1136" s="29"/>
      <c r="D1136" s="30"/>
      <c r="E1136" s="30"/>
      <c r="F1136" s="35"/>
      <c r="G1136" s="35"/>
      <c r="H1136" s="35" t="str">
        <f t="shared" si="17"/>
        <v/>
      </c>
      <c r="I1136" s="29"/>
      <c r="K1136" s="36" t="str">
        <f>IF(ISNUMBER($D1136),IF(YEAR($D1136)=대시보드!$C$2,$D1136+ROW()/100000,""),"")</f>
        <v/>
      </c>
    </row>
    <row r="1137" spans="1:11">
      <c r="A1137" s="33"/>
      <c r="B1137" s="29"/>
      <c r="C1137" s="29"/>
      <c r="D1137" s="30"/>
      <c r="E1137" s="30"/>
      <c r="F1137" s="35"/>
      <c r="G1137" s="35"/>
      <c r="H1137" s="35" t="str">
        <f t="shared" si="17"/>
        <v/>
      </c>
      <c r="I1137" s="29"/>
      <c r="K1137" s="36" t="str">
        <f>IF(ISNUMBER($D1137),IF(YEAR($D1137)=대시보드!$C$2,$D1137+ROW()/100000,""),"")</f>
        <v/>
      </c>
    </row>
    <row r="1138" spans="1:11">
      <c r="A1138" s="33"/>
      <c r="B1138" s="29"/>
      <c r="C1138" s="29"/>
      <c r="D1138" s="30"/>
      <c r="E1138" s="30"/>
      <c r="F1138" s="35"/>
      <c r="G1138" s="35"/>
      <c r="H1138" s="35" t="str">
        <f t="shared" si="17"/>
        <v/>
      </c>
      <c r="I1138" s="29"/>
      <c r="K1138" s="36" t="str">
        <f>IF(ISNUMBER($D1138),IF(YEAR($D1138)=대시보드!$C$2,$D1138+ROW()/100000,""),"")</f>
        <v/>
      </c>
    </row>
    <row r="1139" spans="1:11">
      <c r="A1139" s="33"/>
      <c r="B1139" s="29"/>
      <c r="C1139" s="29"/>
      <c r="D1139" s="30"/>
      <c r="E1139" s="30"/>
      <c r="F1139" s="35"/>
      <c r="G1139" s="35"/>
      <c r="H1139" s="35" t="str">
        <f t="shared" si="17"/>
        <v/>
      </c>
      <c r="I1139" s="29"/>
      <c r="K1139" s="36" t="str">
        <f>IF(ISNUMBER($D1139),IF(YEAR($D1139)=대시보드!$C$2,$D1139+ROW()/100000,""),"")</f>
        <v/>
      </c>
    </row>
    <row r="1140" spans="1:11">
      <c r="A1140" s="33"/>
      <c r="B1140" s="29"/>
      <c r="C1140" s="29"/>
      <c r="D1140" s="30"/>
      <c r="E1140" s="30"/>
      <c r="F1140" s="35"/>
      <c r="G1140" s="35"/>
      <c r="H1140" s="35" t="str">
        <f t="shared" si="17"/>
        <v/>
      </c>
      <c r="I1140" s="29"/>
      <c r="K1140" s="36" t="str">
        <f>IF(ISNUMBER($D1140),IF(YEAR($D1140)=대시보드!$C$2,$D1140+ROW()/100000,""),"")</f>
        <v/>
      </c>
    </row>
    <row r="1141" spans="1:11">
      <c r="A1141" s="33"/>
      <c r="B1141" s="29"/>
      <c r="C1141" s="29"/>
      <c r="D1141" s="30"/>
      <c r="E1141" s="30"/>
      <c r="F1141" s="35"/>
      <c r="G1141" s="35"/>
      <c r="H1141" s="35" t="str">
        <f t="shared" si="17"/>
        <v/>
      </c>
      <c r="I1141" s="29"/>
      <c r="K1141" s="36" t="str">
        <f>IF(ISNUMBER($D1141),IF(YEAR($D1141)=대시보드!$C$2,$D1141+ROW()/100000,""),"")</f>
        <v/>
      </c>
    </row>
    <row r="1142" spans="1:11">
      <c r="A1142" s="33"/>
      <c r="B1142" s="29"/>
      <c r="C1142" s="29"/>
      <c r="D1142" s="30"/>
      <c r="E1142" s="30"/>
      <c r="F1142" s="35"/>
      <c r="G1142" s="35"/>
      <c r="H1142" s="35" t="str">
        <f t="shared" si="17"/>
        <v/>
      </c>
      <c r="I1142" s="29"/>
      <c r="K1142" s="36" t="str">
        <f>IF(ISNUMBER($D1142),IF(YEAR($D1142)=대시보드!$C$2,$D1142+ROW()/100000,""),"")</f>
        <v/>
      </c>
    </row>
    <row r="1143" spans="1:11">
      <c r="A1143" s="33"/>
      <c r="B1143" s="29"/>
      <c r="C1143" s="29"/>
      <c r="D1143" s="30"/>
      <c r="E1143" s="30"/>
      <c r="F1143" s="35"/>
      <c r="G1143" s="35"/>
      <c r="H1143" s="35" t="str">
        <f t="shared" si="17"/>
        <v/>
      </c>
      <c r="I1143" s="29"/>
      <c r="K1143" s="36" t="str">
        <f>IF(ISNUMBER($D1143),IF(YEAR($D1143)=대시보드!$C$2,$D1143+ROW()/100000,""),"")</f>
        <v/>
      </c>
    </row>
    <row r="1144" spans="1:11">
      <c r="A1144" s="33"/>
      <c r="B1144" s="29"/>
      <c r="C1144" s="29"/>
      <c r="D1144" s="30"/>
      <c r="E1144" s="30"/>
      <c r="F1144" s="35"/>
      <c r="G1144" s="35"/>
      <c r="H1144" s="35" t="str">
        <f t="shared" si="17"/>
        <v/>
      </c>
      <c r="I1144" s="29"/>
      <c r="K1144" s="36" t="str">
        <f>IF(ISNUMBER($D1144),IF(YEAR($D1144)=대시보드!$C$2,$D1144+ROW()/100000,""),"")</f>
        <v/>
      </c>
    </row>
    <row r="1145" spans="1:11">
      <c r="A1145" s="33"/>
      <c r="B1145" s="29"/>
      <c r="C1145" s="29"/>
      <c r="D1145" s="30"/>
      <c r="E1145" s="30"/>
      <c r="F1145" s="35"/>
      <c r="G1145" s="35"/>
      <c r="H1145" s="35" t="str">
        <f t="shared" si="17"/>
        <v/>
      </c>
      <c r="I1145" s="29"/>
      <c r="K1145" s="36" t="str">
        <f>IF(ISNUMBER($D1145),IF(YEAR($D1145)=대시보드!$C$2,$D1145+ROW()/100000,""),"")</f>
        <v/>
      </c>
    </row>
    <row r="1146" spans="1:11">
      <c r="A1146" s="33"/>
      <c r="B1146" s="29"/>
      <c r="C1146" s="29"/>
      <c r="D1146" s="30"/>
      <c r="E1146" s="30"/>
      <c r="F1146" s="35"/>
      <c r="G1146" s="35"/>
      <c r="H1146" s="35" t="str">
        <f t="shared" si="17"/>
        <v/>
      </c>
      <c r="I1146" s="29"/>
      <c r="K1146" s="36" t="str">
        <f>IF(ISNUMBER($D1146),IF(YEAR($D1146)=대시보드!$C$2,$D1146+ROW()/100000,""),"")</f>
        <v/>
      </c>
    </row>
    <row r="1147" spans="1:11">
      <c r="A1147" s="33"/>
      <c r="B1147" s="29"/>
      <c r="C1147" s="29"/>
      <c r="D1147" s="30"/>
      <c r="E1147" s="30"/>
      <c r="F1147" s="35"/>
      <c r="G1147" s="35"/>
      <c r="H1147" s="35" t="str">
        <f t="shared" si="17"/>
        <v/>
      </c>
      <c r="I1147" s="29"/>
      <c r="K1147" s="36" t="str">
        <f>IF(ISNUMBER($D1147),IF(YEAR($D1147)=대시보드!$C$2,$D1147+ROW()/100000,""),"")</f>
        <v/>
      </c>
    </row>
    <row r="1148" spans="1:11">
      <c r="A1148" s="33"/>
      <c r="B1148" s="29"/>
      <c r="C1148" s="29"/>
      <c r="D1148" s="30"/>
      <c r="E1148" s="30"/>
      <c r="F1148" s="35"/>
      <c r="G1148" s="35"/>
      <c r="H1148" s="35" t="str">
        <f t="shared" si="17"/>
        <v/>
      </c>
      <c r="I1148" s="29"/>
      <c r="K1148" s="36" t="str">
        <f>IF(ISNUMBER($D1148),IF(YEAR($D1148)=대시보드!$C$2,$D1148+ROW()/100000,""),"")</f>
        <v/>
      </c>
    </row>
    <row r="1149" spans="1:11">
      <c r="A1149" s="33"/>
      <c r="B1149" s="29"/>
      <c r="C1149" s="29"/>
      <c r="D1149" s="30"/>
      <c r="E1149" s="30"/>
      <c r="F1149" s="35"/>
      <c r="G1149" s="35"/>
      <c r="H1149" s="35" t="str">
        <f t="shared" si="17"/>
        <v/>
      </c>
      <c r="I1149" s="29"/>
      <c r="K1149" s="36" t="str">
        <f>IF(ISNUMBER($D1149),IF(YEAR($D1149)=대시보드!$C$2,$D1149+ROW()/100000,""),"")</f>
        <v/>
      </c>
    </row>
    <row r="1150" spans="1:11">
      <c r="A1150" s="33"/>
      <c r="B1150" s="29"/>
      <c r="C1150" s="29"/>
      <c r="D1150" s="30"/>
      <c r="E1150" s="30"/>
      <c r="F1150" s="35"/>
      <c r="G1150" s="35"/>
      <c r="H1150" s="35" t="str">
        <f t="shared" si="17"/>
        <v/>
      </c>
      <c r="I1150" s="29"/>
      <c r="K1150" s="36" t="str">
        <f>IF(ISNUMBER($D1150),IF(YEAR($D1150)=대시보드!$C$2,$D1150+ROW()/100000,""),"")</f>
        <v/>
      </c>
    </row>
    <row r="1151" spans="1:11">
      <c r="A1151" s="33"/>
      <c r="B1151" s="29"/>
      <c r="C1151" s="29"/>
      <c r="D1151" s="30"/>
      <c r="E1151" s="30"/>
      <c r="F1151" s="35"/>
      <c r="G1151" s="35"/>
      <c r="H1151" s="35" t="str">
        <f t="shared" si="17"/>
        <v/>
      </c>
      <c r="I1151" s="29"/>
      <c r="K1151" s="36" t="str">
        <f>IF(ISNUMBER($D1151),IF(YEAR($D1151)=대시보드!$C$2,$D1151+ROW()/100000,""),"")</f>
        <v/>
      </c>
    </row>
    <row r="1152" spans="1:11">
      <c r="A1152" s="33"/>
      <c r="B1152" s="29"/>
      <c r="C1152" s="29"/>
      <c r="D1152" s="30"/>
      <c r="E1152" s="30"/>
      <c r="F1152" s="35"/>
      <c r="G1152" s="35"/>
      <c r="H1152" s="35" t="str">
        <f t="shared" si="17"/>
        <v/>
      </c>
      <c r="I1152" s="29"/>
      <c r="K1152" s="36" t="str">
        <f>IF(ISNUMBER($D1152),IF(YEAR($D1152)=대시보드!$C$2,$D1152+ROW()/100000,""),"")</f>
        <v/>
      </c>
    </row>
    <row r="1153" spans="1:11">
      <c r="A1153" s="33"/>
      <c r="B1153" s="29"/>
      <c r="C1153" s="29"/>
      <c r="D1153" s="30"/>
      <c r="E1153" s="30"/>
      <c r="F1153" s="35"/>
      <c r="G1153" s="35"/>
      <c r="H1153" s="35" t="str">
        <f t="shared" si="17"/>
        <v/>
      </c>
      <c r="I1153" s="29"/>
      <c r="K1153" s="36" t="str">
        <f>IF(ISNUMBER($D1153),IF(YEAR($D1153)=대시보드!$C$2,$D1153+ROW()/100000,""),"")</f>
        <v/>
      </c>
    </row>
    <row r="1154" spans="1:11">
      <c r="A1154" s="33"/>
      <c r="B1154" s="29"/>
      <c r="C1154" s="29"/>
      <c r="D1154" s="30"/>
      <c r="E1154" s="30"/>
      <c r="F1154" s="35"/>
      <c r="G1154" s="35"/>
      <c r="H1154" s="35" t="str">
        <f t="shared" si="17"/>
        <v/>
      </c>
      <c r="I1154" s="29"/>
      <c r="K1154" s="36" t="str">
        <f>IF(ISNUMBER($D1154),IF(YEAR($D1154)=대시보드!$C$2,$D1154+ROW()/100000,""),"")</f>
        <v/>
      </c>
    </row>
    <row r="1155" spans="1:11">
      <c r="A1155" s="33"/>
      <c r="B1155" s="29"/>
      <c r="C1155" s="29"/>
      <c r="D1155" s="30"/>
      <c r="E1155" s="30"/>
      <c r="F1155" s="35"/>
      <c r="G1155" s="35"/>
      <c r="H1155" s="35" t="str">
        <f t="shared" si="17"/>
        <v/>
      </c>
      <c r="I1155" s="29"/>
      <c r="K1155" s="36" t="str">
        <f>IF(ISNUMBER($D1155),IF(YEAR($D1155)=대시보드!$C$2,$D1155+ROW()/100000,""),"")</f>
        <v/>
      </c>
    </row>
    <row r="1156" spans="1:11">
      <c r="A1156" s="33"/>
      <c r="B1156" s="29"/>
      <c r="C1156" s="29"/>
      <c r="D1156" s="30"/>
      <c r="E1156" s="30"/>
      <c r="F1156" s="35"/>
      <c r="G1156" s="35"/>
      <c r="H1156" s="35" t="str">
        <f t="shared" ref="H1156:H1219" si="18">IF(F1156="","",F1156-G1156)</f>
        <v/>
      </c>
      <c r="I1156" s="29"/>
      <c r="K1156" s="36" t="str">
        <f>IF(ISNUMBER($D1156),IF(YEAR($D1156)=대시보드!$C$2,$D1156+ROW()/100000,""),"")</f>
        <v/>
      </c>
    </row>
    <row r="1157" spans="1:11">
      <c r="A1157" s="33"/>
      <c r="B1157" s="29"/>
      <c r="C1157" s="29"/>
      <c r="D1157" s="30"/>
      <c r="E1157" s="30"/>
      <c r="F1157" s="35"/>
      <c r="G1157" s="35"/>
      <c r="H1157" s="35" t="str">
        <f t="shared" si="18"/>
        <v/>
      </c>
      <c r="I1157" s="29"/>
      <c r="K1157" s="36" t="str">
        <f>IF(ISNUMBER($D1157),IF(YEAR($D1157)=대시보드!$C$2,$D1157+ROW()/100000,""),"")</f>
        <v/>
      </c>
    </row>
    <row r="1158" spans="1:11">
      <c r="A1158" s="33"/>
      <c r="B1158" s="29"/>
      <c r="C1158" s="29"/>
      <c r="D1158" s="30"/>
      <c r="E1158" s="30"/>
      <c r="F1158" s="35"/>
      <c r="G1158" s="35"/>
      <c r="H1158" s="35" t="str">
        <f t="shared" si="18"/>
        <v/>
      </c>
      <c r="I1158" s="29"/>
      <c r="K1158" s="36" t="str">
        <f>IF(ISNUMBER($D1158),IF(YEAR($D1158)=대시보드!$C$2,$D1158+ROW()/100000,""),"")</f>
        <v/>
      </c>
    </row>
    <row r="1159" spans="1:11">
      <c r="A1159" s="33"/>
      <c r="B1159" s="29"/>
      <c r="C1159" s="29"/>
      <c r="D1159" s="30"/>
      <c r="E1159" s="30"/>
      <c r="F1159" s="35"/>
      <c r="G1159" s="35"/>
      <c r="H1159" s="35" t="str">
        <f t="shared" si="18"/>
        <v/>
      </c>
      <c r="I1159" s="29"/>
      <c r="K1159" s="36" t="str">
        <f>IF(ISNUMBER($D1159),IF(YEAR($D1159)=대시보드!$C$2,$D1159+ROW()/100000,""),"")</f>
        <v/>
      </c>
    </row>
    <row r="1160" spans="1:11">
      <c r="A1160" s="33"/>
      <c r="B1160" s="29"/>
      <c r="C1160" s="29"/>
      <c r="D1160" s="30"/>
      <c r="E1160" s="30"/>
      <c r="F1160" s="35"/>
      <c r="G1160" s="35"/>
      <c r="H1160" s="35" t="str">
        <f t="shared" si="18"/>
        <v/>
      </c>
      <c r="I1160" s="29"/>
      <c r="K1160" s="36" t="str">
        <f>IF(ISNUMBER($D1160),IF(YEAR($D1160)=대시보드!$C$2,$D1160+ROW()/100000,""),"")</f>
        <v/>
      </c>
    </row>
    <row r="1161" spans="1:11">
      <c r="A1161" s="33"/>
      <c r="B1161" s="29"/>
      <c r="C1161" s="29"/>
      <c r="D1161" s="30"/>
      <c r="E1161" s="30"/>
      <c r="F1161" s="35"/>
      <c r="G1161" s="35"/>
      <c r="H1161" s="35" t="str">
        <f t="shared" si="18"/>
        <v/>
      </c>
      <c r="I1161" s="29"/>
      <c r="K1161" s="36" t="str">
        <f>IF(ISNUMBER($D1161),IF(YEAR($D1161)=대시보드!$C$2,$D1161+ROW()/100000,""),"")</f>
        <v/>
      </c>
    </row>
    <row r="1162" spans="1:11">
      <c r="A1162" s="33"/>
      <c r="B1162" s="29"/>
      <c r="C1162" s="29"/>
      <c r="D1162" s="30"/>
      <c r="E1162" s="30"/>
      <c r="F1162" s="35"/>
      <c r="G1162" s="35"/>
      <c r="H1162" s="35" t="str">
        <f t="shared" si="18"/>
        <v/>
      </c>
      <c r="I1162" s="29"/>
      <c r="K1162" s="36" t="str">
        <f>IF(ISNUMBER($D1162),IF(YEAR($D1162)=대시보드!$C$2,$D1162+ROW()/100000,""),"")</f>
        <v/>
      </c>
    </row>
    <row r="1163" spans="1:11">
      <c r="A1163" s="33"/>
      <c r="B1163" s="29"/>
      <c r="C1163" s="29"/>
      <c r="D1163" s="30"/>
      <c r="E1163" s="30"/>
      <c r="F1163" s="35"/>
      <c r="G1163" s="35"/>
      <c r="H1163" s="35" t="str">
        <f t="shared" si="18"/>
        <v/>
      </c>
      <c r="I1163" s="29"/>
      <c r="K1163" s="36" t="str">
        <f>IF(ISNUMBER($D1163),IF(YEAR($D1163)=대시보드!$C$2,$D1163+ROW()/100000,""),"")</f>
        <v/>
      </c>
    </row>
    <row r="1164" spans="1:11">
      <c r="A1164" s="33"/>
      <c r="B1164" s="29"/>
      <c r="C1164" s="29"/>
      <c r="D1164" s="30"/>
      <c r="E1164" s="30"/>
      <c r="F1164" s="35"/>
      <c r="G1164" s="35"/>
      <c r="H1164" s="35" t="str">
        <f t="shared" si="18"/>
        <v/>
      </c>
      <c r="I1164" s="29"/>
      <c r="K1164" s="36" t="str">
        <f>IF(ISNUMBER($D1164),IF(YEAR($D1164)=대시보드!$C$2,$D1164+ROW()/100000,""),"")</f>
        <v/>
      </c>
    </row>
    <row r="1165" spans="1:11">
      <c r="A1165" s="33"/>
      <c r="B1165" s="29"/>
      <c r="C1165" s="29"/>
      <c r="D1165" s="30"/>
      <c r="E1165" s="30"/>
      <c r="F1165" s="35"/>
      <c r="G1165" s="35"/>
      <c r="H1165" s="35" t="str">
        <f t="shared" si="18"/>
        <v/>
      </c>
      <c r="I1165" s="29"/>
      <c r="K1165" s="36" t="str">
        <f>IF(ISNUMBER($D1165),IF(YEAR($D1165)=대시보드!$C$2,$D1165+ROW()/100000,""),"")</f>
        <v/>
      </c>
    </row>
    <row r="1166" spans="1:11">
      <c r="A1166" s="33"/>
      <c r="B1166" s="29"/>
      <c r="C1166" s="29"/>
      <c r="D1166" s="30"/>
      <c r="E1166" s="30"/>
      <c r="F1166" s="35"/>
      <c r="G1166" s="35"/>
      <c r="H1166" s="35" t="str">
        <f t="shared" si="18"/>
        <v/>
      </c>
      <c r="I1166" s="29"/>
      <c r="K1166" s="36" t="str">
        <f>IF(ISNUMBER($D1166),IF(YEAR($D1166)=대시보드!$C$2,$D1166+ROW()/100000,""),"")</f>
        <v/>
      </c>
    </row>
    <row r="1167" spans="1:11">
      <c r="A1167" s="33"/>
      <c r="B1167" s="29"/>
      <c r="C1167" s="29"/>
      <c r="D1167" s="30"/>
      <c r="E1167" s="30"/>
      <c r="F1167" s="35"/>
      <c r="G1167" s="35"/>
      <c r="H1167" s="35" t="str">
        <f t="shared" si="18"/>
        <v/>
      </c>
      <c r="I1167" s="29"/>
      <c r="K1167" s="36" t="str">
        <f>IF(ISNUMBER($D1167),IF(YEAR($D1167)=대시보드!$C$2,$D1167+ROW()/100000,""),"")</f>
        <v/>
      </c>
    </row>
    <row r="1168" spans="1:11">
      <c r="A1168" s="33"/>
      <c r="B1168" s="29"/>
      <c r="C1168" s="29"/>
      <c r="D1168" s="30"/>
      <c r="E1168" s="30"/>
      <c r="F1168" s="35"/>
      <c r="G1168" s="35"/>
      <c r="H1168" s="35" t="str">
        <f t="shared" si="18"/>
        <v/>
      </c>
      <c r="I1168" s="29"/>
      <c r="K1168" s="36" t="str">
        <f>IF(ISNUMBER($D1168),IF(YEAR($D1168)=대시보드!$C$2,$D1168+ROW()/100000,""),"")</f>
        <v/>
      </c>
    </row>
    <row r="1169" spans="1:11">
      <c r="A1169" s="33"/>
      <c r="B1169" s="29"/>
      <c r="C1169" s="29"/>
      <c r="D1169" s="30"/>
      <c r="E1169" s="30"/>
      <c r="F1169" s="35"/>
      <c r="G1169" s="35"/>
      <c r="H1169" s="35" t="str">
        <f t="shared" si="18"/>
        <v/>
      </c>
      <c r="I1169" s="29"/>
      <c r="K1169" s="36" t="str">
        <f>IF(ISNUMBER($D1169),IF(YEAR($D1169)=대시보드!$C$2,$D1169+ROW()/100000,""),"")</f>
        <v/>
      </c>
    </row>
    <row r="1170" spans="1:11">
      <c r="A1170" s="33"/>
      <c r="B1170" s="29"/>
      <c r="C1170" s="29"/>
      <c r="D1170" s="30"/>
      <c r="E1170" s="30"/>
      <c r="F1170" s="35"/>
      <c r="G1170" s="35"/>
      <c r="H1170" s="35" t="str">
        <f t="shared" si="18"/>
        <v/>
      </c>
      <c r="I1170" s="29"/>
      <c r="K1170" s="36" t="str">
        <f>IF(ISNUMBER($D1170),IF(YEAR($D1170)=대시보드!$C$2,$D1170+ROW()/100000,""),"")</f>
        <v/>
      </c>
    </row>
    <row r="1171" spans="1:11">
      <c r="A1171" s="33"/>
      <c r="B1171" s="29"/>
      <c r="C1171" s="29"/>
      <c r="D1171" s="30"/>
      <c r="E1171" s="30"/>
      <c r="F1171" s="35"/>
      <c r="G1171" s="35"/>
      <c r="H1171" s="35" t="str">
        <f t="shared" si="18"/>
        <v/>
      </c>
      <c r="I1171" s="29"/>
      <c r="K1171" s="36" t="str">
        <f>IF(ISNUMBER($D1171),IF(YEAR($D1171)=대시보드!$C$2,$D1171+ROW()/100000,""),"")</f>
        <v/>
      </c>
    </row>
    <row r="1172" spans="1:11">
      <c r="A1172" s="33"/>
      <c r="B1172" s="29"/>
      <c r="C1172" s="29"/>
      <c r="D1172" s="30"/>
      <c r="E1172" s="30"/>
      <c r="F1172" s="35"/>
      <c r="G1172" s="35"/>
      <c r="H1172" s="35" t="str">
        <f t="shared" si="18"/>
        <v/>
      </c>
      <c r="I1172" s="29"/>
      <c r="K1172" s="36" t="str">
        <f>IF(ISNUMBER($D1172),IF(YEAR($D1172)=대시보드!$C$2,$D1172+ROW()/100000,""),"")</f>
        <v/>
      </c>
    </row>
    <row r="1173" spans="1:11">
      <c r="A1173" s="33"/>
      <c r="B1173" s="29"/>
      <c r="C1173" s="29"/>
      <c r="D1173" s="30"/>
      <c r="E1173" s="30"/>
      <c r="F1173" s="35"/>
      <c r="G1173" s="35"/>
      <c r="H1173" s="35" t="str">
        <f t="shared" si="18"/>
        <v/>
      </c>
      <c r="I1173" s="29"/>
      <c r="K1173" s="36" t="str">
        <f>IF(ISNUMBER($D1173),IF(YEAR($D1173)=대시보드!$C$2,$D1173+ROW()/100000,""),"")</f>
        <v/>
      </c>
    </row>
    <row r="1174" spans="1:11">
      <c r="A1174" s="33"/>
      <c r="B1174" s="29"/>
      <c r="C1174" s="29"/>
      <c r="D1174" s="30"/>
      <c r="E1174" s="30"/>
      <c r="F1174" s="35"/>
      <c r="G1174" s="35"/>
      <c r="H1174" s="35" t="str">
        <f t="shared" si="18"/>
        <v/>
      </c>
      <c r="I1174" s="29"/>
      <c r="K1174" s="36" t="str">
        <f>IF(ISNUMBER($D1174),IF(YEAR($D1174)=대시보드!$C$2,$D1174+ROW()/100000,""),"")</f>
        <v/>
      </c>
    </row>
    <row r="1175" spans="1:11">
      <c r="A1175" s="33"/>
      <c r="B1175" s="29"/>
      <c r="C1175" s="29"/>
      <c r="D1175" s="30"/>
      <c r="E1175" s="30"/>
      <c r="F1175" s="35"/>
      <c r="G1175" s="35"/>
      <c r="H1175" s="35" t="str">
        <f t="shared" si="18"/>
        <v/>
      </c>
      <c r="I1175" s="29"/>
      <c r="K1175" s="36" t="str">
        <f>IF(ISNUMBER($D1175),IF(YEAR($D1175)=대시보드!$C$2,$D1175+ROW()/100000,""),"")</f>
        <v/>
      </c>
    </row>
    <row r="1176" spans="1:11">
      <c r="A1176" s="33"/>
      <c r="B1176" s="29"/>
      <c r="C1176" s="29"/>
      <c r="D1176" s="30"/>
      <c r="E1176" s="30"/>
      <c r="F1176" s="35"/>
      <c r="G1176" s="35"/>
      <c r="H1176" s="35" t="str">
        <f t="shared" si="18"/>
        <v/>
      </c>
      <c r="I1176" s="29"/>
      <c r="K1176" s="36" t="str">
        <f>IF(ISNUMBER($D1176),IF(YEAR($D1176)=대시보드!$C$2,$D1176+ROW()/100000,""),"")</f>
        <v/>
      </c>
    </row>
    <row r="1177" spans="1:11">
      <c r="A1177" s="33"/>
      <c r="B1177" s="29"/>
      <c r="C1177" s="29"/>
      <c r="D1177" s="30"/>
      <c r="E1177" s="30"/>
      <c r="F1177" s="35"/>
      <c r="G1177" s="35"/>
      <c r="H1177" s="35" t="str">
        <f t="shared" si="18"/>
        <v/>
      </c>
      <c r="I1177" s="29"/>
      <c r="K1177" s="36" t="str">
        <f>IF(ISNUMBER($D1177),IF(YEAR($D1177)=대시보드!$C$2,$D1177+ROW()/100000,""),"")</f>
        <v/>
      </c>
    </row>
    <row r="1178" spans="1:11">
      <c r="A1178" s="33"/>
      <c r="B1178" s="29"/>
      <c r="C1178" s="29"/>
      <c r="D1178" s="30"/>
      <c r="E1178" s="30"/>
      <c r="F1178" s="35"/>
      <c r="G1178" s="35"/>
      <c r="H1178" s="35" t="str">
        <f t="shared" si="18"/>
        <v/>
      </c>
      <c r="I1178" s="29"/>
      <c r="K1178" s="36" t="str">
        <f>IF(ISNUMBER($D1178),IF(YEAR($D1178)=대시보드!$C$2,$D1178+ROW()/100000,""),"")</f>
        <v/>
      </c>
    </row>
    <row r="1179" spans="1:11">
      <c r="A1179" s="33"/>
      <c r="B1179" s="29"/>
      <c r="C1179" s="29"/>
      <c r="D1179" s="30"/>
      <c r="E1179" s="30"/>
      <c r="F1179" s="35"/>
      <c r="G1179" s="35"/>
      <c r="H1179" s="35" t="str">
        <f t="shared" si="18"/>
        <v/>
      </c>
      <c r="I1179" s="29"/>
      <c r="K1179" s="36" t="str">
        <f>IF(ISNUMBER($D1179),IF(YEAR($D1179)=대시보드!$C$2,$D1179+ROW()/100000,""),"")</f>
        <v/>
      </c>
    </row>
    <row r="1180" spans="1:11">
      <c r="A1180" s="33"/>
      <c r="B1180" s="29"/>
      <c r="C1180" s="29"/>
      <c r="D1180" s="30"/>
      <c r="E1180" s="30"/>
      <c r="F1180" s="35"/>
      <c r="G1180" s="35"/>
      <c r="H1180" s="35" t="str">
        <f t="shared" si="18"/>
        <v/>
      </c>
      <c r="I1180" s="29"/>
      <c r="K1180" s="36" t="str">
        <f>IF(ISNUMBER($D1180),IF(YEAR($D1180)=대시보드!$C$2,$D1180+ROW()/100000,""),"")</f>
        <v/>
      </c>
    </row>
    <row r="1181" spans="1:11">
      <c r="A1181" s="33"/>
      <c r="B1181" s="29"/>
      <c r="C1181" s="29"/>
      <c r="D1181" s="30"/>
      <c r="E1181" s="30"/>
      <c r="F1181" s="35"/>
      <c r="G1181" s="35"/>
      <c r="H1181" s="35" t="str">
        <f t="shared" si="18"/>
        <v/>
      </c>
      <c r="I1181" s="29"/>
      <c r="K1181" s="36" t="str">
        <f>IF(ISNUMBER($D1181),IF(YEAR($D1181)=대시보드!$C$2,$D1181+ROW()/100000,""),"")</f>
        <v/>
      </c>
    </row>
    <row r="1182" spans="1:11">
      <c r="A1182" s="33"/>
      <c r="B1182" s="29"/>
      <c r="C1182" s="29"/>
      <c r="D1182" s="30"/>
      <c r="E1182" s="30"/>
      <c r="F1182" s="35"/>
      <c r="G1182" s="35"/>
      <c r="H1182" s="35" t="str">
        <f t="shared" si="18"/>
        <v/>
      </c>
      <c r="I1182" s="29"/>
      <c r="K1182" s="36" t="str">
        <f>IF(ISNUMBER($D1182),IF(YEAR($D1182)=대시보드!$C$2,$D1182+ROW()/100000,""),"")</f>
        <v/>
      </c>
    </row>
    <row r="1183" spans="1:11">
      <c r="A1183" s="33"/>
      <c r="B1183" s="29"/>
      <c r="C1183" s="29"/>
      <c r="D1183" s="30"/>
      <c r="E1183" s="30"/>
      <c r="F1183" s="35"/>
      <c r="G1183" s="35"/>
      <c r="H1183" s="35" t="str">
        <f t="shared" si="18"/>
        <v/>
      </c>
      <c r="I1183" s="29"/>
      <c r="K1183" s="36" t="str">
        <f>IF(ISNUMBER($D1183),IF(YEAR($D1183)=대시보드!$C$2,$D1183+ROW()/100000,""),"")</f>
        <v/>
      </c>
    </row>
    <row r="1184" spans="1:11">
      <c r="A1184" s="33"/>
      <c r="B1184" s="29"/>
      <c r="C1184" s="29"/>
      <c r="D1184" s="30"/>
      <c r="E1184" s="30"/>
      <c r="F1184" s="35"/>
      <c r="G1184" s="35"/>
      <c r="H1184" s="35" t="str">
        <f t="shared" si="18"/>
        <v/>
      </c>
      <c r="I1184" s="29"/>
      <c r="K1184" s="36" t="str">
        <f>IF(ISNUMBER($D1184),IF(YEAR($D1184)=대시보드!$C$2,$D1184+ROW()/100000,""),"")</f>
        <v/>
      </c>
    </row>
    <row r="1185" spans="1:11">
      <c r="A1185" s="33"/>
      <c r="B1185" s="29"/>
      <c r="C1185" s="29"/>
      <c r="D1185" s="30"/>
      <c r="E1185" s="30"/>
      <c r="F1185" s="35"/>
      <c r="G1185" s="35"/>
      <c r="H1185" s="35" t="str">
        <f t="shared" si="18"/>
        <v/>
      </c>
      <c r="I1185" s="29"/>
      <c r="K1185" s="36" t="str">
        <f>IF(ISNUMBER($D1185),IF(YEAR($D1185)=대시보드!$C$2,$D1185+ROW()/100000,""),"")</f>
        <v/>
      </c>
    </row>
    <row r="1186" spans="1:11">
      <c r="A1186" s="33"/>
      <c r="B1186" s="29"/>
      <c r="C1186" s="29"/>
      <c r="D1186" s="30"/>
      <c r="E1186" s="30"/>
      <c r="F1186" s="35"/>
      <c r="G1186" s="35"/>
      <c r="H1186" s="35" t="str">
        <f t="shared" si="18"/>
        <v/>
      </c>
      <c r="I1186" s="29"/>
      <c r="K1186" s="36" t="str">
        <f>IF(ISNUMBER($D1186),IF(YEAR($D1186)=대시보드!$C$2,$D1186+ROW()/100000,""),"")</f>
        <v/>
      </c>
    </row>
    <row r="1187" spans="1:11">
      <c r="A1187" s="33"/>
      <c r="B1187" s="29"/>
      <c r="C1187" s="29"/>
      <c r="D1187" s="30"/>
      <c r="E1187" s="30"/>
      <c r="F1187" s="35"/>
      <c r="G1187" s="35"/>
      <c r="H1187" s="35" t="str">
        <f t="shared" si="18"/>
        <v/>
      </c>
      <c r="I1187" s="29"/>
      <c r="K1187" s="36" t="str">
        <f>IF(ISNUMBER($D1187),IF(YEAR($D1187)=대시보드!$C$2,$D1187+ROW()/100000,""),"")</f>
        <v/>
      </c>
    </row>
    <row r="1188" spans="1:11">
      <c r="A1188" s="33"/>
      <c r="B1188" s="29"/>
      <c r="C1188" s="29"/>
      <c r="D1188" s="30"/>
      <c r="E1188" s="30"/>
      <c r="F1188" s="35"/>
      <c r="G1188" s="35"/>
      <c r="H1188" s="35" t="str">
        <f t="shared" si="18"/>
        <v/>
      </c>
      <c r="I1188" s="29"/>
      <c r="K1188" s="36" t="str">
        <f>IF(ISNUMBER($D1188),IF(YEAR($D1188)=대시보드!$C$2,$D1188+ROW()/100000,""),"")</f>
        <v/>
      </c>
    </row>
    <row r="1189" spans="1:11">
      <c r="A1189" s="33"/>
      <c r="B1189" s="29"/>
      <c r="C1189" s="29"/>
      <c r="D1189" s="30"/>
      <c r="E1189" s="30"/>
      <c r="F1189" s="35"/>
      <c r="G1189" s="35"/>
      <c r="H1189" s="35" t="str">
        <f t="shared" si="18"/>
        <v/>
      </c>
      <c r="I1189" s="29"/>
      <c r="K1189" s="36" t="str">
        <f>IF(ISNUMBER($D1189),IF(YEAR($D1189)=대시보드!$C$2,$D1189+ROW()/100000,""),"")</f>
        <v/>
      </c>
    </row>
    <row r="1190" spans="1:11">
      <c r="A1190" s="33"/>
      <c r="B1190" s="29"/>
      <c r="C1190" s="29"/>
      <c r="D1190" s="30"/>
      <c r="E1190" s="30"/>
      <c r="F1190" s="35"/>
      <c r="G1190" s="35"/>
      <c r="H1190" s="35" t="str">
        <f t="shared" si="18"/>
        <v/>
      </c>
      <c r="I1190" s="29"/>
      <c r="K1190" s="36" t="str">
        <f>IF(ISNUMBER($D1190),IF(YEAR($D1190)=대시보드!$C$2,$D1190+ROW()/100000,""),"")</f>
        <v/>
      </c>
    </row>
    <row r="1191" spans="1:11">
      <c r="A1191" s="33"/>
      <c r="B1191" s="29"/>
      <c r="C1191" s="29"/>
      <c r="D1191" s="30"/>
      <c r="E1191" s="30"/>
      <c r="F1191" s="35"/>
      <c r="G1191" s="35"/>
      <c r="H1191" s="35" t="str">
        <f t="shared" si="18"/>
        <v/>
      </c>
      <c r="I1191" s="29"/>
      <c r="K1191" s="36" t="str">
        <f>IF(ISNUMBER($D1191),IF(YEAR($D1191)=대시보드!$C$2,$D1191+ROW()/100000,""),"")</f>
        <v/>
      </c>
    </row>
    <row r="1192" spans="1:11">
      <c r="A1192" s="33"/>
      <c r="B1192" s="29"/>
      <c r="C1192" s="29"/>
      <c r="D1192" s="30"/>
      <c r="E1192" s="30"/>
      <c r="F1192" s="35"/>
      <c r="G1192" s="35"/>
      <c r="H1192" s="35" t="str">
        <f t="shared" si="18"/>
        <v/>
      </c>
      <c r="I1192" s="29"/>
      <c r="K1192" s="36" t="str">
        <f>IF(ISNUMBER($D1192),IF(YEAR($D1192)=대시보드!$C$2,$D1192+ROW()/100000,""),"")</f>
        <v/>
      </c>
    </row>
    <row r="1193" spans="1:11">
      <c r="A1193" s="33"/>
      <c r="B1193" s="29"/>
      <c r="C1193" s="29"/>
      <c r="D1193" s="30"/>
      <c r="E1193" s="30"/>
      <c r="F1193" s="35"/>
      <c r="G1193" s="35"/>
      <c r="H1193" s="35" t="str">
        <f t="shared" si="18"/>
        <v/>
      </c>
      <c r="I1193" s="29"/>
      <c r="K1193" s="36" t="str">
        <f>IF(ISNUMBER($D1193),IF(YEAR($D1193)=대시보드!$C$2,$D1193+ROW()/100000,""),"")</f>
        <v/>
      </c>
    </row>
    <row r="1194" spans="1:11">
      <c r="A1194" s="33"/>
      <c r="B1194" s="29"/>
      <c r="C1194" s="29"/>
      <c r="D1194" s="30"/>
      <c r="E1194" s="30"/>
      <c r="F1194" s="35"/>
      <c r="G1194" s="35"/>
      <c r="H1194" s="35" t="str">
        <f t="shared" si="18"/>
        <v/>
      </c>
      <c r="I1194" s="29"/>
      <c r="K1194" s="36" t="str">
        <f>IF(ISNUMBER($D1194),IF(YEAR($D1194)=대시보드!$C$2,$D1194+ROW()/100000,""),"")</f>
        <v/>
      </c>
    </row>
    <row r="1195" spans="1:11">
      <c r="A1195" s="33"/>
      <c r="B1195" s="29"/>
      <c r="C1195" s="29"/>
      <c r="D1195" s="30"/>
      <c r="E1195" s="30"/>
      <c r="F1195" s="35"/>
      <c r="G1195" s="35"/>
      <c r="H1195" s="35" t="str">
        <f t="shared" si="18"/>
        <v/>
      </c>
      <c r="I1195" s="29"/>
      <c r="K1195" s="36" t="str">
        <f>IF(ISNUMBER($D1195),IF(YEAR($D1195)=대시보드!$C$2,$D1195+ROW()/100000,""),"")</f>
        <v/>
      </c>
    </row>
    <row r="1196" spans="1:11">
      <c r="A1196" s="33"/>
      <c r="B1196" s="29"/>
      <c r="C1196" s="29"/>
      <c r="D1196" s="30"/>
      <c r="E1196" s="30"/>
      <c r="F1196" s="35"/>
      <c r="G1196" s="35"/>
      <c r="H1196" s="35" t="str">
        <f t="shared" si="18"/>
        <v/>
      </c>
      <c r="I1196" s="29"/>
      <c r="K1196" s="36" t="str">
        <f>IF(ISNUMBER($D1196),IF(YEAR($D1196)=대시보드!$C$2,$D1196+ROW()/100000,""),"")</f>
        <v/>
      </c>
    </row>
    <row r="1197" spans="1:11">
      <c r="A1197" s="33"/>
      <c r="B1197" s="29"/>
      <c r="C1197" s="29"/>
      <c r="D1197" s="30"/>
      <c r="E1197" s="30"/>
      <c r="F1197" s="35"/>
      <c r="G1197" s="35"/>
      <c r="H1197" s="35" t="str">
        <f t="shared" si="18"/>
        <v/>
      </c>
      <c r="I1197" s="29"/>
      <c r="K1197" s="36" t="str">
        <f>IF(ISNUMBER($D1197),IF(YEAR($D1197)=대시보드!$C$2,$D1197+ROW()/100000,""),"")</f>
        <v/>
      </c>
    </row>
    <row r="1198" spans="1:11">
      <c r="A1198" s="33"/>
      <c r="B1198" s="29"/>
      <c r="C1198" s="29"/>
      <c r="D1198" s="30"/>
      <c r="E1198" s="30"/>
      <c r="F1198" s="35"/>
      <c r="G1198" s="35"/>
      <c r="H1198" s="35" t="str">
        <f t="shared" si="18"/>
        <v/>
      </c>
      <c r="I1198" s="29"/>
      <c r="K1198" s="36" t="str">
        <f>IF(ISNUMBER($D1198),IF(YEAR($D1198)=대시보드!$C$2,$D1198+ROW()/100000,""),"")</f>
        <v/>
      </c>
    </row>
    <row r="1199" spans="1:11">
      <c r="A1199" s="33"/>
      <c r="B1199" s="29"/>
      <c r="C1199" s="29"/>
      <c r="D1199" s="30"/>
      <c r="E1199" s="30"/>
      <c r="F1199" s="35"/>
      <c r="G1199" s="35"/>
      <c r="H1199" s="35" t="str">
        <f t="shared" si="18"/>
        <v/>
      </c>
      <c r="I1199" s="29"/>
      <c r="K1199" s="36" t="str">
        <f>IF(ISNUMBER($D1199),IF(YEAR($D1199)=대시보드!$C$2,$D1199+ROW()/100000,""),"")</f>
        <v/>
      </c>
    </row>
    <row r="1200" spans="1:11">
      <c r="A1200" s="33"/>
      <c r="B1200" s="29"/>
      <c r="C1200" s="29"/>
      <c r="D1200" s="30"/>
      <c r="E1200" s="30"/>
      <c r="F1200" s="35"/>
      <c r="G1200" s="35"/>
      <c r="H1200" s="35" t="str">
        <f t="shared" si="18"/>
        <v/>
      </c>
      <c r="I1200" s="29"/>
      <c r="K1200" s="36" t="str">
        <f>IF(ISNUMBER($D1200),IF(YEAR($D1200)=대시보드!$C$2,$D1200+ROW()/100000,""),"")</f>
        <v/>
      </c>
    </row>
    <row r="1201" spans="1:11">
      <c r="A1201" s="33"/>
      <c r="B1201" s="29"/>
      <c r="C1201" s="29"/>
      <c r="D1201" s="30"/>
      <c r="E1201" s="30"/>
      <c r="F1201" s="35"/>
      <c r="G1201" s="35"/>
      <c r="H1201" s="35" t="str">
        <f t="shared" si="18"/>
        <v/>
      </c>
      <c r="I1201" s="29"/>
      <c r="K1201" s="36" t="str">
        <f>IF(ISNUMBER($D1201),IF(YEAR($D1201)=대시보드!$C$2,$D1201+ROW()/100000,""),"")</f>
        <v/>
      </c>
    </row>
    <row r="1202" spans="1:11">
      <c r="A1202" s="33"/>
      <c r="B1202" s="29"/>
      <c r="C1202" s="29"/>
      <c r="D1202" s="30"/>
      <c r="E1202" s="30"/>
      <c r="F1202" s="35"/>
      <c r="G1202" s="35"/>
      <c r="H1202" s="35" t="str">
        <f t="shared" si="18"/>
        <v/>
      </c>
      <c r="I1202" s="29"/>
      <c r="K1202" s="36" t="str">
        <f>IF(ISNUMBER($D1202),IF(YEAR($D1202)=대시보드!$C$2,$D1202+ROW()/100000,""),"")</f>
        <v/>
      </c>
    </row>
    <row r="1203" spans="1:11">
      <c r="A1203" s="33"/>
      <c r="B1203" s="29"/>
      <c r="C1203" s="29"/>
      <c r="D1203" s="30"/>
      <c r="E1203" s="30"/>
      <c r="F1203" s="35"/>
      <c r="G1203" s="35"/>
      <c r="H1203" s="35" t="str">
        <f t="shared" si="18"/>
        <v/>
      </c>
      <c r="I1203" s="29"/>
      <c r="K1203" s="36" t="str">
        <f>IF(ISNUMBER($D1203),IF(YEAR($D1203)=대시보드!$C$2,$D1203+ROW()/100000,""),"")</f>
        <v/>
      </c>
    </row>
    <row r="1204" spans="1:11">
      <c r="A1204" s="33"/>
      <c r="B1204" s="29"/>
      <c r="C1204" s="29"/>
      <c r="D1204" s="30"/>
      <c r="E1204" s="30"/>
      <c r="F1204" s="35"/>
      <c r="G1204" s="35"/>
      <c r="H1204" s="35" t="str">
        <f t="shared" si="18"/>
        <v/>
      </c>
      <c r="I1204" s="29"/>
      <c r="K1204" s="36" t="str">
        <f>IF(ISNUMBER($D1204),IF(YEAR($D1204)=대시보드!$C$2,$D1204+ROW()/100000,""),"")</f>
        <v/>
      </c>
    </row>
    <row r="1205" spans="1:11">
      <c r="A1205" s="33"/>
      <c r="B1205" s="29"/>
      <c r="C1205" s="29"/>
      <c r="D1205" s="30"/>
      <c r="E1205" s="30"/>
      <c r="F1205" s="35"/>
      <c r="G1205" s="35"/>
      <c r="H1205" s="35" t="str">
        <f t="shared" si="18"/>
        <v/>
      </c>
      <c r="I1205" s="29"/>
      <c r="K1205" s="36" t="str">
        <f>IF(ISNUMBER($D1205),IF(YEAR($D1205)=대시보드!$C$2,$D1205+ROW()/100000,""),"")</f>
        <v/>
      </c>
    </row>
    <row r="1206" spans="1:11">
      <c r="A1206" s="33"/>
      <c r="B1206" s="29"/>
      <c r="C1206" s="29"/>
      <c r="D1206" s="30"/>
      <c r="E1206" s="30"/>
      <c r="F1206" s="35"/>
      <c r="G1206" s="35"/>
      <c r="H1206" s="35" t="str">
        <f t="shared" si="18"/>
        <v/>
      </c>
      <c r="I1206" s="29"/>
      <c r="K1206" s="36" t="str">
        <f>IF(ISNUMBER($D1206),IF(YEAR($D1206)=대시보드!$C$2,$D1206+ROW()/100000,""),"")</f>
        <v/>
      </c>
    </row>
    <row r="1207" spans="1:11">
      <c r="A1207" s="33"/>
      <c r="B1207" s="29"/>
      <c r="C1207" s="29"/>
      <c r="D1207" s="30"/>
      <c r="E1207" s="30"/>
      <c r="F1207" s="35"/>
      <c r="G1207" s="35"/>
      <c r="H1207" s="35" t="str">
        <f t="shared" si="18"/>
        <v/>
      </c>
      <c r="I1207" s="29"/>
      <c r="K1207" s="36" t="str">
        <f>IF(ISNUMBER($D1207),IF(YEAR($D1207)=대시보드!$C$2,$D1207+ROW()/100000,""),"")</f>
        <v/>
      </c>
    </row>
    <row r="1208" spans="1:11">
      <c r="A1208" s="33"/>
      <c r="B1208" s="29"/>
      <c r="C1208" s="29"/>
      <c r="D1208" s="30"/>
      <c r="E1208" s="30"/>
      <c r="F1208" s="35"/>
      <c r="G1208" s="35"/>
      <c r="H1208" s="35" t="str">
        <f t="shared" si="18"/>
        <v/>
      </c>
      <c r="I1208" s="29"/>
      <c r="K1208" s="36" t="str">
        <f>IF(ISNUMBER($D1208),IF(YEAR($D1208)=대시보드!$C$2,$D1208+ROW()/100000,""),"")</f>
        <v/>
      </c>
    </row>
    <row r="1209" spans="1:11">
      <c r="A1209" s="33"/>
      <c r="B1209" s="29"/>
      <c r="C1209" s="29"/>
      <c r="D1209" s="30"/>
      <c r="E1209" s="30"/>
      <c r="F1209" s="35"/>
      <c r="G1209" s="35"/>
      <c r="H1209" s="35" t="str">
        <f t="shared" si="18"/>
        <v/>
      </c>
      <c r="I1209" s="29"/>
      <c r="K1209" s="36" t="str">
        <f>IF(ISNUMBER($D1209),IF(YEAR($D1209)=대시보드!$C$2,$D1209+ROW()/100000,""),"")</f>
        <v/>
      </c>
    </row>
    <row r="1210" spans="1:11">
      <c r="A1210" s="33"/>
      <c r="B1210" s="29"/>
      <c r="C1210" s="29"/>
      <c r="D1210" s="30"/>
      <c r="E1210" s="30"/>
      <c r="F1210" s="35"/>
      <c r="G1210" s="35"/>
      <c r="H1210" s="35" t="str">
        <f t="shared" si="18"/>
        <v/>
      </c>
      <c r="I1210" s="29"/>
      <c r="K1210" s="36" t="str">
        <f>IF(ISNUMBER($D1210),IF(YEAR($D1210)=대시보드!$C$2,$D1210+ROW()/100000,""),"")</f>
        <v/>
      </c>
    </row>
    <row r="1211" spans="1:11">
      <c r="A1211" s="33"/>
      <c r="B1211" s="29"/>
      <c r="C1211" s="29"/>
      <c r="D1211" s="30"/>
      <c r="E1211" s="30"/>
      <c r="F1211" s="35"/>
      <c r="G1211" s="35"/>
      <c r="H1211" s="35" t="str">
        <f t="shared" si="18"/>
        <v/>
      </c>
      <c r="I1211" s="29"/>
      <c r="K1211" s="36" t="str">
        <f>IF(ISNUMBER($D1211),IF(YEAR($D1211)=대시보드!$C$2,$D1211+ROW()/100000,""),"")</f>
        <v/>
      </c>
    </row>
    <row r="1212" spans="1:11">
      <c r="A1212" s="33"/>
      <c r="B1212" s="29"/>
      <c r="C1212" s="29"/>
      <c r="D1212" s="30"/>
      <c r="E1212" s="30"/>
      <c r="F1212" s="35"/>
      <c r="G1212" s="35"/>
      <c r="H1212" s="35" t="str">
        <f t="shared" si="18"/>
        <v/>
      </c>
      <c r="I1212" s="29"/>
      <c r="K1212" s="36" t="str">
        <f>IF(ISNUMBER($D1212),IF(YEAR($D1212)=대시보드!$C$2,$D1212+ROW()/100000,""),"")</f>
        <v/>
      </c>
    </row>
    <row r="1213" spans="1:11">
      <c r="A1213" s="33"/>
      <c r="B1213" s="29"/>
      <c r="C1213" s="29"/>
      <c r="D1213" s="30"/>
      <c r="E1213" s="30"/>
      <c r="F1213" s="35"/>
      <c r="G1213" s="35"/>
      <c r="H1213" s="35" t="str">
        <f t="shared" si="18"/>
        <v/>
      </c>
      <c r="I1213" s="29"/>
      <c r="K1213" s="36" t="str">
        <f>IF(ISNUMBER($D1213),IF(YEAR($D1213)=대시보드!$C$2,$D1213+ROW()/100000,""),"")</f>
        <v/>
      </c>
    </row>
    <row r="1214" spans="1:11">
      <c r="A1214" s="33"/>
      <c r="B1214" s="29"/>
      <c r="C1214" s="29"/>
      <c r="D1214" s="30"/>
      <c r="E1214" s="30"/>
      <c r="F1214" s="35"/>
      <c r="G1214" s="35"/>
      <c r="H1214" s="35" t="str">
        <f t="shared" si="18"/>
        <v/>
      </c>
      <c r="I1214" s="29"/>
      <c r="K1214" s="36" t="str">
        <f>IF(ISNUMBER($D1214),IF(YEAR($D1214)=대시보드!$C$2,$D1214+ROW()/100000,""),"")</f>
        <v/>
      </c>
    </row>
    <row r="1215" spans="1:11">
      <c r="A1215" s="33"/>
      <c r="B1215" s="29"/>
      <c r="C1215" s="29"/>
      <c r="D1215" s="30"/>
      <c r="E1215" s="30"/>
      <c r="F1215" s="35"/>
      <c r="G1215" s="35"/>
      <c r="H1215" s="35" t="str">
        <f t="shared" si="18"/>
        <v/>
      </c>
      <c r="I1215" s="29"/>
      <c r="K1215" s="36" t="str">
        <f>IF(ISNUMBER($D1215),IF(YEAR($D1215)=대시보드!$C$2,$D1215+ROW()/100000,""),"")</f>
        <v/>
      </c>
    </row>
    <row r="1216" spans="1:11">
      <c r="A1216" s="33"/>
      <c r="B1216" s="29"/>
      <c r="C1216" s="29"/>
      <c r="D1216" s="30"/>
      <c r="E1216" s="30"/>
      <c r="F1216" s="35"/>
      <c r="G1216" s="35"/>
      <c r="H1216" s="35" t="str">
        <f t="shared" si="18"/>
        <v/>
      </c>
      <c r="I1216" s="29"/>
      <c r="K1216" s="36" t="str">
        <f>IF(ISNUMBER($D1216),IF(YEAR($D1216)=대시보드!$C$2,$D1216+ROW()/100000,""),"")</f>
        <v/>
      </c>
    </row>
    <row r="1217" spans="1:11">
      <c r="A1217" s="33"/>
      <c r="B1217" s="29"/>
      <c r="C1217" s="29"/>
      <c r="D1217" s="30"/>
      <c r="E1217" s="30"/>
      <c r="F1217" s="35"/>
      <c r="G1217" s="35"/>
      <c r="H1217" s="35" t="str">
        <f t="shared" si="18"/>
        <v/>
      </c>
      <c r="I1217" s="29"/>
      <c r="K1217" s="36" t="str">
        <f>IF(ISNUMBER($D1217),IF(YEAR($D1217)=대시보드!$C$2,$D1217+ROW()/100000,""),"")</f>
        <v/>
      </c>
    </row>
    <row r="1218" spans="1:11">
      <c r="A1218" s="33"/>
      <c r="B1218" s="29"/>
      <c r="C1218" s="29"/>
      <c r="D1218" s="30"/>
      <c r="E1218" s="30"/>
      <c r="F1218" s="35"/>
      <c r="G1218" s="35"/>
      <c r="H1218" s="35" t="str">
        <f t="shared" si="18"/>
        <v/>
      </c>
      <c r="I1218" s="29"/>
      <c r="K1218" s="36" t="str">
        <f>IF(ISNUMBER($D1218),IF(YEAR($D1218)=대시보드!$C$2,$D1218+ROW()/100000,""),"")</f>
        <v/>
      </c>
    </row>
    <row r="1219" spans="1:11">
      <c r="A1219" s="33"/>
      <c r="B1219" s="29"/>
      <c r="C1219" s="29"/>
      <c r="D1219" s="30"/>
      <c r="E1219" s="30"/>
      <c r="F1219" s="35"/>
      <c r="G1219" s="35"/>
      <c r="H1219" s="35" t="str">
        <f t="shared" si="18"/>
        <v/>
      </c>
      <c r="I1219" s="29"/>
      <c r="K1219" s="36" t="str">
        <f>IF(ISNUMBER($D1219),IF(YEAR($D1219)=대시보드!$C$2,$D1219+ROW()/100000,""),"")</f>
        <v/>
      </c>
    </row>
    <row r="1220" spans="1:11">
      <c r="A1220" s="33"/>
      <c r="B1220" s="29"/>
      <c r="C1220" s="29"/>
      <c r="D1220" s="30"/>
      <c r="E1220" s="30"/>
      <c r="F1220" s="35"/>
      <c r="G1220" s="35"/>
      <c r="H1220" s="35" t="str">
        <f t="shared" ref="H1220:H1283" si="19">IF(F1220="","",F1220-G1220)</f>
        <v/>
      </c>
      <c r="I1220" s="29"/>
      <c r="K1220" s="36" t="str">
        <f>IF(ISNUMBER($D1220),IF(YEAR($D1220)=대시보드!$C$2,$D1220+ROW()/100000,""),"")</f>
        <v/>
      </c>
    </row>
    <row r="1221" spans="1:11">
      <c r="A1221" s="33"/>
      <c r="B1221" s="29"/>
      <c r="C1221" s="29"/>
      <c r="D1221" s="30"/>
      <c r="E1221" s="30"/>
      <c r="F1221" s="35"/>
      <c r="G1221" s="35"/>
      <c r="H1221" s="35" t="str">
        <f t="shared" si="19"/>
        <v/>
      </c>
      <c r="I1221" s="29"/>
      <c r="K1221" s="36" t="str">
        <f>IF(ISNUMBER($D1221),IF(YEAR($D1221)=대시보드!$C$2,$D1221+ROW()/100000,""),"")</f>
        <v/>
      </c>
    </row>
    <row r="1222" spans="1:11">
      <c r="A1222" s="33"/>
      <c r="B1222" s="29"/>
      <c r="C1222" s="29"/>
      <c r="D1222" s="30"/>
      <c r="E1222" s="30"/>
      <c r="F1222" s="35"/>
      <c r="G1222" s="35"/>
      <c r="H1222" s="35" t="str">
        <f t="shared" si="19"/>
        <v/>
      </c>
      <c r="I1222" s="29"/>
      <c r="K1222" s="36" t="str">
        <f>IF(ISNUMBER($D1222),IF(YEAR($D1222)=대시보드!$C$2,$D1222+ROW()/100000,""),"")</f>
        <v/>
      </c>
    </row>
    <row r="1223" spans="1:11">
      <c r="A1223" s="33"/>
      <c r="B1223" s="29"/>
      <c r="C1223" s="29"/>
      <c r="D1223" s="30"/>
      <c r="E1223" s="30"/>
      <c r="F1223" s="35"/>
      <c r="G1223" s="35"/>
      <c r="H1223" s="35" t="str">
        <f t="shared" si="19"/>
        <v/>
      </c>
      <c r="I1223" s="29"/>
      <c r="K1223" s="36" t="str">
        <f>IF(ISNUMBER($D1223),IF(YEAR($D1223)=대시보드!$C$2,$D1223+ROW()/100000,""),"")</f>
        <v/>
      </c>
    </row>
    <row r="1224" spans="1:11">
      <c r="A1224" s="33"/>
      <c r="B1224" s="29"/>
      <c r="C1224" s="29"/>
      <c r="D1224" s="30"/>
      <c r="E1224" s="30"/>
      <c r="F1224" s="35"/>
      <c r="G1224" s="35"/>
      <c r="H1224" s="35" t="str">
        <f t="shared" si="19"/>
        <v/>
      </c>
      <c r="I1224" s="29"/>
      <c r="K1224" s="36" t="str">
        <f>IF(ISNUMBER($D1224),IF(YEAR($D1224)=대시보드!$C$2,$D1224+ROW()/100000,""),"")</f>
        <v/>
      </c>
    </row>
    <row r="1225" spans="1:11">
      <c r="A1225" s="33"/>
      <c r="B1225" s="29"/>
      <c r="C1225" s="29"/>
      <c r="D1225" s="30"/>
      <c r="E1225" s="30"/>
      <c r="F1225" s="35"/>
      <c r="G1225" s="35"/>
      <c r="H1225" s="35" t="str">
        <f t="shared" si="19"/>
        <v/>
      </c>
      <c r="I1225" s="29"/>
      <c r="K1225" s="36" t="str">
        <f>IF(ISNUMBER($D1225),IF(YEAR($D1225)=대시보드!$C$2,$D1225+ROW()/100000,""),"")</f>
        <v/>
      </c>
    </row>
    <row r="1226" spans="1:11">
      <c r="A1226" s="33"/>
      <c r="B1226" s="29"/>
      <c r="C1226" s="29"/>
      <c r="D1226" s="30"/>
      <c r="E1226" s="30"/>
      <c r="F1226" s="35"/>
      <c r="G1226" s="35"/>
      <c r="H1226" s="35" t="str">
        <f t="shared" si="19"/>
        <v/>
      </c>
      <c r="I1226" s="29"/>
      <c r="K1226" s="36" t="str">
        <f>IF(ISNUMBER($D1226),IF(YEAR($D1226)=대시보드!$C$2,$D1226+ROW()/100000,""),"")</f>
        <v/>
      </c>
    </row>
    <row r="1227" spans="1:11">
      <c r="A1227" s="33"/>
      <c r="B1227" s="29"/>
      <c r="C1227" s="29"/>
      <c r="D1227" s="30"/>
      <c r="E1227" s="30"/>
      <c r="F1227" s="35"/>
      <c r="G1227" s="35"/>
      <c r="H1227" s="35" t="str">
        <f t="shared" si="19"/>
        <v/>
      </c>
      <c r="I1227" s="29"/>
      <c r="K1227" s="36" t="str">
        <f>IF(ISNUMBER($D1227),IF(YEAR($D1227)=대시보드!$C$2,$D1227+ROW()/100000,""),"")</f>
        <v/>
      </c>
    </row>
    <row r="1228" spans="1:11">
      <c r="A1228" s="33"/>
      <c r="B1228" s="29"/>
      <c r="C1228" s="29"/>
      <c r="D1228" s="30"/>
      <c r="E1228" s="30"/>
      <c r="F1228" s="35"/>
      <c r="G1228" s="35"/>
      <c r="H1228" s="35" t="str">
        <f t="shared" si="19"/>
        <v/>
      </c>
      <c r="I1228" s="29"/>
      <c r="K1228" s="36" t="str">
        <f>IF(ISNUMBER($D1228),IF(YEAR($D1228)=대시보드!$C$2,$D1228+ROW()/100000,""),"")</f>
        <v/>
      </c>
    </row>
    <row r="1229" spans="1:11">
      <c r="A1229" s="33"/>
      <c r="B1229" s="29"/>
      <c r="C1229" s="29"/>
      <c r="D1229" s="30"/>
      <c r="E1229" s="30"/>
      <c r="F1229" s="35"/>
      <c r="G1229" s="35"/>
      <c r="H1229" s="35" t="str">
        <f t="shared" si="19"/>
        <v/>
      </c>
      <c r="I1229" s="29"/>
      <c r="K1229" s="36" t="str">
        <f>IF(ISNUMBER($D1229),IF(YEAR($D1229)=대시보드!$C$2,$D1229+ROW()/100000,""),"")</f>
        <v/>
      </c>
    </row>
    <row r="1230" spans="1:11">
      <c r="A1230" s="33"/>
      <c r="B1230" s="29"/>
      <c r="C1230" s="29"/>
      <c r="D1230" s="30"/>
      <c r="E1230" s="30"/>
      <c r="F1230" s="35"/>
      <c r="G1230" s="35"/>
      <c r="H1230" s="35" t="str">
        <f t="shared" si="19"/>
        <v/>
      </c>
      <c r="I1230" s="29"/>
      <c r="K1230" s="36" t="str">
        <f>IF(ISNUMBER($D1230),IF(YEAR($D1230)=대시보드!$C$2,$D1230+ROW()/100000,""),"")</f>
        <v/>
      </c>
    </row>
    <row r="1231" spans="1:11">
      <c r="A1231" s="33"/>
      <c r="B1231" s="29"/>
      <c r="C1231" s="29"/>
      <c r="D1231" s="30"/>
      <c r="E1231" s="30"/>
      <c r="F1231" s="35"/>
      <c r="G1231" s="35"/>
      <c r="H1231" s="35" t="str">
        <f t="shared" si="19"/>
        <v/>
      </c>
      <c r="I1231" s="29"/>
      <c r="K1231" s="36" t="str">
        <f>IF(ISNUMBER($D1231),IF(YEAR($D1231)=대시보드!$C$2,$D1231+ROW()/100000,""),"")</f>
        <v/>
      </c>
    </row>
    <row r="1232" spans="1:11">
      <c r="A1232" s="33"/>
      <c r="B1232" s="29"/>
      <c r="C1232" s="29"/>
      <c r="D1232" s="30"/>
      <c r="E1232" s="30"/>
      <c r="F1232" s="35"/>
      <c r="G1232" s="35"/>
      <c r="H1232" s="35" t="str">
        <f t="shared" si="19"/>
        <v/>
      </c>
      <c r="I1232" s="29"/>
      <c r="K1232" s="36" t="str">
        <f>IF(ISNUMBER($D1232),IF(YEAR($D1232)=대시보드!$C$2,$D1232+ROW()/100000,""),"")</f>
        <v/>
      </c>
    </row>
    <row r="1233" spans="1:11">
      <c r="A1233" s="33"/>
      <c r="B1233" s="29"/>
      <c r="C1233" s="29"/>
      <c r="D1233" s="30"/>
      <c r="E1233" s="30"/>
      <c r="F1233" s="35"/>
      <c r="G1233" s="35"/>
      <c r="H1233" s="35" t="str">
        <f t="shared" si="19"/>
        <v/>
      </c>
      <c r="I1233" s="29"/>
      <c r="K1233" s="36" t="str">
        <f>IF(ISNUMBER($D1233),IF(YEAR($D1233)=대시보드!$C$2,$D1233+ROW()/100000,""),"")</f>
        <v/>
      </c>
    </row>
    <row r="1234" spans="1:11">
      <c r="A1234" s="33"/>
      <c r="B1234" s="29"/>
      <c r="C1234" s="29"/>
      <c r="D1234" s="30"/>
      <c r="E1234" s="30"/>
      <c r="F1234" s="35"/>
      <c r="G1234" s="35"/>
      <c r="H1234" s="35" t="str">
        <f t="shared" si="19"/>
        <v/>
      </c>
      <c r="I1234" s="29"/>
      <c r="K1234" s="36" t="str">
        <f>IF(ISNUMBER($D1234),IF(YEAR($D1234)=대시보드!$C$2,$D1234+ROW()/100000,""),"")</f>
        <v/>
      </c>
    </row>
    <row r="1235" spans="1:11">
      <c r="A1235" s="33"/>
      <c r="B1235" s="29"/>
      <c r="C1235" s="29"/>
      <c r="D1235" s="30"/>
      <c r="E1235" s="30"/>
      <c r="F1235" s="35"/>
      <c r="G1235" s="35"/>
      <c r="H1235" s="35" t="str">
        <f t="shared" si="19"/>
        <v/>
      </c>
      <c r="I1235" s="29"/>
      <c r="K1235" s="36" t="str">
        <f>IF(ISNUMBER($D1235),IF(YEAR($D1235)=대시보드!$C$2,$D1235+ROW()/100000,""),"")</f>
        <v/>
      </c>
    </row>
    <row r="1236" spans="1:11">
      <c r="A1236" s="33"/>
      <c r="B1236" s="29"/>
      <c r="C1236" s="29"/>
      <c r="D1236" s="30"/>
      <c r="E1236" s="30"/>
      <c r="F1236" s="35"/>
      <c r="G1236" s="35"/>
      <c r="H1236" s="35" t="str">
        <f t="shared" si="19"/>
        <v/>
      </c>
      <c r="I1236" s="29"/>
      <c r="K1236" s="36" t="str">
        <f>IF(ISNUMBER($D1236),IF(YEAR($D1236)=대시보드!$C$2,$D1236+ROW()/100000,""),"")</f>
        <v/>
      </c>
    </row>
    <row r="1237" spans="1:11">
      <c r="A1237" s="33"/>
      <c r="B1237" s="29"/>
      <c r="C1237" s="29"/>
      <c r="D1237" s="30"/>
      <c r="E1237" s="30"/>
      <c r="F1237" s="35"/>
      <c r="G1237" s="35"/>
      <c r="H1237" s="35" t="str">
        <f t="shared" si="19"/>
        <v/>
      </c>
      <c r="I1237" s="29"/>
      <c r="K1237" s="36" t="str">
        <f>IF(ISNUMBER($D1237),IF(YEAR($D1237)=대시보드!$C$2,$D1237+ROW()/100000,""),"")</f>
        <v/>
      </c>
    </row>
    <row r="1238" spans="1:11">
      <c r="A1238" s="33"/>
      <c r="B1238" s="29"/>
      <c r="C1238" s="29"/>
      <c r="D1238" s="30"/>
      <c r="E1238" s="30"/>
      <c r="F1238" s="35"/>
      <c r="G1238" s="35"/>
      <c r="H1238" s="35" t="str">
        <f t="shared" si="19"/>
        <v/>
      </c>
      <c r="I1238" s="29"/>
      <c r="K1238" s="36" t="str">
        <f>IF(ISNUMBER($D1238),IF(YEAR($D1238)=대시보드!$C$2,$D1238+ROW()/100000,""),"")</f>
        <v/>
      </c>
    </row>
    <row r="1239" spans="1:11">
      <c r="A1239" s="33"/>
      <c r="B1239" s="29"/>
      <c r="C1239" s="29"/>
      <c r="D1239" s="30"/>
      <c r="E1239" s="30"/>
      <c r="F1239" s="35"/>
      <c r="G1239" s="35"/>
      <c r="H1239" s="35" t="str">
        <f t="shared" si="19"/>
        <v/>
      </c>
      <c r="I1239" s="29"/>
      <c r="K1239" s="36" t="str">
        <f>IF(ISNUMBER($D1239),IF(YEAR($D1239)=대시보드!$C$2,$D1239+ROW()/100000,""),"")</f>
        <v/>
      </c>
    </row>
    <row r="1240" spans="1:11">
      <c r="A1240" s="33"/>
      <c r="B1240" s="29"/>
      <c r="C1240" s="29"/>
      <c r="D1240" s="30"/>
      <c r="E1240" s="30"/>
      <c r="F1240" s="35"/>
      <c r="G1240" s="35"/>
      <c r="H1240" s="35" t="str">
        <f t="shared" si="19"/>
        <v/>
      </c>
      <c r="I1240" s="29"/>
      <c r="K1240" s="36" t="str">
        <f>IF(ISNUMBER($D1240),IF(YEAR($D1240)=대시보드!$C$2,$D1240+ROW()/100000,""),"")</f>
        <v/>
      </c>
    </row>
    <row r="1241" spans="1:11">
      <c r="A1241" s="33"/>
      <c r="B1241" s="29"/>
      <c r="C1241" s="29"/>
      <c r="D1241" s="30"/>
      <c r="E1241" s="30"/>
      <c r="F1241" s="35"/>
      <c r="G1241" s="35"/>
      <c r="H1241" s="35" t="str">
        <f t="shared" si="19"/>
        <v/>
      </c>
      <c r="I1241" s="29"/>
      <c r="K1241" s="36" t="str">
        <f>IF(ISNUMBER($D1241),IF(YEAR($D1241)=대시보드!$C$2,$D1241+ROW()/100000,""),"")</f>
        <v/>
      </c>
    </row>
    <row r="1242" spans="1:11">
      <c r="A1242" s="33"/>
      <c r="B1242" s="29"/>
      <c r="C1242" s="29"/>
      <c r="D1242" s="30"/>
      <c r="E1242" s="30"/>
      <c r="F1242" s="35"/>
      <c r="G1242" s="35"/>
      <c r="H1242" s="35" t="str">
        <f t="shared" si="19"/>
        <v/>
      </c>
      <c r="I1242" s="29"/>
      <c r="K1242" s="36" t="str">
        <f>IF(ISNUMBER($D1242),IF(YEAR($D1242)=대시보드!$C$2,$D1242+ROW()/100000,""),"")</f>
        <v/>
      </c>
    </row>
    <row r="1243" spans="1:11">
      <c r="A1243" s="33"/>
      <c r="B1243" s="29"/>
      <c r="C1243" s="29"/>
      <c r="D1243" s="30"/>
      <c r="E1243" s="30"/>
      <c r="F1243" s="35"/>
      <c r="G1243" s="35"/>
      <c r="H1243" s="35" t="str">
        <f t="shared" si="19"/>
        <v/>
      </c>
      <c r="I1243" s="29"/>
      <c r="K1243" s="36" t="str">
        <f>IF(ISNUMBER($D1243),IF(YEAR($D1243)=대시보드!$C$2,$D1243+ROW()/100000,""),"")</f>
        <v/>
      </c>
    </row>
    <row r="1244" spans="1:11">
      <c r="A1244" s="33"/>
      <c r="B1244" s="29"/>
      <c r="C1244" s="29"/>
      <c r="D1244" s="30"/>
      <c r="E1244" s="30"/>
      <c r="F1244" s="35"/>
      <c r="G1244" s="35"/>
      <c r="H1244" s="35" t="str">
        <f t="shared" si="19"/>
        <v/>
      </c>
      <c r="I1244" s="29"/>
      <c r="K1244" s="36" t="str">
        <f>IF(ISNUMBER($D1244),IF(YEAR($D1244)=대시보드!$C$2,$D1244+ROW()/100000,""),"")</f>
        <v/>
      </c>
    </row>
    <row r="1245" spans="1:11">
      <c r="A1245" s="33"/>
      <c r="B1245" s="29"/>
      <c r="C1245" s="29"/>
      <c r="D1245" s="30"/>
      <c r="E1245" s="30"/>
      <c r="F1245" s="35"/>
      <c r="G1245" s="35"/>
      <c r="H1245" s="35" t="str">
        <f t="shared" si="19"/>
        <v/>
      </c>
      <c r="I1245" s="29"/>
      <c r="K1245" s="36" t="str">
        <f>IF(ISNUMBER($D1245),IF(YEAR($D1245)=대시보드!$C$2,$D1245+ROW()/100000,""),"")</f>
        <v/>
      </c>
    </row>
    <row r="1246" spans="1:11">
      <c r="A1246" s="33"/>
      <c r="B1246" s="29"/>
      <c r="C1246" s="29"/>
      <c r="D1246" s="30"/>
      <c r="E1246" s="30"/>
      <c r="F1246" s="35"/>
      <c r="G1246" s="35"/>
      <c r="H1246" s="35" t="str">
        <f t="shared" si="19"/>
        <v/>
      </c>
      <c r="I1246" s="29"/>
      <c r="K1246" s="36" t="str">
        <f>IF(ISNUMBER($D1246),IF(YEAR($D1246)=대시보드!$C$2,$D1246+ROW()/100000,""),"")</f>
        <v/>
      </c>
    </row>
    <row r="1247" spans="1:11">
      <c r="A1247" s="33"/>
      <c r="B1247" s="29"/>
      <c r="C1247" s="29"/>
      <c r="D1247" s="30"/>
      <c r="E1247" s="30"/>
      <c r="F1247" s="35"/>
      <c r="G1247" s="35"/>
      <c r="H1247" s="35" t="str">
        <f t="shared" si="19"/>
        <v/>
      </c>
      <c r="I1247" s="29"/>
      <c r="K1247" s="36" t="str">
        <f>IF(ISNUMBER($D1247),IF(YEAR($D1247)=대시보드!$C$2,$D1247+ROW()/100000,""),"")</f>
        <v/>
      </c>
    </row>
    <row r="1248" spans="1:11">
      <c r="A1248" s="33"/>
      <c r="B1248" s="29"/>
      <c r="C1248" s="29"/>
      <c r="D1248" s="30"/>
      <c r="E1248" s="30"/>
      <c r="F1248" s="35"/>
      <c r="G1248" s="35"/>
      <c r="H1248" s="35" t="str">
        <f t="shared" si="19"/>
        <v/>
      </c>
      <c r="I1248" s="29"/>
      <c r="K1248" s="36" t="str">
        <f>IF(ISNUMBER($D1248),IF(YEAR($D1248)=대시보드!$C$2,$D1248+ROW()/100000,""),"")</f>
        <v/>
      </c>
    </row>
    <row r="1249" spans="1:11">
      <c r="A1249" s="33"/>
      <c r="B1249" s="29"/>
      <c r="C1249" s="29"/>
      <c r="D1249" s="30"/>
      <c r="E1249" s="30"/>
      <c r="F1249" s="35"/>
      <c r="G1249" s="35"/>
      <c r="H1249" s="35" t="str">
        <f t="shared" si="19"/>
        <v/>
      </c>
      <c r="I1249" s="29"/>
      <c r="K1249" s="36" t="str">
        <f>IF(ISNUMBER($D1249),IF(YEAR($D1249)=대시보드!$C$2,$D1249+ROW()/100000,""),"")</f>
        <v/>
      </c>
    </row>
    <row r="1250" spans="1:11">
      <c r="A1250" s="33"/>
      <c r="B1250" s="29"/>
      <c r="C1250" s="29"/>
      <c r="D1250" s="30"/>
      <c r="E1250" s="30"/>
      <c r="F1250" s="35"/>
      <c r="G1250" s="35"/>
      <c r="H1250" s="35" t="str">
        <f t="shared" si="19"/>
        <v/>
      </c>
      <c r="I1250" s="29"/>
      <c r="K1250" s="36" t="str">
        <f>IF(ISNUMBER($D1250),IF(YEAR($D1250)=대시보드!$C$2,$D1250+ROW()/100000,""),"")</f>
        <v/>
      </c>
    </row>
    <row r="1251" spans="1:11">
      <c r="A1251" s="33"/>
      <c r="B1251" s="29"/>
      <c r="C1251" s="29"/>
      <c r="D1251" s="30"/>
      <c r="E1251" s="30"/>
      <c r="F1251" s="35"/>
      <c r="G1251" s="35"/>
      <c r="H1251" s="35" t="str">
        <f t="shared" si="19"/>
        <v/>
      </c>
      <c r="I1251" s="29"/>
      <c r="K1251" s="36" t="str">
        <f>IF(ISNUMBER($D1251),IF(YEAR($D1251)=대시보드!$C$2,$D1251+ROW()/100000,""),"")</f>
        <v/>
      </c>
    </row>
    <row r="1252" spans="1:11">
      <c r="A1252" s="33"/>
      <c r="B1252" s="29"/>
      <c r="C1252" s="29"/>
      <c r="D1252" s="30"/>
      <c r="E1252" s="30"/>
      <c r="F1252" s="35"/>
      <c r="G1252" s="35"/>
      <c r="H1252" s="35" t="str">
        <f t="shared" si="19"/>
        <v/>
      </c>
      <c r="I1252" s="29"/>
      <c r="K1252" s="36" t="str">
        <f>IF(ISNUMBER($D1252),IF(YEAR($D1252)=대시보드!$C$2,$D1252+ROW()/100000,""),"")</f>
        <v/>
      </c>
    </row>
    <row r="1253" spans="1:11">
      <c r="A1253" s="33"/>
      <c r="B1253" s="29"/>
      <c r="C1253" s="29"/>
      <c r="D1253" s="30"/>
      <c r="E1253" s="30"/>
      <c r="F1253" s="35"/>
      <c r="G1253" s="35"/>
      <c r="H1253" s="35" t="str">
        <f t="shared" si="19"/>
        <v/>
      </c>
      <c r="I1253" s="29"/>
      <c r="K1253" s="36" t="str">
        <f>IF(ISNUMBER($D1253),IF(YEAR($D1253)=대시보드!$C$2,$D1253+ROW()/100000,""),"")</f>
        <v/>
      </c>
    </row>
    <row r="1254" spans="1:11">
      <c r="A1254" s="33"/>
      <c r="B1254" s="29"/>
      <c r="C1254" s="29"/>
      <c r="D1254" s="30"/>
      <c r="E1254" s="30"/>
      <c r="F1254" s="35"/>
      <c r="G1254" s="35"/>
      <c r="H1254" s="35" t="str">
        <f t="shared" si="19"/>
        <v/>
      </c>
      <c r="I1254" s="29"/>
      <c r="K1254" s="36" t="str">
        <f>IF(ISNUMBER($D1254),IF(YEAR($D1254)=대시보드!$C$2,$D1254+ROW()/100000,""),"")</f>
        <v/>
      </c>
    </row>
    <row r="1255" spans="1:11">
      <c r="A1255" s="33"/>
      <c r="B1255" s="29"/>
      <c r="C1255" s="29"/>
      <c r="D1255" s="30"/>
      <c r="E1255" s="30"/>
      <c r="F1255" s="35"/>
      <c r="G1255" s="35"/>
      <c r="H1255" s="35" t="str">
        <f t="shared" si="19"/>
        <v/>
      </c>
      <c r="I1255" s="29"/>
      <c r="K1255" s="36" t="str">
        <f>IF(ISNUMBER($D1255),IF(YEAR($D1255)=대시보드!$C$2,$D1255+ROW()/100000,""),"")</f>
        <v/>
      </c>
    </row>
    <row r="1256" spans="1:11">
      <c r="A1256" s="33"/>
      <c r="B1256" s="29"/>
      <c r="C1256" s="29"/>
      <c r="D1256" s="30"/>
      <c r="E1256" s="30"/>
      <c r="F1256" s="35"/>
      <c r="G1256" s="35"/>
      <c r="H1256" s="35" t="str">
        <f t="shared" si="19"/>
        <v/>
      </c>
      <c r="I1256" s="29"/>
      <c r="K1256" s="36" t="str">
        <f>IF(ISNUMBER($D1256),IF(YEAR($D1256)=대시보드!$C$2,$D1256+ROW()/100000,""),"")</f>
        <v/>
      </c>
    </row>
    <row r="1257" spans="1:11">
      <c r="A1257" s="33"/>
      <c r="B1257" s="29"/>
      <c r="C1257" s="29"/>
      <c r="D1257" s="30"/>
      <c r="E1257" s="30"/>
      <c r="F1257" s="35"/>
      <c r="G1257" s="35"/>
      <c r="H1257" s="35" t="str">
        <f t="shared" si="19"/>
        <v/>
      </c>
      <c r="I1257" s="29"/>
      <c r="K1257" s="36" t="str">
        <f>IF(ISNUMBER($D1257),IF(YEAR($D1257)=대시보드!$C$2,$D1257+ROW()/100000,""),"")</f>
        <v/>
      </c>
    </row>
    <row r="1258" spans="1:11">
      <c r="A1258" s="33"/>
      <c r="B1258" s="29"/>
      <c r="C1258" s="29"/>
      <c r="D1258" s="30"/>
      <c r="E1258" s="30"/>
      <c r="F1258" s="35"/>
      <c r="G1258" s="35"/>
      <c r="H1258" s="35" t="str">
        <f t="shared" si="19"/>
        <v/>
      </c>
      <c r="I1258" s="29"/>
      <c r="K1258" s="36" t="str">
        <f>IF(ISNUMBER($D1258),IF(YEAR($D1258)=대시보드!$C$2,$D1258+ROW()/100000,""),"")</f>
        <v/>
      </c>
    </row>
    <row r="1259" spans="1:11">
      <c r="A1259" s="33"/>
      <c r="B1259" s="29"/>
      <c r="C1259" s="29"/>
      <c r="D1259" s="30"/>
      <c r="E1259" s="30"/>
      <c r="F1259" s="35"/>
      <c r="G1259" s="35"/>
      <c r="H1259" s="35" t="str">
        <f t="shared" si="19"/>
        <v/>
      </c>
      <c r="I1259" s="29"/>
      <c r="K1259" s="36" t="str">
        <f>IF(ISNUMBER($D1259),IF(YEAR($D1259)=대시보드!$C$2,$D1259+ROW()/100000,""),"")</f>
        <v/>
      </c>
    </row>
    <row r="1260" spans="1:11">
      <c r="A1260" s="33"/>
      <c r="B1260" s="29"/>
      <c r="C1260" s="29"/>
      <c r="D1260" s="30"/>
      <c r="E1260" s="30"/>
      <c r="F1260" s="35"/>
      <c r="G1260" s="35"/>
      <c r="H1260" s="35" t="str">
        <f t="shared" si="19"/>
        <v/>
      </c>
      <c r="I1260" s="29"/>
      <c r="K1260" s="36" t="str">
        <f>IF(ISNUMBER($D1260),IF(YEAR($D1260)=대시보드!$C$2,$D1260+ROW()/100000,""),"")</f>
        <v/>
      </c>
    </row>
    <row r="1261" spans="1:11">
      <c r="A1261" s="33"/>
      <c r="B1261" s="29"/>
      <c r="C1261" s="29"/>
      <c r="D1261" s="30"/>
      <c r="E1261" s="30"/>
      <c r="F1261" s="35"/>
      <c r="G1261" s="35"/>
      <c r="H1261" s="35" t="str">
        <f t="shared" si="19"/>
        <v/>
      </c>
      <c r="I1261" s="29"/>
      <c r="K1261" s="36" t="str">
        <f>IF(ISNUMBER($D1261),IF(YEAR($D1261)=대시보드!$C$2,$D1261+ROW()/100000,""),"")</f>
        <v/>
      </c>
    </row>
    <row r="1262" spans="1:11">
      <c r="A1262" s="33"/>
      <c r="B1262" s="29"/>
      <c r="C1262" s="29"/>
      <c r="D1262" s="30"/>
      <c r="E1262" s="30"/>
      <c r="F1262" s="35"/>
      <c r="G1262" s="35"/>
      <c r="H1262" s="35" t="str">
        <f t="shared" si="19"/>
        <v/>
      </c>
      <c r="I1262" s="29"/>
      <c r="K1262" s="36" t="str">
        <f>IF(ISNUMBER($D1262),IF(YEAR($D1262)=대시보드!$C$2,$D1262+ROW()/100000,""),"")</f>
        <v/>
      </c>
    </row>
    <row r="1263" spans="1:11">
      <c r="A1263" s="33"/>
      <c r="B1263" s="29"/>
      <c r="C1263" s="29"/>
      <c r="D1263" s="30"/>
      <c r="E1263" s="30"/>
      <c r="F1263" s="35"/>
      <c r="G1263" s="35"/>
      <c r="H1263" s="35" t="str">
        <f t="shared" si="19"/>
        <v/>
      </c>
      <c r="I1263" s="29"/>
      <c r="K1263" s="36" t="str">
        <f>IF(ISNUMBER($D1263),IF(YEAR($D1263)=대시보드!$C$2,$D1263+ROW()/100000,""),"")</f>
        <v/>
      </c>
    </row>
    <row r="1264" spans="1:11">
      <c r="A1264" s="33"/>
      <c r="B1264" s="29"/>
      <c r="C1264" s="29"/>
      <c r="D1264" s="30"/>
      <c r="E1264" s="30"/>
      <c r="F1264" s="35"/>
      <c r="G1264" s="35"/>
      <c r="H1264" s="35" t="str">
        <f t="shared" si="19"/>
        <v/>
      </c>
      <c r="I1264" s="29"/>
      <c r="K1264" s="36" t="str">
        <f>IF(ISNUMBER($D1264),IF(YEAR($D1264)=대시보드!$C$2,$D1264+ROW()/100000,""),"")</f>
        <v/>
      </c>
    </row>
    <row r="1265" spans="1:11">
      <c r="A1265" s="33"/>
      <c r="B1265" s="29"/>
      <c r="C1265" s="29"/>
      <c r="D1265" s="30"/>
      <c r="E1265" s="30"/>
      <c r="F1265" s="35"/>
      <c r="G1265" s="35"/>
      <c r="H1265" s="35" t="str">
        <f t="shared" si="19"/>
        <v/>
      </c>
      <c r="I1265" s="29"/>
      <c r="K1265" s="36" t="str">
        <f>IF(ISNUMBER($D1265),IF(YEAR($D1265)=대시보드!$C$2,$D1265+ROW()/100000,""),"")</f>
        <v/>
      </c>
    </row>
    <row r="1266" spans="1:11">
      <c r="A1266" s="33"/>
      <c r="B1266" s="29"/>
      <c r="C1266" s="29"/>
      <c r="D1266" s="30"/>
      <c r="E1266" s="30"/>
      <c r="F1266" s="35"/>
      <c r="G1266" s="35"/>
      <c r="H1266" s="35" t="str">
        <f t="shared" si="19"/>
        <v/>
      </c>
      <c r="I1266" s="29"/>
      <c r="K1266" s="36" t="str">
        <f>IF(ISNUMBER($D1266),IF(YEAR($D1266)=대시보드!$C$2,$D1266+ROW()/100000,""),"")</f>
        <v/>
      </c>
    </row>
    <row r="1267" spans="1:11">
      <c r="A1267" s="33"/>
      <c r="B1267" s="29"/>
      <c r="C1267" s="29"/>
      <c r="D1267" s="30"/>
      <c r="E1267" s="30"/>
      <c r="F1267" s="35"/>
      <c r="G1267" s="35"/>
      <c r="H1267" s="35" t="str">
        <f t="shared" si="19"/>
        <v/>
      </c>
      <c r="I1267" s="29"/>
      <c r="K1267" s="36" t="str">
        <f>IF(ISNUMBER($D1267),IF(YEAR($D1267)=대시보드!$C$2,$D1267+ROW()/100000,""),"")</f>
        <v/>
      </c>
    </row>
    <row r="1268" spans="1:11">
      <c r="A1268" s="33"/>
      <c r="B1268" s="29"/>
      <c r="C1268" s="29"/>
      <c r="D1268" s="30"/>
      <c r="E1268" s="30"/>
      <c r="F1268" s="35"/>
      <c r="G1268" s="35"/>
      <c r="H1268" s="35" t="str">
        <f t="shared" si="19"/>
        <v/>
      </c>
      <c r="I1268" s="29"/>
      <c r="K1268" s="36" t="str">
        <f>IF(ISNUMBER($D1268),IF(YEAR($D1268)=대시보드!$C$2,$D1268+ROW()/100000,""),"")</f>
        <v/>
      </c>
    </row>
    <row r="1269" spans="1:11">
      <c r="A1269" s="33"/>
      <c r="B1269" s="29"/>
      <c r="C1269" s="29"/>
      <c r="D1269" s="30"/>
      <c r="E1269" s="30"/>
      <c r="F1269" s="35"/>
      <c r="G1269" s="35"/>
      <c r="H1269" s="35" t="str">
        <f t="shared" si="19"/>
        <v/>
      </c>
      <c r="I1269" s="29"/>
      <c r="K1269" s="36" t="str">
        <f>IF(ISNUMBER($D1269),IF(YEAR($D1269)=대시보드!$C$2,$D1269+ROW()/100000,""),"")</f>
        <v/>
      </c>
    </row>
    <row r="1270" spans="1:11">
      <c r="A1270" s="33"/>
      <c r="B1270" s="29"/>
      <c r="C1270" s="29"/>
      <c r="D1270" s="30"/>
      <c r="E1270" s="30"/>
      <c r="F1270" s="35"/>
      <c r="G1270" s="35"/>
      <c r="H1270" s="35" t="str">
        <f t="shared" si="19"/>
        <v/>
      </c>
      <c r="I1270" s="29"/>
      <c r="K1270" s="36" t="str">
        <f>IF(ISNUMBER($D1270),IF(YEAR($D1270)=대시보드!$C$2,$D1270+ROW()/100000,""),"")</f>
        <v/>
      </c>
    </row>
    <row r="1271" spans="1:11">
      <c r="A1271" s="33"/>
      <c r="B1271" s="29"/>
      <c r="C1271" s="29"/>
      <c r="D1271" s="30"/>
      <c r="E1271" s="30"/>
      <c r="F1271" s="35"/>
      <c r="G1271" s="35"/>
      <c r="H1271" s="35" t="str">
        <f t="shared" si="19"/>
        <v/>
      </c>
      <c r="I1271" s="29"/>
      <c r="K1271" s="36" t="str">
        <f>IF(ISNUMBER($D1271),IF(YEAR($D1271)=대시보드!$C$2,$D1271+ROW()/100000,""),"")</f>
        <v/>
      </c>
    </row>
    <row r="1272" spans="1:11">
      <c r="A1272" s="33"/>
      <c r="B1272" s="29"/>
      <c r="C1272" s="29"/>
      <c r="D1272" s="30"/>
      <c r="E1272" s="30"/>
      <c r="F1272" s="35"/>
      <c r="G1272" s="35"/>
      <c r="H1272" s="35" t="str">
        <f t="shared" si="19"/>
        <v/>
      </c>
      <c r="I1272" s="29"/>
      <c r="K1272" s="36" t="str">
        <f>IF(ISNUMBER($D1272),IF(YEAR($D1272)=대시보드!$C$2,$D1272+ROW()/100000,""),"")</f>
        <v/>
      </c>
    </row>
    <row r="1273" spans="1:11">
      <c r="A1273" s="33"/>
      <c r="B1273" s="29"/>
      <c r="C1273" s="29"/>
      <c r="D1273" s="30"/>
      <c r="E1273" s="30"/>
      <c r="F1273" s="35"/>
      <c r="G1273" s="35"/>
      <c r="H1273" s="35" t="str">
        <f t="shared" si="19"/>
        <v/>
      </c>
      <c r="I1273" s="29"/>
      <c r="K1273" s="36" t="str">
        <f>IF(ISNUMBER($D1273),IF(YEAR($D1273)=대시보드!$C$2,$D1273+ROW()/100000,""),"")</f>
        <v/>
      </c>
    </row>
    <row r="1274" spans="1:11">
      <c r="A1274" s="33"/>
      <c r="B1274" s="29"/>
      <c r="C1274" s="29"/>
      <c r="D1274" s="30"/>
      <c r="E1274" s="30"/>
      <c r="F1274" s="35"/>
      <c r="G1274" s="35"/>
      <c r="H1274" s="35" t="str">
        <f t="shared" si="19"/>
        <v/>
      </c>
      <c r="I1274" s="29"/>
      <c r="K1274" s="36" t="str">
        <f>IF(ISNUMBER($D1274),IF(YEAR($D1274)=대시보드!$C$2,$D1274+ROW()/100000,""),"")</f>
        <v/>
      </c>
    </row>
    <row r="1275" spans="1:11">
      <c r="A1275" s="33"/>
      <c r="B1275" s="29"/>
      <c r="C1275" s="29"/>
      <c r="D1275" s="30"/>
      <c r="E1275" s="30"/>
      <c r="F1275" s="35"/>
      <c r="G1275" s="35"/>
      <c r="H1275" s="35" t="str">
        <f t="shared" si="19"/>
        <v/>
      </c>
      <c r="I1275" s="29"/>
      <c r="K1275" s="36" t="str">
        <f>IF(ISNUMBER($D1275),IF(YEAR($D1275)=대시보드!$C$2,$D1275+ROW()/100000,""),"")</f>
        <v/>
      </c>
    </row>
    <row r="1276" spans="1:11">
      <c r="A1276" s="33"/>
      <c r="B1276" s="29"/>
      <c r="C1276" s="29"/>
      <c r="D1276" s="30"/>
      <c r="E1276" s="30"/>
      <c r="F1276" s="35"/>
      <c r="G1276" s="35"/>
      <c r="H1276" s="35" t="str">
        <f t="shared" si="19"/>
        <v/>
      </c>
      <c r="I1276" s="29"/>
      <c r="K1276" s="36" t="str">
        <f>IF(ISNUMBER($D1276),IF(YEAR($D1276)=대시보드!$C$2,$D1276+ROW()/100000,""),"")</f>
        <v/>
      </c>
    </row>
    <row r="1277" spans="1:11">
      <c r="A1277" s="33"/>
      <c r="B1277" s="29"/>
      <c r="C1277" s="29"/>
      <c r="D1277" s="30"/>
      <c r="E1277" s="30"/>
      <c r="F1277" s="35"/>
      <c r="G1277" s="35"/>
      <c r="H1277" s="35" t="str">
        <f t="shared" si="19"/>
        <v/>
      </c>
      <c r="I1277" s="29"/>
      <c r="K1277" s="36" t="str">
        <f>IF(ISNUMBER($D1277),IF(YEAR($D1277)=대시보드!$C$2,$D1277+ROW()/100000,""),"")</f>
        <v/>
      </c>
    </row>
    <row r="1278" spans="1:11">
      <c r="A1278" s="33"/>
      <c r="B1278" s="29"/>
      <c r="C1278" s="29"/>
      <c r="D1278" s="30"/>
      <c r="E1278" s="30"/>
      <c r="F1278" s="35"/>
      <c r="G1278" s="35"/>
      <c r="H1278" s="35" t="str">
        <f t="shared" si="19"/>
        <v/>
      </c>
      <c r="I1278" s="29"/>
      <c r="K1278" s="36" t="str">
        <f>IF(ISNUMBER($D1278),IF(YEAR($D1278)=대시보드!$C$2,$D1278+ROW()/100000,""),"")</f>
        <v/>
      </c>
    </row>
    <row r="1279" spans="1:11">
      <c r="A1279" s="33"/>
      <c r="B1279" s="29"/>
      <c r="C1279" s="29"/>
      <c r="D1279" s="30"/>
      <c r="E1279" s="30"/>
      <c r="F1279" s="35"/>
      <c r="G1279" s="35"/>
      <c r="H1279" s="35" t="str">
        <f t="shared" si="19"/>
        <v/>
      </c>
      <c r="I1279" s="29"/>
      <c r="K1279" s="36" t="str">
        <f>IF(ISNUMBER($D1279),IF(YEAR($D1279)=대시보드!$C$2,$D1279+ROW()/100000,""),"")</f>
        <v/>
      </c>
    </row>
    <row r="1280" spans="1:11">
      <c r="A1280" s="33"/>
      <c r="B1280" s="29"/>
      <c r="C1280" s="29"/>
      <c r="D1280" s="30"/>
      <c r="E1280" s="30"/>
      <c r="F1280" s="35"/>
      <c r="G1280" s="35"/>
      <c r="H1280" s="35" t="str">
        <f t="shared" si="19"/>
        <v/>
      </c>
      <c r="I1280" s="29"/>
      <c r="K1280" s="36" t="str">
        <f>IF(ISNUMBER($D1280),IF(YEAR($D1280)=대시보드!$C$2,$D1280+ROW()/100000,""),"")</f>
        <v/>
      </c>
    </row>
    <row r="1281" spans="1:11">
      <c r="A1281" s="33"/>
      <c r="B1281" s="29"/>
      <c r="C1281" s="29"/>
      <c r="D1281" s="30"/>
      <c r="E1281" s="30"/>
      <c r="F1281" s="35"/>
      <c r="G1281" s="35"/>
      <c r="H1281" s="35" t="str">
        <f t="shared" si="19"/>
        <v/>
      </c>
      <c r="I1281" s="29"/>
      <c r="K1281" s="36" t="str">
        <f>IF(ISNUMBER($D1281),IF(YEAR($D1281)=대시보드!$C$2,$D1281+ROW()/100000,""),"")</f>
        <v/>
      </c>
    </row>
    <row r="1282" spans="1:11">
      <c r="A1282" s="33"/>
      <c r="B1282" s="29"/>
      <c r="C1282" s="29"/>
      <c r="D1282" s="30"/>
      <c r="E1282" s="30"/>
      <c r="F1282" s="35"/>
      <c r="G1282" s="35"/>
      <c r="H1282" s="35" t="str">
        <f t="shared" si="19"/>
        <v/>
      </c>
      <c r="I1282" s="29"/>
      <c r="K1282" s="36" t="str">
        <f>IF(ISNUMBER($D1282),IF(YEAR($D1282)=대시보드!$C$2,$D1282+ROW()/100000,""),"")</f>
        <v/>
      </c>
    </row>
    <row r="1283" spans="1:11">
      <c r="A1283" s="33"/>
      <c r="B1283" s="29"/>
      <c r="C1283" s="29"/>
      <c r="D1283" s="30"/>
      <c r="E1283" s="30"/>
      <c r="F1283" s="35"/>
      <c r="G1283" s="35"/>
      <c r="H1283" s="35" t="str">
        <f t="shared" si="19"/>
        <v/>
      </c>
      <c r="I1283" s="29"/>
      <c r="K1283" s="36" t="str">
        <f>IF(ISNUMBER($D1283),IF(YEAR($D1283)=대시보드!$C$2,$D1283+ROW()/100000,""),"")</f>
        <v/>
      </c>
    </row>
    <row r="1284" spans="1:11">
      <c r="A1284" s="33"/>
      <c r="B1284" s="29"/>
      <c r="C1284" s="29"/>
      <c r="D1284" s="30"/>
      <c r="E1284" s="30"/>
      <c r="F1284" s="35"/>
      <c r="G1284" s="35"/>
      <c r="H1284" s="35" t="str">
        <f t="shared" ref="H1284:H1347" si="20">IF(F1284="","",F1284-G1284)</f>
        <v/>
      </c>
      <c r="I1284" s="29"/>
      <c r="K1284" s="36" t="str">
        <f>IF(ISNUMBER($D1284),IF(YEAR($D1284)=대시보드!$C$2,$D1284+ROW()/100000,""),"")</f>
        <v/>
      </c>
    </row>
    <row r="1285" spans="1:11">
      <c r="A1285" s="33"/>
      <c r="B1285" s="29"/>
      <c r="C1285" s="29"/>
      <c r="D1285" s="30"/>
      <c r="E1285" s="30"/>
      <c r="F1285" s="35"/>
      <c r="G1285" s="35"/>
      <c r="H1285" s="35" t="str">
        <f t="shared" si="20"/>
        <v/>
      </c>
      <c r="I1285" s="29"/>
      <c r="K1285" s="36" t="str">
        <f>IF(ISNUMBER($D1285),IF(YEAR($D1285)=대시보드!$C$2,$D1285+ROW()/100000,""),"")</f>
        <v/>
      </c>
    </row>
    <row r="1286" spans="1:11">
      <c r="A1286" s="33"/>
      <c r="B1286" s="29"/>
      <c r="C1286" s="29"/>
      <c r="D1286" s="30"/>
      <c r="E1286" s="30"/>
      <c r="F1286" s="35"/>
      <c r="G1286" s="35"/>
      <c r="H1286" s="35" t="str">
        <f t="shared" si="20"/>
        <v/>
      </c>
      <c r="I1286" s="29"/>
      <c r="K1286" s="36" t="str">
        <f>IF(ISNUMBER($D1286),IF(YEAR($D1286)=대시보드!$C$2,$D1286+ROW()/100000,""),"")</f>
        <v/>
      </c>
    </row>
    <row r="1287" spans="1:11">
      <c r="A1287" s="33"/>
      <c r="B1287" s="29"/>
      <c r="C1287" s="29"/>
      <c r="D1287" s="30"/>
      <c r="E1287" s="30"/>
      <c r="F1287" s="35"/>
      <c r="G1287" s="35"/>
      <c r="H1287" s="35" t="str">
        <f t="shared" si="20"/>
        <v/>
      </c>
      <c r="I1287" s="29"/>
      <c r="K1287" s="36" t="str">
        <f>IF(ISNUMBER($D1287),IF(YEAR($D1287)=대시보드!$C$2,$D1287+ROW()/100000,""),"")</f>
        <v/>
      </c>
    </row>
    <row r="1288" spans="1:11">
      <c r="A1288" s="33"/>
      <c r="B1288" s="29"/>
      <c r="C1288" s="29"/>
      <c r="D1288" s="30"/>
      <c r="E1288" s="30"/>
      <c r="F1288" s="35"/>
      <c r="G1288" s="35"/>
      <c r="H1288" s="35" t="str">
        <f t="shared" si="20"/>
        <v/>
      </c>
      <c r="I1288" s="29"/>
      <c r="K1288" s="36" t="str">
        <f>IF(ISNUMBER($D1288),IF(YEAR($D1288)=대시보드!$C$2,$D1288+ROW()/100000,""),"")</f>
        <v/>
      </c>
    </row>
    <row r="1289" spans="1:11">
      <c r="A1289" s="33"/>
      <c r="B1289" s="29"/>
      <c r="C1289" s="29"/>
      <c r="D1289" s="30"/>
      <c r="E1289" s="30"/>
      <c r="F1289" s="35"/>
      <c r="G1289" s="35"/>
      <c r="H1289" s="35" t="str">
        <f t="shared" si="20"/>
        <v/>
      </c>
      <c r="I1289" s="29"/>
      <c r="K1289" s="36" t="str">
        <f>IF(ISNUMBER($D1289),IF(YEAR($D1289)=대시보드!$C$2,$D1289+ROW()/100000,""),"")</f>
        <v/>
      </c>
    </row>
    <row r="1290" spans="1:11">
      <c r="A1290" s="33"/>
      <c r="B1290" s="29"/>
      <c r="C1290" s="29"/>
      <c r="D1290" s="30"/>
      <c r="E1290" s="30"/>
      <c r="F1290" s="35"/>
      <c r="G1290" s="35"/>
      <c r="H1290" s="35" t="str">
        <f t="shared" si="20"/>
        <v/>
      </c>
      <c r="I1290" s="29"/>
      <c r="K1290" s="36" t="str">
        <f>IF(ISNUMBER($D1290),IF(YEAR($D1290)=대시보드!$C$2,$D1290+ROW()/100000,""),"")</f>
        <v/>
      </c>
    </row>
    <row r="1291" spans="1:11">
      <c r="A1291" s="33"/>
      <c r="B1291" s="29"/>
      <c r="C1291" s="29"/>
      <c r="D1291" s="30"/>
      <c r="E1291" s="30"/>
      <c r="F1291" s="35"/>
      <c r="G1291" s="35"/>
      <c r="H1291" s="35" t="str">
        <f t="shared" si="20"/>
        <v/>
      </c>
      <c r="I1291" s="29"/>
      <c r="K1291" s="36" t="str">
        <f>IF(ISNUMBER($D1291),IF(YEAR($D1291)=대시보드!$C$2,$D1291+ROW()/100000,""),"")</f>
        <v/>
      </c>
    </row>
    <row r="1292" spans="1:11">
      <c r="A1292" s="33"/>
      <c r="B1292" s="29"/>
      <c r="C1292" s="29"/>
      <c r="D1292" s="30"/>
      <c r="E1292" s="30"/>
      <c r="F1292" s="35"/>
      <c r="G1292" s="35"/>
      <c r="H1292" s="35" t="str">
        <f t="shared" si="20"/>
        <v/>
      </c>
      <c r="I1292" s="29"/>
      <c r="K1292" s="36" t="str">
        <f>IF(ISNUMBER($D1292),IF(YEAR($D1292)=대시보드!$C$2,$D1292+ROW()/100000,""),"")</f>
        <v/>
      </c>
    </row>
    <row r="1293" spans="1:11">
      <c r="A1293" s="33"/>
      <c r="B1293" s="29"/>
      <c r="C1293" s="29"/>
      <c r="D1293" s="30"/>
      <c r="E1293" s="30"/>
      <c r="F1293" s="35"/>
      <c r="G1293" s="35"/>
      <c r="H1293" s="35" t="str">
        <f t="shared" si="20"/>
        <v/>
      </c>
      <c r="I1293" s="29"/>
      <c r="K1293" s="36" t="str">
        <f>IF(ISNUMBER($D1293),IF(YEAR($D1293)=대시보드!$C$2,$D1293+ROW()/100000,""),"")</f>
        <v/>
      </c>
    </row>
    <row r="1294" spans="1:11">
      <c r="A1294" s="33"/>
      <c r="B1294" s="29"/>
      <c r="C1294" s="29"/>
      <c r="D1294" s="30"/>
      <c r="E1294" s="30"/>
      <c r="F1294" s="35"/>
      <c r="G1294" s="35"/>
      <c r="H1294" s="35" t="str">
        <f t="shared" si="20"/>
        <v/>
      </c>
      <c r="I1294" s="29"/>
      <c r="K1294" s="36" t="str">
        <f>IF(ISNUMBER($D1294),IF(YEAR($D1294)=대시보드!$C$2,$D1294+ROW()/100000,""),"")</f>
        <v/>
      </c>
    </row>
    <row r="1295" spans="1:11">
      <c r="A1295" s="33"/>
      <c r="B1295" s="29"/>
      <c r="C1295" s="29"/>
      <c r="D1295" s="30"/>
      <c r="E1295" s="30"/>
      <c r="F1295" s="35"/>
      <c r="G1295" s="35"/>
      <c r="H1295" s="35" t="str">
        <f t="shared" si="20"/>
        <v/>
      </c>
      <c r="I1295" s="29"/>
      <c r="K1295" s="36" t="str">
        <f>IF(ISNUMBER($D1295),IF(YEAR($D1295)=대시보드!$C$2,$D1295+ROW()/100000,""),"")</f>
        <v/>
      </c>
    </row>
    <row r="1296" spans="1:11">
      <c r="A1296" s="33"/>
      <c r="B1296" s="29"/>
      <c r="C1296" s="29"/>
      <c r="D1296" s="30"/>
      <c r="E1296" s="30"/>
      <c r="F1296" s="35"/>
      <c r="G1296" s="35"/>
      <c r="H1296" s="35" t="str">
        <f t="shared" si="20"/>
        <v/>
      </c>
      <c r="I1296" s="29"/>
      <c r="K1296" s="36" t="str">
        <f>IF(ISNUMBER($D1296),IF(YEAR($D1296)=대시보드!$C$2,$D1296+ROW()/100000,""),"")</f>
        <v/>
      </c>
    </row>
    <row r="1297" spans="1:11">
      <c r="A1297" s="33"/>
      <c r="B1297" s="29"/>
      <c r="C1297" s="29"/>
      <c r="D1297" s="30"/>
      <c r="E1297" s="30"/>
      <c r="F1297" s="35"/>
      <c r="G1297" s="35"/>
      <c r="H1297" s="35" t="str">
        <f t="shared" si="20"/>
        <v/>
      </c>
      <c r="I1297" s="29"/>
      <c r="K1297" s="36" t="str">
        <f>IF(ISNUMBER($D1297),IF(YEAR($D1297)=대시보드!$C$2,$D1297+ROW()/100000,""),"")</f>
        <v/>
      </c>
    </row>
    <row r="1298" spans="1:11">
      <c r="A1298" s="33"/>
      <c r="B1298" s="29"/>
      <c r="C1298" s="29"/>
      <c r="D1298" s="30"/>
      <c r="E1298" s="30"/>
      <c r="F1298" s="35"/>
      <c r="G1298" s="35"/>
      <c r="H1298" s="35" t="str">
        <f t="shared" si="20"/>
        <v/>
      </c>
      <c r="I1298" s="29"/>
      <c r="K1298" s="36" t="str">
        <f>IF(ISNUMBER($D1298),IF(YEAR($D1298)=대시보드!$C$2,$D1298+ROW()/100000,""),"")</f>
        <v/>
      </c>
    </row>
    <row r="1299" spans="1:11">
      <c r="A1299" s="33"/>
      <c r="B1299" s="29"/>
      <c r="C1299" s="29"/>
      <c r="D1299" s="30"/>
      <c r="E1299" s="30"/>
      <c r="F1299" s="35"/>
      <c r="G1299" s="35"/>
      <c r="H1299" s="35" t="str">
        <f t="shared" si="20"/>
        <v/>
      </c>
      <c r="I1299" s="29"/>
      <c r="K1299" s="36" t="str">
        <f>IF(ISNUMBER($D1299),IF(YEAR($D1299)=대시보드!$C$2,$D1299+ROW()/100000,""),"")</f>
        <v/>
      </c>
    </row>
    <row r="1300" spans="1:11">
      <c r="A1300" s="33"/>
      <c r="B1300" s="29"/>
      <c r="C1300" s="29"/>
      <c r="D1300" s="30"/>
      <c r="E1300" s="30"/>
      <c r="F1300" s="35"/>
      <c r="G1300" s="35"/>
      <c r="H1300" s="35" t="str">
        <f t="shared" si="20"/>
        <v/>
      </c>
      <c r="I1300" s="29"/>
      <c r="K1300" s="36" t="str">
        <f>IF(ISNUMBER($D1300),IF(YEAR($D1300)=대시보드!$C$2,$D1300+ROW()/100000,""),"")</f>
        <v/>
      </c>
    </row>
    <row r="1301" spans="1:11">
      <c r="A1301" s="33"/>
      <c r="B1301" s="29"/>
      <c r="C1301" s="29"/>
      <c r="D1301" s="30"/>
      <c r="E1301" s="30"/>
      <c r="F1301" s="35"/>
      <c r="G1301" s="35"/>
      <c r="H1301" s="35" t="str">
        <f t="shared" si="20"/>
        <v/>
      </c>
      <c r="I1301" s="29"/>
      <c r="K1301" s="36" t="str">
        <f>IF(ISNUMBER($D1301),IF(YEAR($D1301)=대시보드!$C$2,$D1301+ROW()/100000,""),"")</f>
        <v/>
      </c>
    </row>
    <row r="1302" spans="1:11">
      <c r="A1302" s="33"/>
      <c r="B1302" s="29"/>
      <c r="C1302" s="29"/>
      <c r="D1302" s="30"/>
      <c r="E1302" s="30"/>
      <c r="F1302" s="35"/>
      <c r="G1302" s="35"/>
      <c r="H1302" s="35" t="str">
        <f t="shared" si="20"/>
        <v/>
      </c>
      <c r="I1302" s="29"/>
      <c r="K1302" s="36" t="str">
        <f>IF(ISNUMBER($D1302),IF(YEAR($D1302)=대시보드!$C$2,$D1302+ROW()/100000,""),"")</f>
        <v/>
      </c>
    </row>
    <row r="1303" spans="1:11">
      <c r="A1303" s="33"/>
      <c r="B1303" s="29"/>
      <c r="C1303" s="29"/>
      <c r="D1303" s="30"/>
      <c r="E1303" s="30"/>
      <c r="F1303" s="35"/>
      <c r="G1303" s="35"/>
      <c r="H1303" s="35" t="str">
        <f t="shared" si="20"/>
        <v/>
      </c>
      <c r="I1303" s="29"/>
      <c r="K1303" s="36" t="str">
        <f>IF(ISNUMBER($D1303),IF(YEAR($D1303)=대시보드!$C$2,$D1303+ROW()/100000,""),"")</f>
        <v/>
      </c>
    </row>
    <row r="1304" spans="1:11">
      <c r="A1304" s="33"/>
      <c r="B1304" s="29"/>
      <c r="C1304" s="29"/>
      <c r="D1304" s="30"/>
      <c r="E1304" s="30"/>
      <c r="F1304" s="35"/>
      <c r="G1304" s="35"/>
      <c r="H1304" s="35" t="str">
        <f t="shared" si="20"/>
        <v/>
      </c>
      <c r="I1304" s="29"/>
      <c r="K1304" s="36" t="str">
        <f>IF(ISNUMBER($D1304),IF(YEAR($D1304)=대시보드!$C$2,$D1304+ROW()/100000,""),"")</f>
        <v/>
      </c>
    </row>
    <row r="1305" spans="1:11">
      <c r="A1305" s="33"/>
      <c r="B1305" s="29"/>
      <c r="C1305" s="29"/>
      <c r="D1305" s="30"/>
      <c r="E1305" s="30"/>
      <c r="F1305" s="35"/>
      <c r="G1305" s="35"/>
      <c r="H1305" s="35" t="str">
        <f t="shared" si="20"/>
        <v/>
      </c>
      <c r="I1305" s="29"/>
      <c r="K1305" s="36" t="str">
        <f>IF(ISNUMBER($D1305),IF(YEAR($D1305)=대시보드!$C$2,$D1305+ROW()/100000,""),"")</f>
        <v/>
      </c>
    </row>
    <row r="1306" spans="1:11">
      <c r="A1306" s="33"/>
      <c r="B1306" s="29"/>
      <c r="C1306" s="29"/>
      <c r="D1306" s="30"/>
      <c r="E1306" s="30"/>
      <c r="F1306" s="35"/>
      <c r="G1306" s="35"/>
      <c r="H1306" s="35" t="str">
        <f t="shared" si="20"/>
        <v/>
      </c>
      <c r="I1306" s="29"/>
      <c r="K1306" s="36" t="str">
        <f>IF(ISNUMBER($D1306),IF(YEAR($D1306)=대시보드!$C$2,$D1306+ROW()/100000,""),"")</f>
        <v/>
      </c>
    </row>
    <row r="1307" spans="1:11">
      <c r="A1307" s="33"/>
      <c r="B1307" s="29"/>
      <c r="C1307" s="29"/>
      <c r="D1307" s="30"/>
      <c r="E1307" s="30"/>
      <c r="F1307" s="35"/>
      <c r="G1307" s="35"/>
      <c r="H1307" s="35" t="str">
        <f t="shared" si="20"/>
        <v/>
      </c>
      <c r="I1307" s="29"/>
      <c r="K1307" s="36" t="str">
        <f>IF(ISNUMBER($D1307),IF(YEAR($D1307)=대시보드!$C$2,$D1307+ROW()/100000,""),"")</f>
        <v/>
      </c>
    </row>
    <row r="1308" spans="1:11">
      <c r="A1308" s="33"/>
      <c r="B1308" s="29"/>
      <c r="C1308" s="29"/>
      <c r="D1308" s="30"/>
      <c r="E1308" s="30"/>
      <c r="F1308" s="35"/>
      <c r="G1308" s="35"/>
      <c r="H1308" s="35" t="str">
        <f t="shared" si="20"/>
        <v/>
      </c>
      <c r="I1308" s="29"/>
      <c r="K1308" s="36" t="str">
        <f>IF(ISNUMBER($D1308),IF(YEAR($D1308)=대시보드!$C$2,$D1308+ROW()/100000,""),"")</f>
        <v/>
      </c>
    </row>
    <row r="1309" spans="1:11">
      <c r="A1309" s="33"/>
      <c r="B1309" s="29"/>
      <c r="C1309" s="29"/>
      <c r="D1309" s="30"/>
      <c r="E1309" s="30"/>
      <c r="F1309" s="35"/>
      <c r="G1309" s="35"/>
      <c r="H1309" s="35" t="str">
        <f t="shared" si="20"/>
        <v/>
      </c>
      <c r="I1309" s="29"/>
      <c r="K1309" s="36" t="str">
        <f>IF(ISNUMBER($D1309),IF(YEAR($D1309)=대시보드!$C$2,$D1309+ROW()/100000,""),"")</f>
        <v/>
      </c>
    </row>
    <row r="1310" spans="1:11">
      <c r="A1310" s="33"/>
      <c r="B1310" s="29"/>
      <c r="C1310" s="29"/>
      <c r="D1310" s="30"/>
      <c r="E1310" s="30"/>
      <c r="F1310" s="35"/>
      <c r="G1310" s="35"/>
      <c r="H1310" s="35" t="str">
        <f t="shared" si="20"/>
        <v/>
      </c>
      <c r="I1310" s="29"/>
      <c r="K1310" s="36" t="str">
        <f>IF(ISNUMBER($D1310),IF(YEAR($D1310)=대시보드!$C$2,$D1310+ROW()/100000,""),"")</f>
        <v/>
      </c>
    </row>
    <row r="1311" spans="1:11">
      <c r="A1311" s="33"/>
      <c r="B1311" s="29"/>
      <c r="C1311" s="29"/>
      <c r="D1311" s="30"/>
      <c r="E1311" s="30"/>
      <c r="F1311" s="35"/>
      <c r="G1311" s="35"/>
      <c r="H1311" s="35" t="str">
        <f t="shared" si="20"/>
        <v/>
      </c>
      <c r="I1311" s="29"/>
      <c r="K1311" s="36" t="str">
        <f>IF(ISNUMBER($D1311),IF(YEAR($D1311)=대시보드!$C$2,$D1311+ROW()/100000,""),"")</f>
        <v/>
      </c>
    </row>
    <row r="1312" spans="1:11">
      <c r="A1312" s="33"/>
      <c r="B1312" s="29"/>
      <c r="C1312" s="29"/>
      <c r="D1312" s="30"/>
      <c r="E1312" s="30"/>
      <c r="F1312" s="35"/>
      <c r="G1312" s="35"/>
      <c r="H1312" s="35" t="str">
        <f t="shared" si="20"/>
        <v/>
      </c>
      <c r="I1312" s="29"/>
      <c r="K1312" s="36" t="str">
        <f>IF(ISNUMBER($D1312),IF(YEAR($D1312)=대시보드!$C$2,$D1312+ROW()/100000,""),"")</f>
        <v/>
      </c>
    </row>
    <row r="1313" spans="1:11">
      <c r="A1313" s="33"/>
      <c r="B1313" s="29"/>
      <c r="C1313" s="29"/>
      <c r="D1313" s="30"/>
      <c r="E1313" s="30"/>
      <c r="F1313" s="35"/>
      <c r="G1313" s="35"/>
      <c r="H1313" s="35" t="str">
        <f t="shared" si="20"/>
        <v/>
      </c>
      <c r="I1313" s="29"/>
      <c r="K1313" s="36" t="str">
        <f>IF(ISNUMBER($D1313),IF(YEAR($D1313)=대시보드!$C$2,$D1313+ROW()/100000,""),"")</f>
        <v/>
      </c>
    </row>
    <row r="1314" spans="1:11">
      <c r="A1314" s="33"/>
      <c r="B1314" s="29"/>
      <c r="C1314" s="29"/>
      <c r="D1314" s="30"/>
      <c r="E1314" s="30"/>
      <c r="F1314" s="35"/>
      <c r="G1314" s="35"/>
      <c r="H1314" s="35" t="str">
        <f t="shared" si="20"/>
        <v/>
      </c>
      <c r="I1314" s="29"/>
      <c r="K1314" s="36" t="str">
        <f>IF(ISNUMBER($D1314),IF(YEAR($D1314)=대시보드!$C$2,$D1314+ROW()/100000,""),"")</f>
        <v/>
      </c>
    </row>
    <row r="1315" spans="1:11">
      <c r="A1315" s="33"/>
      <c r="B1315" s="29"/>
      <c r="C1315" s="29"/>
      <c r="D1315" s="30"/>
      <c r="E1315" s="30"/>
      <c r="F1315" s="35"/>
      <c r="G1315" s="35"/>
      <c r="H1315" s="35" t="str">
        <f t="shared" si="20"/>
        <v/>
      </c>
      <c r="I1315" s="29"/>
      <c r="K1315" s="36" t="str">
        <f>IF(ISNUMBER($D1315),IF(YEAR($D1315)=대시보드!$C$2,$D1315+ROW()/100000,""),"")</f>
        <v/>
      </c>
    </row>
    <row r="1316" spans="1:11">
      <c r="A1316" s="33"/>
      <c r="B1316" s="29"/>
      <c r="C1316" s="29"/>
      <c r="D1316" s="30"/>
      <c r="E1316" s="30"/>
      <c r="F1316" s="35"/>
      <c r="G1316" s="35"/>
      <c r="H1316" s="35" t="str">
        <f t="shared" si="20"/>
        <v/>
      </c>
      <c r="I1316" s="29"/>
      <c r="K1316" s="36" t="str">
        <f>IF(ISNUMBER($D1316),IF(YEAR($D1316)=대시보드!$C$2,$D1316+ROW()/100000,""),"")</f>
        <v/>
      </c>
    </row>
    <row r="1317" spans="1:11">
      <c r="A1317" s="33"/>
      <c r="B1317" s="29"/>
      <c r="C1317" s="29"/>
      <c r="D1317" s="30"/>
      <c r="E1317" s="30"/>
      <c r="F1317" s="35"/>
      <c r="G1317" s="35"/>
      <c r="H1317" s="35" t="str">
        <f t="shared" si="20"/>
        <v/>
      </c>
      <c r="I1317" s="29"/>
      <c r="K1317" s="36" t="str">
        <f>IF(ISNUMBER($D1317),IF(YEAR($D1317)=대시보드!$C$2,$D1317+ROW()/100000,""),"")</f>
        <v/>
      </c>
    </row>
    <row r="1318" spans="1:11">
      <c r="A1318" s="33"/>
      <c r="B1318" s="29"/>
      <c r="C1318" s="29"/>
      <c r="D1318" s="30"/>
      <c r="E1318" s="30"/>
      <c r="F1318" s="35"/>
      <c r="G1318" s="35"/>
      <c r="H1318" s="35" t="str">
        <f t="shared" si="20"/>
        <v/>
      </c>
      <c r="I1318" s="29"/>
      <c r="K1318" s="36" t="str">
        <f>IF(ISNUMBER($D1318),IF(YEAR($D1318)=대시보드!$C$2,$D1318+ROW()/100000,""),"")</f>
        <v/>
      </c>
    </row>
    <row r="1319" spans="1:11">
      <c r="A1319" s="33"/>
      <c r="B1319" s="29"/>
      <c r="C1319" s="29"/>
      <c r="D1319" s="30"/>
      <c r="E1319" s="30"/>
      <c r="F1319" s="35"/>
      <c r="G1319" s="35"/>
      <c r="H1319" s="35" t="str">
        <f t="shared" si="20"/>
        <v/>
      </c>
      <c r="I1319" s="29"/>
      <c r="K1319" s="36" t="str">
        <f>IF(ISNUMBER($D1319),IF(YEAR($D1319)=대시보드!$C$2,$D1319+ROW()/100000,""),"")</f>
        <v/>
      </c>
    </row>
    <row r="1320" spans="1:11">
      <c r="A1320" s="33"/>
      <c r="B1320" s="29"/>
      <c r="C1320" s="29"/>
      <c r="D1320" s="30"/>
      <c r="E1320" s="30"/>
      <c r="F1320" s="35"/>
      <c r="G1320" s="35"/>
      <c r="H1320" s="35" t="str">
        <f t="shared" si="20"/>
        <v/>
      </c>
      <c r="I1320" s="29"/>
      <c r="K1320" s="36" t="str">
        <f>IF(ISNUMBER($D1320),IF(YEAR($D1320)=대시보드!$C$2,$D1320+ROW()/100000,""),"")</f>
        <v/>
      </c>
    </row>
    <row r="1321" spans="1:11">
      <c r="A1321" s="33"/>
      <c r="B1321" s="29"/>
      <c r="C1321" s="29"/>
      <c r="D1321" s="30"/>
      <c r="E1321" s="30"/>
      <c r="F1321" s="35"/>
      <c r="G1321" s="35"/>
      <c r="H1321" s="35" t="str">
        <f t="shared" si="20"/>
        <v/>
      </c>
      <c r="I1321" s="29"/>
      <c r="K1321" s="36" t="str">
        <f>IF(ISNUMBER($D1321),IF(YEAR($D1321)=대시보드!$C$2,$D1321+ROW()/100000,""),"")</f>
        <v/>
      </c>
    </row>
    <row r="1322" spans="1:11">
      <c r="A1322" s="33"/>
      <c r="B1322" s="29"/>
      <c r="C1322" s="29"/>
      <c r="D1322" s="30"/>
      <c r="E1322" s="30"/>
      <c r="F1322" s="35"/>
      <c r="G1322" s="35"/>
      <c r="H1322" s="35" t="str">
        <f t="shared" si="20"/>
        <v/>
      </c>
      <c r="I1322" s="29"/>
      <c r="K1322" s="36" t="str">
        <f>IF(ISNUMBER($D1322),IF(YEAR($D1322)=대시보드!$C$2,$D1322+ROW()/100000,""),"")</f>
        <v/>
      </c>
    </row>
    <row r="1323" spans="1:11">
      <c r="A1323" s="33"/>
      <c r="B1323" s="29"/>
      <c r="C1323" s="29"/>
      <c r="D1323" s="30"/>
      <c r="E1323" s="30"/>
      <c r="F1323" s="35"/>
      <c r="G1323" s="35"/>
      <c r="H1323" s="35" t="str">
        <f t="shared" si="20"/>
        <v/>
      </c>
      <c r="I1323" s="29"/>
      <c r="K1323" s="36" t="str">
        <f>IF(ISNUMBER($D1323),IF(YEAR($D1323)=대시보드!$C$2,$D1323+ROW()/100000,""),"")</f>
        <v/>
      </c>
    </row>
    <row r="1324" spans="1:11">
      <c r="A1324" s="33"/>
      <c r="B1324" s="29"/>
      <c r="C1324" s="29"/>
      <c r="D1324" s="30"/>
      <c r="E1324" s="30"/>
      <c r="F1324" s="35"/>
      <c r="G1324" s="35"/>
      <c r="H1324" s="35" t="str">
        <f t="shared" si="20"/>
        <v/>
      </c>
      <c r="I1324" s="29"/>
      <c r="K1324" s="36" t="str">
        <f>IF(ISNUMBER($D1324),IF(YEAR($D1324)=대시보드!$C$2,$D1324+ROW()/100000,""),"")</f>
        <v/>
      </c>
    </row>
    <row r="1325" spans="1:11">
      <c r="A1325" s="33"/>
      <c r="B1325" s="29"/>
      <c r="C1325" s="29"/>
      <c r="D1325" s="30"/>
      <c r="E1325" s="30"/>
      <c r="F1325" s="35"/>
      <c r="G1325" s="35"/>
      <c r="H1325" s="35" t="str">
        <f t="shared" si="20"/>
        <v/>
      </c>
      <c r="I1325" s="29"/>
      <c r="K1325" s="36" t="str">
        <f>IF(ISNUMBER($D1325),IF(YEAR($D1325)=대시보드!$C$2,$D1325+ROW()/100000,""),"")</f>
        <v/>
      </c>
    </row>
    <row r="1326" spans="1:11">
      <c r="A1326" s="33"/>
      <c r="B1326" s="29"/>
      <c r="C1326" s="29"/>
      <c r="D1326" s="30"/>
      <c r="E1326" s="30"/>
      <c r="F1326" s="35"/>
      <c r="G1326" s="35"/>
      <c r="H1326" s="35" t="str">
        <f t="shared" si="20"/>
        <v/>
      </c>
      <c r="I1326" s="29"/>
      <c r="K1326" s="36" t="str">
        <f>IF(ISNUMBER($D1326),IF(YEAR($D1326)=대시보드!$C$2,$D1326+ROW()/100000,""),"")</f>
        <v/>
      </c>
    </row>
    <row r="1327" spans="1:11">
      <c r="A1327" s="33"/>
      <c r="B1327" s="29"/>
      <c r="C1327" s="29"/>
      <c r="D1327" s="30"/>
      <c r="E1327" s="30"/>
      <c r="F1327" s="35"/>
      <c r="G1327" s="35"/>
      <c r="H1327" s="35" t="str">
        <f t="shared" si="20"/>
        <v/>
      </c>
      <c r="I1327" s="29"/>
      <c r="K1327" s="36" t="str">
        <f>IF(ISNUMBER($D1327),IF(YEAR($D1327)=대시보드!$C$2,$D1327+ROW()/100000,""),"")</f>
        <v/>
      </c>
    </row>
    <row r="1328" spans="1:11">
      <c r="A1328" s="33"/>
      <c r="B1328" s="29"/>
      <c r="C1328" s="29"/>
      <c r="D1328" s="30"/>
      <c r="E1328" s="30"/>
      <c r="F1328" s="35"/>
      <c r="G1328" s="35"/>
      <c r="H1328" s="35" t="str">
        <f t="shared" si="20"/>
        <v/>
      </c>
      <c r="I1328" s="29"/>
      <c r="K1328" s="36" t="str">
        <f>IF(ISNUMBER($D1328),IF(YEAR($D1328)=대시보드!$C$2,$D1328+ROW()/100000,""),"")</f>
        <v/>
      </c>
    </row>
    <row r="1329" spans="1:11">
      <c r="A1329" s="33"/>
      <c r="B1329" s="29"/>
      <c r="C1329" s="29"/>
      <c r="D1329" s="30"/>
      <c r="E1329" s="30"/>
      <c r="F1329" s="35"/>
      <c r="G1329" s="35"/>
      <c r="H1329" s="35" t="str">
        <f t="shared" si="20"/>
        <v/>
      </c>
      <c r="I1329" s="29"/>
      <c r="K1329" s="36" t="str">
        <f>IF(ISNUMBER($D1329),IF(YEAR($D1329)=대시보드!$C$2,$D1329+ROW()/100000,""),"")</f>
        <v/>
      </c>
    </row>
    <row r="1330" spans="1:11">
      <c r="A1330" s="33"/>
      <c r="B1330" s="29"/>
      <c r="C1330" s="29"/>
      <c r="D1330" s="30"/>
      <c r="E1330" s="30"/>
      <c r="F1330" s="35"/>
      <c r="G1330" s="35"/>
      <c r="H1330" s="35" t="str">
        <f t="shared" si="20"/>
        <v/>
      </c>
      <c r="I1330" s="29"/>
      <c r="K1330" s="36" t="str">
        <f>IF(ISNUMBER($D1330),IF(YEAR($D1330)=대시보드!$C$2,$D1330+ROW()/100000,""),"")</f>
        <v/>
      </c>
    </row>
    <row r="1331" spans="1:11">
      <c r="A1331" s="33"/>
      <c r="B1331" s="29"/>
      <c r="C1331" s="29"/>
      <c r="D1331" s="30"/>
      <c r="E1331" s="30"/>
      <c r="F1331" s="35"/>
      <c r="G1331" s="35"/>
      <c r="H1331" s="35" t="str">
        <f t="shared" si="20"/>
        <v/>
      </c>
      <c r="I1331" s="29"/>
      <c r="K1331" s="36" t="str">
        <f>IF(ISNUMBER($D1331),IF(YEAR($D1331)=대시보드!$C$2,$D1331+ROW()/100000,""),"")</f>
        <v/>
      </c>
    </row>
    <row r="1332" spans="1:11">
      <c r="A1332" s="33"/>
      <c r="B1332" s="29"/>
      <c r="C1332" s="29"/>
      <c r="D1332" s="30"/>
      <c r="E1332" s="30"/>
      <c r="F1332" s="35"/>
      <c r="G1332" s="35"/>
      <c r="H1332" s="35" t="str">
        <f t="shared" si="20"/>
        <v/>
      </c>
      <c r="I1332" s="29"/>
      <c r="K1332" s="36" t="str">
        <f>IF(ISNUMBER($D1332),IF(YEAR($D1332)=대시보드!$C$2,$D1332+ROW()/100000,""),"")</f>
        <v/>
      </c>
    </row>
    <row r="1333" spans="1:11">
      <c r="A1333" s="33"/>
      <c r="B1333" s="29"/>
      <c r="C1333" s="29"/>
      <c r="D1333" s="30"/>
      <c r="E1333" s="30"/>
      <c r="F1333" s="35"/>
      <c r="G1333" s="35"/>
      <c r="H1333" s="35" t="str">
        <f t="shared" si="20"/>
        <v/>
      </c>
      <c r="I1333" s="29"/>
      <c r="K1333" s="36" t="str">
        <f>IF(ISNUMBER($D1333),IF(YEAR($D1333)=대시보드!$C$2,$D1333+ROW()/100000,""),"")</f>
        <v/>
      </c>
    </row>
    <row r="1334" spans="1:11">
      <c r="A1334" s="33"/>
      <c r="B1334" s="29"/>
      <c r="C1334" s="29"/>
      <c r="D1334" s="30"/>
      <c r="E1334" s="30"/>
      <c r="F1334" s="35"/>
      <c r="G1334" s="35"/>
      <c r="H1334" s="35" t="str">
        <f t="shared" si="20"/>
        <v/>
      </c>
      <c r="I1334" s="29"/>
      <c r="K1334" s="36" t="str">
        <f>IF(ISNUMBER($D1334),IF(YEAR($D1334)=대시보드!$C$2,$D1334+ROW()/100000,""),"")</f>
        <v/>
      </c>
    </row>
    <row r="1335" spans="1:11">
      <c r="A1335" s="33"/>
      <c r="B1335" s="29"/>
      <c r="C1335" s="29"/>
      <c r="D1335" s="30"/>
      <c r="E1335" s="30"/>
      <c r="F1335" s="35"/>
      <c r="G1335" s="35"/>
      <c r="H1335" s="35" t="str">
        <f t="shared" si="20"/>
        <v/>
      </c>
      <c r="I1335" s="29"/>
      <c r="K1335" s="36" t="str">
        <f>IF(ISNUMBER($D1335),IF(YEAR($D1335)=대시보드!$C$2,$D1335+ROW()/100000,""),"")</f>
        <v/>
      </c>
    </row>
    <row r="1336" spans="1:11">
      <c r="A1336" s="33"/>
      <c r="B1336" s="29"/>
      <c r="C1336" s="29"/>
      <c r="D1336" s="30"/>
      <c r="E1336" s="30"/>
      <c r="F1336" s="35"/>
      <c r="G1336" s="35"/>
      <c r="H1336" s="35" t="str">
        <f t="shared" si="20"/>
        <v/>
      </c>
      <c r="I1336" s="29"/>
      <c r="K1336" s="36" t="str">
        <f>IF(ISNUMBER($D1336),IF(YEAR($D1336)=대시보드!$C$2,$D1336+ROW()/100000,""),"")</f>
        <v/>
      </c>
    </row>
    <row r="1337" spans="1:11">
      <c r="A1337" s="33"/>
      <c r="B1337" s="29"/>
      <c r="C1337" s="29"/>
      <c r="D1337" s="30"/>
      <c r="E1337" s="30"/>
      <c r="F1337" s="35"/>
      <c r="G1337" s="35"/>
      <c r="H1337" s="35" t="str">
        <f t="shared" si="20"/>
        <v/>
      </c>
      <c r="I1337" s="29"/>
      <c r="K1337" s="36" t="str">
        <f>IF(ISNUMBER($D1337),IF(YEAR($D1337)=대시보드!$C$2,$D1337+ROW()/100000,""),"")</f>
        <v/>
      </c>
    </row>
    <row r="1338" spans="1:11">
      <c r="A1338" s="33"/>
      <c r="B1338" s="29"/>
      <c r="C1338" s="29"/>
      <c r="D1338" s="30"/>
      <c r="E1338" s="30"/>
      <c r="F1338" s="35"/>
      <c r="G1338" s="35"/>
      <c r="H1338" s="35" t="str">
        <f t="shared" si="20"/>
        <v/>
      </c>
      <c r="I1338" s="29"/>
      <c r="K1338" s="36" t="str">
        <f>IF(ISNUMBER($D1338),IF(YEAR($D1338)=대시보드!$C$2,$D1338+ROW()/100000,""),"")</f>
        <v/>
      </c>
    </row>
    <row r="1339" spans="1:11">
      <c r="A1339" s="33"/>
      <c r="B1339" s="29"/>
      <c r="C1339" s="29"/>
      <c r="D1339" s="30"/>
      <c r="E1339" s="30"/>
      <c r="F1339" s="35"/>
      <c r="G1339" s="35"/>
      <c r="H1339" s="35" t="str">
        <f t="shared" si="20"/>
        <v/>
      </c>
      <c r="I1339" s="29"/>
      <c r="K1339" s="36" t="str">
        <f>IF(ISNUMBER($D1339),IF(YEAR($D1339)=대시보드!$C$2,$D1339+ROW()/100000,""),"")</f>
        <v/>
      </c>
    </row>
    <row r="1340" spans="1:11">
      <c r="A1340" s="33"/>
      <c r="B1340" s="29"/>
      <c r="C1340" s="29"/>
      <c r="D1340" s="30"/>
      <c r="E1340" s="30"/>
      <c r="F1340" s="35"/>
      <c r="G1340" s="35"/>
      <c r="H1340" s="35" t="str">
        <f t="shared" si="20"/>
        <v/>
      </c>
      <c r="I1340" s="29"/>
      <c r="K1340" s="36" t="str">
        <f>IF(ISNUMBER($D1340),IF(YEAR($D1340)=대시보드!$C$2,$D1340+ROW()/100000,""),"")</f>
        <v/>
      </c>
    </row>
    <row r="1341" spans="1:11">
      <c r="A1341" s="33"/>
      <c r="B1341" s="29"/>
      <c r="C1341" s="29"/>
      <c r="D1341" s="30"/>
      <c r="E1341" s="30"/>
      <c r="F1341" s="35"/>
      <c r="G1341" s="35"/>
      <c r="H1341" s="35" t="str">
        <f t="shared" si="20"/>
        <v/>
      </c>
      <c r="I1341" s="29"/>
      <c r="K1341" s="36" t="str">
        <f>IF(ISNUMBER($D1341),IF(YEAR($D1341)=대시보드!$C$2,$D1341+ROW()/100000,""),"")</f>
        <v/>
      </c>
    </row>
    <row r="1342" spans="1:11">
      <c r="A1342" s="33"/>
      <c r="B1342" s="29"/>
      <c r="C1342" s="29"/>
      <c r="D1342" s="30"/>
      <c r="E1342" s="30"/>
      <c r="F1342" s="35"/>
      <c r="G1342" s="35"/>
      <c r="H1342" s="35" t="str">
        <f t="shared" si="20"/>
        <v/>
      </c>
      <c r="I1342" s="29"/>
      <c r="K1342" s="36" t="str">
        <f>IF(ISNUMBER($D1342),IF(YEAR($D1342)=대시보드!$C$2,$D1342+ROW()/100000,""),"")</f>
        <v/>
      </c>
    </row>
    <row r="1343" spans="1:11">
      <c r="A1343" s="33"/>
      <c r="B1343" s="29"/>
      <c r="C1343" s="29"/>
      <c r="D1343" s="30"/>
      <c r="E1343" s="30"/>
      <c r="F1343" s="35"/>
      <c r="G1343" s="35"/>
      <c r="H1343" s="35" t="str">
        <f t="shared" si="20"/>
        <v/>
      </c>
      <c r="I1343" s="29"/>
      <c r="K1343" s="36" t="str">
        <f>IF(ISNUMBER($D1343),IF(YEAR($D1343)=대시보드!$C$2,$D1343+ROW()/100000,""),"")</f>
        <v/>
      </c>
    </row>
    <row r="1344" spans="1:11">
      <c r="A1344" s="33"/>
      <c r="B1344" s="29"/>
      <c r="C1344" s="29"/>
      <c r="D1344" s="30"/>
      <c r="E1344" s="30"/>
      <c r="F1344" s="35"/>
      <c r="G1344" s="35"/>
      <c r="H1344" s="35" t="str">
        <f t="shared" si="20"/>
        <v/>
      </c>
      <c r="I1344" s="29"/>
      <c r="K1344" s="36" t="str">
        <f>IF(ISNUMBER($D1344),IF(YEAR($D1344)=대시보드!$C$2,$D1344+ROW()/100000,""),"")</f>
        <v/>
      </c>
    </row>
    <row r="1345" spans="1:11">
      <c r="A1345" s="33"/>
      <c r="B1345" s="29"/>
      <c r="C1345" s="29"/>
      <c r="D1345" s="30"/>
      <c r="E1345" s="30"/>
      <c r="F1345" s="35"/>
      <c r="G1345" s="35"/>
      <c r="H1345" s="35" t="str">
        <f t="shared" si="20"/>
        <v/>
      </c>
      <c r="I1345" s="29"/>
      <c r="K1345" s="36" t="str">
        <f>IF(ISNUMBER($D1345),IF(YEAR($D1345)=대시보드!$C$2,$D1345+ROW()/100000,""),"")</f>
        <v/>
      </c>
    </row>
    <row r="1346" spans="1:11">
      <c r="A1346" s="33"/>
      <c r="B1346" s="29"/>
      <c r="C1346" s="29"/>
      <c r="D1346" s="30"/>
      <c r="E1346" s="30"/>
      <c r="F1346" s="35"/>
      <c r="G1346" s="35"/>
      <c r="H1346" s="35" t="str">
        <f t="shared" si="20"/>
        <v/>
      </c>
      <c r="I1346" s="29"/>
      <c r="K1346" s="36" t="str">
        <f>IF(ISNUMBER($D1346),IF(YEAR($D1346)=대시보드!$C$2,$D1346+ROW()/100000,""),"")</f>
        <v/>
      </c>
    </row>
    <row r="1347" spans="1:11">
      <c r="A1347" s="33"/>
      <c r="B1347" s="29"/>
      <c r="C1347" s="29"/>
      <c r="D1347" s="30"/>
      <c r="E1347" s="30"/>
      <c r="F1347" s="35"/>
      <c r="G1347" s="35"/>
      <c r="H1347" s="35" t="str">
        <f t="shared" si="20"/>
        <v/>
      </c>
      <c r="I1347" s="29"/>
      <c r="K1347" s="36" t="str">
        <f>IF(ISNUMBER($D1347),IF(YEAR($D1347)=대시보드!$C$2,$D1347+ROW()/100000,""),"")</f>
        <v/>
      </c>
    </row>
    <row r="1348" spans="1:11">
      <c r="A1348" s="33"/>
      <c r="B1348" s="29"/>
      <c r="C1348" s="29"/>
      <c r="D1348" s="30"/>
      <c r="E1348" s="30"/>
      <c r="F1348" s="35"/>
      <c r="G1348" s="35"/>
      <c r="H1348" s="35" t="str">
        <f t="shared" ref="H1348:H1411" si="21">IF(F1348="","",F1348-G1348)</f>
        <v/>
      </c>
      <c r="I1348" s="29"/>
      <c r="K1348" s="36" t="str">
        <f>IF(ISNUMBER($D1348),IF(YEAR($D1348)=대시보드!$C$2,$D1348+ROW()/100000,""),"")</f>
        <v/>
      </c>
    </row>
    <row r="1349" spans="1:11">
      <c r="A1349" s="33"/>
      <c r="B1349" s="29"/>
      <c r="C1349" s="29"/>
      <c r="D1349" s="30"/>
      <c r="E1349" s="30"/>
      <c r="F1349" s="35"/>
      <c r="G1349" s="35"/>
      <c r="H1349" s="35" t="str">
        <f t="shared" si="21"/>
        <v/>
      </c>
      <c r="I1349" s="29"/>
      <c r="K1349" s="36" t="str">
        <f>IF(ISNUMBER($D1349),IF(YEAR($D1349)=대시보드!$C$2,$D1349+ROW()/100000,""),"")</f>
        <v/>
      </c>
    </row>
    <row r="1350" spans="1:11">
      <c r="A1350" s="33"/>
      <c r="B1350" s="29"/>
      <c r="C1350" s="29"/>
      <c r="D1350" s="30"/>
      <c r="E1350" s="30"/>
      <c r="F1350" s="35"/>
      <c r="G1350" s="35"/>
      <c r="H1350" s="35" t="str">
        <f t="shared" si="21"/>
        <v/>
      </c>
      <c r="I1350" s="29"/>
      <c r="K1350" s="36" t="str">
        <f>IF(ISNUMBER($D1350),IF(YEAR($D1350)=대시보드!$C$2,$D1350+ROW()/100000,""),"")</f>
        <v/>
      </c>
    </row>
    <row r="1351" spans="1:11">
      <c r="A1351" s="33"/>
      <c r="B1351" s="29"/>
      <c r="C1351" s="29"/>
      <c r="D1351" s="30"/>
      <c r="E1351" s="30"/>
      <c r="F1351" s="35"/>
      <c r="G1351" s="35"/>
      <c r="H1351" s="35" t="str">
        <f t="shared" si="21"/>
        <v/>
      </c>
      <c r="I1351" s="29"/>
      <c r="K1351" s="36" t="str">
        <f>IF(ISNUMBER($D1351),IF(YEAR($D1351)=대시보드!$C$2,$D1351+ROW()/100000,""),"")</f>
        <v/>
      </c>
    </row>
    <row r="1352" spans="1:11">
      <c r="A1352" s="33"/>
      <c r="B1352" s="29"/>
      <c r="C1352" s="29"/>
      <c r="D1352" s="30"/>
      <c r="E1352" s="30"/>
      <c r="F1352" s="35"/>
      <c r="G1352" s="35"/>
      <c r="H1352" s="35" t="str">
        <f t="shared" si="21"/>
        <v/>
      </c>
      <c r="I1352" s="29"/>
      <c r="K1352" s="36" t="str">
        <f>IF(ISNUMBER($D1352),IF(YEAR($D1352)=대시보드!$C$2,$D1352+ROW()/100000,""),"")</f>
        <v/>
      </c>
    </row>
    <row r="1353" spans="1:11">
      <c r="A1353" s="33"/>
      <c r="B1353" s="29"/>
      <c r="C1353" s="29"/>
      <c r="D1353" s="30"/>
      <c r="E1353" s="30"/>
      <c r="F1353" s="35"/>
      <c r="G1353" s="35"/>
      <c r="H1353" s="35" t="str">
        <f t="shared" si="21"/>
        <v/>
      </c>
      <c r="I1353" s="29"/>
      <c r="K1353" s="36" t="str">
        <f>IF(ISNUMBER($D1353),IF(YEAR($D1353)=대시보드!$C$2,$D1353+ROW()/100000,""),"")</f>
        <v/>
      </c>
    </row>
    <row r="1354" spans="1:11">
      <c r="A1354" s="33"/>
      <c r="B1354" s="29"/>
      <c r="C1354" s="29"/>
      <c r="D1354" s="30"/>
      <c r="E1354" s="30"/>
      <c r="F1354" s="35"/>
      <c r="G1354" s="35"/>
      <c r="H1354" s="35" t="str">
        <f t="shared" si="21"/>
        <v/>
      </c>
      <c r="I1354" s="29"/>
      <c r="K1354" s="36" t="str">
        <f>IF(ISNUMBER($D1354),IF(YEAR($D1354)=대시보드!$C$2,$D1354+ROW()/100000,""),"")</f>
        <v/>
      </c>
    </row>
    <row r="1355" spans="1:11">
      <c r="A1355" s="33"/>
      <c r="B1355" s="29"/>
      <c r="C1355" s="29"/>
      <c r="D1355" s="30"/>
      <c r="E1355" s="30"/>
      <c r="F1355" s="35"/>
      <c r="G1355" s="35"/>
      <c r="H1355" s="35" t="str">
        <f t="shared" si="21"/>
        <v/>
      </c>
      <c r="I1355" s="29"/>
      <c r="K1355" s="36" t="str">
        <f>IF(ISNUMBER($D1355),IF(YEAR($D1355)=대시보드!$C$2,$D1355+ROW()/100000,""),"")</f>
        <v/>
      </c>
    </row>
    <row r="1356" spans="1:11">
      <c r="A1356" s="33"/>
      <c r="B1356" s="29"/>
      <c r="C1356" s="29"/>
      <c r="D1356" s="30"/>
      <c r="E1356" s="30"/>
      <c r="F1356" s="35"/>
      <c r="G1356" s="35"/>
      <c r="H1356" s="35" t="str">
        <f t="shared" si="21"/>
        <v/>
      </c>
      <c r="I1356" s="29"/>
      <c r="K1356" s="36" t="str">
        <f>IF(ISNUMBER($D1356),IF(YEAR($D1356)=대시보드!$C$2,$D1356+ROW()/100000,""),"")</f>
        <v/>
      </c>
    </row>
    <row r="1357" spans="1:11">
      <c r="A1357" s="33"/>
      <c r="B1357" s="29"/>
      <c r="C1357" s="29"/>
      <c r="D1357" s="30"/>
      <c r="E1357" s="30"/>
      <c r="F1357" s="35"/>
      <c r="G1357" s="35"/>
      <c r="H1357" s="35" t="str">
        <f t="shared" si="21"/>
        <v/>
      </c>
      <c r="I1357" s="29"/>
      <c r="K1357" s="36" t="str">
        <f>IF(ISNUMBER($D1357),IF(YEAR($D1357)=대시보드!$C$2,$D1357+ROW()/100000,""),"")</f>
        <v/>
      </c>
    </row>
    <row r="1358" spans="1:11">
      <c r="A1358" s="33"/>
      <c r="B1358" s="29"/>
      <c r="C1358" s="29"/>
      <c r="D1358" s="30"/>
      <c r="E1358" s="30"/>
      <c r="F1358" s="35"/>
      <c r="G1358" s="35"/>
      <c r="H1358" s="35" t="str">
        <f t="shared" si="21"/>
        <v/>
      </c>
      <c r="I1358" s="29"/>
      <c r="K1358" s="36" t="str">
        <f>IF(ISNUMBER($D1358),IF(YEAR($D1358)=대시보드!$C$2,$D1358+ROW()/100000,""),"")</f>
        <v/>
      </c>
    </row>
    <row r="1359" spans="1:11">
      <c r="A1359" s="33"/>
      <c r="B1359" s="29"/>
      <c r="C1359" s="29"/>
      <c r="D1359" s="30"/>
      <c r="E1359" s="30"/>
      <c r="F1359" s="35"/>
      <c r="G1359" s="35"/>
      <c r="H1359" s="35" t="str">
        <f t="shared" si="21"/>
        <v/>
      </c>
      <c r="I1359" s="29"/>
      <c r="K1359" s="36" t="str">
        <f>IF(ISNUMBER($D1359),IF(YEAR($D1359)=대시보드!$C$2,$D1359+ROW()/100000,""),"")</f>
        <v/>
      </c>
    </row>
    <row r="1360" spans="1:11">
      <c r="A1360" s="33"/>
      <c r="B1360" s="29"/>
      <c r="C1360" s="29"/>
      <c r="D1360" s="30"/>
      <c r="E1360" s="30"/>
      <c r="F1360" s="35"/>
      <c r="G1360" s="35"/>
      <c r="H1360" s="35" t="str">
        <f t="shared" si="21"/>
        <v/>
      </c>
      <c r="I1360" s="29"/>
      <c r="K1360" s="36" t="str">
        <f>IF(ISNUMBER($D1360),IF(YEAR($D1360)=대시보드!$C$2,$D1360+ROW()/100000,""),"")</f>
        <v/>
      </c>
    </row>
    <row r="1361" spans="1:11">
      <c r="A1361" s="33"/>
      <c r="B1361" s="29"/>
      <c r="C1361" s="29"/>
      <c r="D1361" s="30"/>
      <c r="E1361" s="30"/>
      <c r="F1361" s="35"/>
      <c r="G1361" s="35"/>
      <c r="H1361" s="35" t="str">
        <f t="shared" si="21"/>
        <v/>
      </c>
      <c r="I1361" s="29"/>
      <c r="K1361" s="36" t="str">
        <f>IF(ISNUMBER($D1361),IF(YEAR($D1361)=대시보드!$C$2,$D1361+ROW()/100000,""),"")</f>
        <v/>
      </c>
    </row>
    <row r="1362" spans="1:11">
      <c r="A1362" s="33"/>
      <c r="B1362" s="29"/>
      <c r="C1362" s="29"/>
      <c r="D1362" s="30"/>
      <c r="E1362" s="30"/>
      <c r="F1362" s="35"/>
      <c r="G1362" s="35"/>
      <c r="H1362" s="35" t="str">
        <f t="shared" si="21"/>
        <v/>
      </c>
      <c r="I1362" s="29"/>
      <c r="K1362" s="36" t="str">
        <f>IF(ISNUMBER($D1362),IF(YEAR($D1362)=대시보드!$C$2,$D1362+ROW()/100000,""),"")</f>
        <v/>
      </c>
    </row>
    <row r="1363" spans="1:11">
      <c r="A1363" s="33"/>
      <c r="B1363" s="29"/>
      <c r="C1363" s="29"/>
      <c r="D1363" s="30"/>
      <c r="E1363" s="30"/>
      <c r="F1363" s="35"/>
      <c r="G1363" s="35"/>
      <c r="H1363" s="35" t="str">
        <f t="shared" si="21"/>
        <v/>
      </c>
      <c r="I1363" s="29"/>
      <c r="K1363" s="36" t="str">
        <f>IF(ISNUMBER($D1363),IF(YEAR($D1363)=대시보드!$C$2,$D1363+ROW()/100000,""),"")</f>
        <v/>
      </c>
    </row>
    <row r="1364" spans="1:11">
      <c r="A1364" s="33"/>
      <c r="B1364" s="29"/>
      <c r="C1364" s="29"/>
      <c r="D1364" s="30"/>
      <c r="E1364" s="30"/>
      <c r="F1364" s="35"/>
      <c r="G1364" s="35"/>
      <c r="H1364" s="35" t="str">
        <f t="shared" si="21"/>
        <v/>
      </c>
      <c r="I1364" s="29"/>
      <c r="K1364" s="36" t="str">
        <f>IF(ISNUMBER($D1364),IF(YEAR($D1364)=대시보드!$C$2,$D1364+ROW()/100000,""),"")</f>
        <v/>
      </c>
    </row>
    <row r="1365" spans="1:11">
      <c r="A1365" s="33"/>
      <c r="B1365" s="29"/>
      <c r="C1365" s="29"/>
      <c r="D1365" s="30"/>
      <c r="E1365" s="30"/>
      <c r="F1365" s="35"/>
      <c r="G1365" s="35"/>
      <c r="H1365" s="35" t="str">
        <f t="shared" si="21"/>
        <v/>
      </c>
      <c r="I1365" s="29"/>
      <c r="K1365" s="36" t="str">
        <f>IF(ISNUMBER($D1365),IF(YEAR($D1365)=대시보드!$C$2,$D1365+ROW()/100000,""),"")</f>
        <v/>
      </c>
    </row>
    <row r="1366" spans="1:11">
      <c r="A1366" s="33"/>
      <c r="B1366" s="29"/>
      <c r="C1366" s="29"/>
      <c r="D1366" s="30"/>
      <c r="E1366" s="30"/>
      <c r="F1366" s="35"/>
      <c r="G1366" s="35"/>
      <c r="H1366" s="35" t="str">
        <f t="shared" si="21"/>
        <v/>
      </c>
      <c r="I1366" s="29"/>
      <c r="K1366" s="36" t="str">
        <f>IF(ISNUMBER($D1366),IF(YEAR($D1366)=대시보드!$C$2,$D1366+ROW()/100000,""),"")</f>
        <v/>
      </c>
    </row>
    <row r="1367" spans="1:11">
      <c r="A1367" s="33"/>
      <c r="B1367" s="29"/>
      <c r="C1367" s="29"/>
      <c r="D1367" s="30"/>
      <c r="E1367" s="30"/>
      <c r="F1367" s="35"/>
      <c r="G1367" s="35"/>
      <c r="H1367" s="35" t="str">
        <f t="shared" si="21"/>
        <v/>
      </c>
      <c r="I1367" s="29"/>
      <c r="K1367" s="36" t="str">
        <f>IF(ISNUMBER($D1367),IF(YEAR($D1367)=대시보드!$C$2,$D1367+ROW()/100000,""),"")</f>
        <v/>
      </c>
    </row>
    <row r="1368" spans="1:11">
      <c r="A1368" s="33"/>
      <c r="B1368" s="29"/>
      <c r="C1368" s="29"/>
      <c r="D1368" s="30"/>
      <c r="E1368" s="30"/>
      <c r="F1368" s="35"/>
      <c r="G1368" s="35"/>
      <c r="H1368" s="35" t="str">
        <f t="shared" si="21"/>
        <v/>
      </c>
      <c r="I1368" s="29"/>
      <c r="K1368" s="36" t="str">
        <f>IF(ISNUMBER($D1368),IF(YEAR($D1368)=대시보드!$C$2,$D1368+ROW()/100000,""),"")</f>
        <v/>
      </c>
    </row>
    <row r="1369" spans="1:11">
      <c r="A1369" s="33"/>
      <c r="B1369" s="29"/>
      <c r="C1369" s="29"/>
      <c r="D1369" s="30"/>
      <c r="E1369" s="30"/>
      <c r="F1369" s="35"/>
      <c r="G1369" s="35"/>
      <c r="H1369" s="35" t="str">
        <f t="shared" si="21"/>
        <v/>
      </c>
      <c r="I1369" s="29"/>
      <c r="K1369" s="36" t="str">
        <f>IF(ISNUMBER($D1369),IF(YEAR($D1369)=대시보드!$C$2,$D1369+ROW()/100000,""),"")</f>
        <v/>
      </c>
    </row>
    <row r="1370" spans="1:11">
      <c r="A1370" s="33"/>
      <c r="B1370" s="29"/>
      <c r="C1370" s="29"/>
      <c r="D1370" s="30"/>
      <c r="E1370" s="30"/>
      <c r="F1370" s="35"/>
      <c r="G1370" s="35"/>
      <c r="H1370" s="35" t="str">
        <f t="shared" si="21"/>
        <v/>
      </c>
      <c r="I1370" s="29"/>
      <c r="K1370" s="36" t="str">
        <f>IF(ISNUMBER($D1370),IF(YEAR($D1370)=대시보드!$C$2,$D1370+ROW()/100000,""),"")</f>
        <v/>
      </c>
    </row>
    <row r="1371" spans="1:11">
      <c r="A1371" s="33"/>
      <c r="B1371" s="29"/>
      <c r="C1371" s="29"/>
      <c r="D1371" s="30"/>
      <c r="E1371" s="30"/>
      <c r="F1371" s="35"/>
      <c r="G1371" s="35"/>
      <c r="H1371" s="35" t="str">
        <f t="shared" si="21"/>
        <v/>
      </c>
      <c r="I1371" s="29"/>
      <c r="K1371" s="36" t="str">
        <f>IF(ISNUMBER($D1371),IF(YEAR($D1371)=대시보드!$C$2,$D1371+ROW()/100000,""),"")</f>
        <v/>
      </c>
    </row>
    <row r="1372" spans="1:11">
      <c r="A1372" s="33"/>
      <c r="B1372" s="29"/>
      <c r="C1372" s="29"/>
      <c r="D1372" s="30"/>
      <c r="E1372" s="30"/>
      <c r="F1372" s="35"/>
      <c r="G1372" s="35"/>
      <c r="H1372" s="35" t="str">
        <f t="shared" si="21"/>
        <v/>
      </c>
      <c r="I1372" s="29"/>
      <c r="K1372" s="36" t="str">
        <f>IF(ISNUMBER($D1372),IF(YEAR($D1372)=대시보드!$C$2,$D1372+ROW()/100000,""),"")</f>
        <v/>
      </c>
    </row>
    <row r="1373" spans="1:11">
      <c r="A1373" s="33"/>
      <c r="B1373" s="29"/>
      <c r="C1373" s="29"/>
      <c r="D1373" s="30"/>
      <c r="E1373" s="30"/>
      <c r="F1373" s="35"/>
      <c r="G1373" s="35"/>
      <c r="H1373" s="35" t="str">
        <f t="shared" si="21"/>
        <v/>
      </c>
      <c r="I1373" s="29"/>
      <c r="K1373" s="36" t="str">
        <f>IF(ISNUMBER($D1373),IF(YEAR($D1373)=대시보드!$C$2,$D1373+ROW()/100000,""),"")</f>
        <v/>
      </c>
    </row>
    <row r="1374" spans="1:11">
      <c r="A1374" s="33"/>
      <c r="B1374" s="29"/>
      <c r="C1374" s="29"/>
      <c r="D1374" s="30"/>
      <c r="E1374" s="30"/>
      <c r="F1374" s="35"/>
      <c r="G1374" s="35"/>
      <c r="H1374" s="35" t="str">
        <f t="shared" si="21"/>
        <v/>
      </c>
      <c r="I1374" s="29"/>
      <c r="K1374" s="36" t="str">
        <f>IF(ISNUMBER($D1374),IF(YEAR($D1374)=대시보드!$C$2,$D1374+ROW()/100000,""),"")</f>
        <v/>
      </c>
    </row>
    <row r="1375" spans="1:11">
      <c r="A1375" s="33"/>
      <c r="B1375" s="29"/>
      <c r="C1375" s="29"/>
      <c r="D1375" s="30"/>
      <c r="E1375" s="30"/>
      <c r="F1375" s="35"/>
      <c r="G1375" s="35"/>
      <c r="H1375" s="35" t="str">
        <f t="shared" si="21"/>
        <v/>
      </c>
      <c r="I1375" s="29"/>
      <c r="K1375" s="36" t="str">
        <f>IF(ISNUMBER($D1375),IF(YEAR($D1375)=대시보드!$C$2,$D1375+ROW()/100000,""),"")</f>
        <v/>
      </c>
    </row>
    <row r="1376" spans="1:11">
      <c r="A1376" s="33"/>
      <c r="B1376" s="29"/>
      <c r="C1376" s="29"/>
      <c r="D1376" s="30"/>
      <c r="E1376" s="30"/>
      <c r="F1376" s="35"/>
      <c r="G1376" s="35"/>
      <c r="H1376" s="35" t="str">
        <f t="shared" si="21"/>
        <v/>
      </c>
      <c r="I1376" s="29"/>
      <c r="K1376" s="36" t="str">
        <f>IF(ISNUMBER($D1376),IF(YEAR($D1376)=대시보드!$C$2,$D1376+ROW()/100000,""),"")</f>
        <v/>
      </c>
    </row>
    <row r="1377" spans="1:11">
      <c r="A1377" s="33"/>
      <c r="B1377" s="29"/>
      <c r="C1377" s="29"/>
      <c r="D1377" s="30"/>
      <c r="E1377" s="30"/>
      <c r="F1377" s="35"/>
      <c r="G1377" s="35"/>
      <c r="H1377" s="35" t="str">
        <f t="shared" si="21"/>
        <v/>
      </c>
      <c r="I1377" s="29"/>
      <c r="K1377" s="36" t="str">
        <f>IF(ISNUMBER($D1377),IF(YEAR($D1377)=대시보드!$C$2,$D1377+ROW()/100000,""),"")</f>
        <v/>
      </c>
    </row>
    <row r="1378" spans="1:11">
      <c r="A1378" s="33"/>
      <c r="B1378" s="29"/>
      <c r="C1378" s="29"/>
      <c r="D1378" s="30"/>
      <c r="E1378" s="30"/>
      <c r="F1378" s="35"/>
      <c r="G1378" s="35"/>
      <c r="H1378" s="35" t="str">
        <f t="shared" si="21"/>
        <v/>
      </c>
      <c r="I1378" s="29"/>
      <c r="K1378" s="36" t="str">
        <f>IF(ISNUMBER($D1378),IF(YEAR($D1378)=대시보드!$C$2,$D1378+ROW()/100000,""),"")</f>
        <v/>
      </c>
    </row>
    <row r="1379" spans="1:11">
      <c r="A1379" s="33"/>
      <c r="B1379" s="29"/>
      <c r="C1379" s="29"/>
      <c r="D1379" s="30"/>
      <c r="E1379" s="30"/>
      <c r="F1379" s="35"/>
      <c r="G1379" s="35"/>
      <c r="H1379" s="35" t="str">
        <f t="shared" si="21"/>
        <v/>
      </c>
      <c r="I1379" s="29"/>
      <c r="K1379" s="36" t="str">
        <f>IF(ISNUMBER($D1379),IF(YEAR($D1379)=대시보드!$C$2,$D1379+ROW()/100000,""),"")</f>
        <v/>
      </c>
    </row>
    <row r="1380" spans="1:11">
      <c r="A1380" s="33"/>
      <c r="B1380" s="29"/>
      <c r="C1380" s="29"/>
      <c r="D1380" s="30"/>
      <c r="E1380" s="30"/>
      <c r="F1380" s="35"/>
      <c r="G1380" s="35"/>
      <c r="H1380" s="35" t="str">
        <f t="shared" si="21"/>
        <v/>
      </c>
      <c r="I1380" s="29"/>
      <c r="K1380" s="36" t="str">
        <f>IF(ISNUMBER($D1380),IF(YEAR($D1380)=대시보드!$C$2,$D1380+ROW()/100000,""),"")</f>
        <v/>
      </c>
    </row>
    <row r="1381" spans="1:11">
      <c r="A1381" s="33"/>
      <c r="B1381" s="29"/>
      <c r="C1381" s="29"/>
      <c r="D1381" s="30"/>
      <c r="E1381" s="30"/>
      <c r="F1381" s="35"/>
      <c r="G1381" s="35"/>
      <c r="H1381" s="35" t="str">
        <f t="shared" si="21"/>
        <v/>
      </c>
      <c r="I1381" s="29"/>
      <c r="K1381" s="36" t="str">
        <f>IF(ISNUMBER($D1381),IF(YEAR($D1381)=대시보드!$C$2,$D1381+ROW()/100000,""),"")</f>
        <v/>
      </c>
    </row>
    <row r="1382" spans="1:11">
      <c r="A1382" s="33"/>
      <c r="B1382" s="29"/>
      <c r="C1382" s="29"/>
      <c r="D1382" s="30"/>
      <c r="E1382" s="30"/>
      <c r="F1382" s="35"/>
      <c r="G1382" s="35"/>
      <c r="H1382" s="35" t="str">
        <f t="shared" si="21"/>
        <v/>
      </c>
      <c r="I1382" s="29"/>
      <c r="K1382" s="36" t="str">
        <f>IF(ISNUMBER($D1382),IF(YEAR($D1382)=대시보드!$C$2,$D1382+ROW()/100000,""),"")</f>
        <v/>
      </c>
    </row>
    <row r="1383" spans="1:11">
      <c r="A1383" s="33"/>
      <c r="B1383" s="29"/>
      <c r="C1383" s="29"/>
      <c r="D1383" s="30"/>
      <c r="E1383" s="30"/>
      <c r="F1383" s="35"/>
      <c r="G1383" s="35"/>
      <c r="H1383" s="35" t="str">
        <f t="shared" si="21"/>
        <v/>
      </c>
      <c r="I1383" s="29"/>
      <c r="K1383" s="36" t="str">
        <f>IF(ISNUMBER($D1383),IF(YEAR($D1383)=대시보드!$C$2,$D1383+ROW()/100000,""),"")</f>
        <v/>
      </c>
    </row>
    <row r="1384" spans="1:11">
      <c r="A1384" s="33"/>
      <c r="B1384" s="29"/>
      <c r="C1384" s="29"/>
      <c r="D1384" s="30"/>
      <c r="E1384" s="30"/>
      <c r="F1384" s="35"/>
      <c r="G1384" s="35"/>
      <c r="H1384" s="35" t="str">
        <f t="shared" si="21"/>
        <v/>
      </c>
      <c r="I1384" s="29"/>
      <c r="K1384" s="36" t="str">
        <f>IF(ISNUMBER($D1384),IF(YEAR($D1384)=대시보드!$C$2,$D1384+ROW()/100000,""),"")</f>
        <v/>
      </c>
    </row>
    <row r="1385" spans="1:11">
      <c r="A1385" s="33"/>
      <c r="B1385" s="29"/>
      <c r="C1385" s="29"/>
      <c r="D1385" s="30"/>
      <c r="E1385" s="30"/>
      <c r="F1385" s="35"/>
      <c r="G1385" s="35"/>
      <c r="H1385" s="35" t="str">
        <f t="shared" si="21"/>
        <v/>
      </c>
      <c r="I1385" s="29"/>
      <c r="K1385" s="36" t="str">
        <f>IF(ISNUMBER($D1385),IF(YEAR($D1385)=대시보드!$C$2,$D1385+ROW()/100000,""),"")</f>
        <v/>
      </c>
    </row>
    <row r="1386" spans="1:11">
      <c r="A1386" s="33"/>
      <c r="B1386" s="29"/>
      <c r="C1386" s="29"/>
      <c r="D1386" s="30"/>
      <c r="E1386" s="30"/>
      <c r="F1386" s="35"/>
      <c r="G1386" s="35"/>
      <c r="H1386" s="35" t="str">
        <f t="shared" si="21"/>
        <v/>
      </c>
      <c r="I1386" s="29"/>
      <c r="K1386" s="36" t="str">
        <f>IF(ISNUMBER($D1386),IF(YEAR($D1386)=대시보드!$C$2,$D1386+ROW()/100000,""),"")</f>
        <v/>
      </c>
    </row>
    <row r="1387" spans="1:11">
      <c r="A1387" s="33"/>
      <c r="B1387" s="29"/>
      <c r="C1387" s="29"/>
      <c r="D1387" s="30"/>
      <c r="E1387" s="30"/>
      <c r="F1387" s="35"/>
      <c r="G1387" s="35"/>
      <c r="H1387" s="35" t="str">
        <f t="shared" si="21"/>
        <v/>
      </c>
      <c r="I1387" s="29"/>
      <c r="K1387" s="36" t="str">
        <f>IF(ISNUMBER($D1387),IF(YEAR($D1387)=대시보드!$C$2,$D1387+ROW()/100000,""),"")</f>
        <v/>
      </c>
    </row>
    <row r="1388" spans="1:11">
      <c r="A1388" s="33"/>
      <c r="B1388" s="29"/>
      <c r="C1388" s="29"/>
      <c r="D1388" s="30"/>
      <c r="E1388" s="30"/>
      <c r="F1388" s="35"/>
      <c r="G1388" s="35"/>
      <c r="H1388" s="35" t="str">
        <f t="shared" si="21"/>
        <v/>
      </c>
      <c r="I1388" s="29"/>
      <c r="K1388" s="36" t="str">
        <f>IF(ISNUMBER($D1388),IF(YEAR($D1388)=대시보드!$C$2,$D1388+ROW()/100000,""),"")</f>
        <v/>
      </c>
    </row>
    <row r="1389" spans="1:11">
      <c r="A1389" s="33"/>
      <c r="B1389" s="29"/>
      <c r="C1389" s="29"/>
      <c r="D1389" s="30"/>
      <c r="E1389" s="30"/>
      <c r="F1389" s="35"/>
      <c r="G1389" s="35"/>
      <c r="H1389" s="35" t="str">
        <f t="shared" si="21"/>
        <v/>
      </c>
      <c r="I1389" s="29"/>
      <c r="K1389" s="36" t="str">
        <f>IF(ISNUMBER($D1389),IF(YEAR($D1389)=대시보드!$C$2,$D1389+ROW()/100000,""),"")</f>
        <v/>
      </c>
    </row>
    <row r="1390" spans="1:11">
      <c r="A1390" s="33"/>
      <c r="B1390" s="29"/>
      <c r="C1390" s="29"/>
      <c r="D1390" s="30"/>
      <c r="E1390" s="30"/>
      <c r="F1390" s="35"/>
      <c r="G1390" s="35"/>
      <c r="H1390" s="35" t="str">
        <f t="shared" si="21"/>
        <v/>
      </c>
      <c r="I1390" s="29"/>
      <c r="K1390" s="36" t="str">
        <f>IF(ISNUMBER($D1390),IF(YEAR($D1390)=대시보드!$C$2,$D1390+ROW()/100000,""),"")</f>
        <v/>
      </c>
    </row>
    <row r="1391" spans="1:11">
      <c r="A1391" s="33"/>
      <c r="B1391" s="29"/>
      <c r="C1391" s="29"/>
      <c r="D1391" s="30"/>
      <c r="E1391" s="30"/>
      <c r="F1391" s="35"/>
      <c r="G1391" s="35"/>
      <c r="H1391" s="35" t="str">
        <f t="shared" si="21"/>
        <v/>
      </c>
      <c r="I1391" s="29"/>
      <c r="K1391" s="36" t="str">
        <f>IF(ISNUMBER($D1391),IF(YEAR($D1391)=대시보드!$C$2,$D1391+ROW()/100000,""),"")</f>
        <v/>
      </c>
    </row>
    <row r="1392" spans="1:11">
      <c r="A1392" s="33"/>
      <c r="B1392" s="29"/>
      <c r="C1392" s="29"/>
      <c r="D1392" s="30"/>
      <c r="E1392" s="30"/>
      <c r="F1392" s="35"/>
      <c r="G1392" s="35"/>
      <c r="H1392" s="35" t="str">
        <f t="shared" si="21"/>
        <v/>
      </c>
      <c r="I1392" s="29"/>
      <c r="K1392" s="36" t="str">
        <f>IF(ISNUMBER($D1392),IF(YEAR($D1392)=대시보드!$C$2,$D1392+ROW()/100000,""),"")</f>
        <v/>
      </c>
    </row>
    <row r="1393" spans="1:11">
      <c r="A1393" s="33"/>
      <c r="B1393" s="29"/>
      <c r="C1393" s="29"/>
      <c r="D1393" s="30"/>
      <c r="E1393" s="30"/>
      <c r="F1393" s="35"/>
      <c r="G1393" s="35"/>
      <c r="H1393" s="35" t="str">
        <f t="shared" si="21"/>
        <v/>
      </c>
      <c r="I1393" s="29"/>
      <c r="K1393" s="36" t="str">
        <f>IF(ISNUMBER($D1393),IF(YEAR($D1393)=대시보드!$C$2,$D1393+ROW()/100000,""),"")</f>
        <v/>
      </c>
    </row>
    <row r="1394" spans="1:11">
      <c r="A1394" s="33"/>
      <c r="B1394" s="29"/>
      <c r="C1394" s="29"/>
      <c r="D1394" s="30"/>
      <c r="E1394" s="30"/>
      <c r="F1394" s="35"/>
      <c r="G1394" s="35"/>
      <c r="H1394" s="35" t="str">
        <f t="shared" si="21"/>
        <v/>
      </c>
      <c r="I1394" s="29"/>
      <c r="K1394" s="36" t="str">
        <f>IF(ISNUMBER($D1394),IF(YEAR($D1394)=대시보드!$C$2,$D1394+ROW()/100000,""),"")</f>
        <v/>
      </c>
    </row>
    <row r="1395" spans="1:11">
      <c r="A1395" s="33"/>
      <c r="B1395" s="29"/>
      <c r="C1395" s="29"/>
      <c r="D1395" s="30"/>
      <c r="E1395" s="30"/>
      <c r="F1395" s="35"/>
      <c r="G1395" s="35"/>
      <c r="H1395" s="35" t="str">
        <f t="shared" si="21"/>
        <v/>
      </c>
      <c r="I1395" s="29"/>
      <c r="K1395" s="36" t="str">
        <f>IF(ISNUMBER($D1395),IF(YEAR($D1395)=대시보드!$C$2,$D1395+ROW()/100000,""),"")</f>
        <v/>
      </c>
    </row>
    <row r="1396" spans="1:11">
      <c r="A1396" s="33"/>
      <c r="B1396" s="29"/>
      <c r="C1396" s="29"/>
      <c r="D1396" s="30"/>
      <c r="E1396" s="30"/>
      <c r="F1396" s="35"/>
      <c r="G1396" s="35"/>
      <c r="H1396" s="35" t="str">
        <f t="shared" si="21"/>
        <v/>
      </c>
      <c r="I1396" s="29"/>
      <c r="K1396" s="36" t="str">
        <f>IF(ISNUMBER($D1396),IF(YEAR($D1396)=대시보드!$C$2,$D1396+ROW()/100000,""),"")</f>
        <v/>
      </c>
    </row>
    <row r="1397" spans="1:11">
      <c r="A1397" s="33"/>
      <c r="B1397" s="29"/>
      <c r="C1397" s="29"/>
      <c r="D1397" s="30"/>
      <c r="E1397" s="30"/>
      <c r="F1397" s="35"/>
      <c r="G1397" s="35"/>
      <c r="H1397" s="35" t="str">
        <f t="shared" si="21"/>
        <v/>
      </c>
      <c r="I1397" s="29"/>
      <c r="K1397" s="36" t="str">
        <f>IF(ISNUMBER($D1397),IF(YEAR($D1397)=대시보드!$C$2,$D1397+ROW()/100000,""),"")</f>
        <v/>
      </c>
    </row>
    <row r="1398" spans="1:11">
      <c r="A1398" s="33"/>
      <c r="B1398" s="29"/>
      <c r="C1398" s="29"/>
      <c r="D1398" s="30"/>
      <c r="E1398" s="30"/>
      <c r="F1398" s="35"/>
      <c r="G1398" s="35"/>
      <c r="H1398" s="35" t="str">
        <f t="shared" si="21"/>
        <v/>
      </c>
      <c r="I1398" s="29"/>
      <c r="K1398" s="36" t="str">
        <f>IF(ISNUMBER($D1398),IF(YEAR($D1398)=대시보드!$C$2,$D1398+ROW()/100000,""),"")</f>
        <v/>
      </c>
    </row>
    <row r="1399" spans="1:11">
      <c r="A1399" s="33"/>
      <c r="B1399" s="29"/>
      <c r="C1399" s="29"/>
      <c r="D1399" s="30"/>
      <c r="E1399" s="30"/>
      <c r="F1399" s="35"/>
      <c r="G1399" s="35"/>
      <c r="H1399" s="35" t="str">
        <f t="shared" si="21"/>
        <v/>
      </c>
      <c r="I1399" s="29"/>
      <c r="K1399" s="36" t="str">
        <f>IF(ISNUMBER($D1399),IF(YEAR($D1399)=대시보드!$C$2,$D1399+ROW()/100000,""),"")</f>
        <v/>
      </c>
    </row>
    <row r="1400" spans="1:11">
      <c r="A1400" s="33"/>
      <c r="B1400" s="29"/>
      <c r="C1400" s="29"/>
      <c r="D1400" s="30"/>
      <c r="E1400" s="30"/>
      <c r="F1400" s="35"/>
      <c r="G1400" s="35"/>
      <c r="H1400" s="35" t="str">
        <f t="shared" si="21"/>
        <v/>
      </c>
      <c r="I1400" s="29"/>
      <c r="K1400" s="36" t="str">
        <f>IF(ISNUMBER($D1400),IF(YEAR($D1400)=대시보드!$C$2,$D1400+ROW()/100000,""),"")</f>
        <v/>
      </c>
    </row>
    <row r="1401" spans="1:11">
      <c r="A1401" s="33"/>
      <c r="B1401" s="29"/>
      <c r="C1401" s="29"/>
      <c r="D1401" s="30"/>
      <c r="E1401" s="30"/>
      <c r="F1401" s="35"/>
      <c r="G1401" s="35"/>
      <c r="H1401" s="35" t="str">
        <f t="shared" si="21"/>
        <v/>
      </c>
      <c r="I1401" s="29"/>
      <c r="K1401" s="36" t="str">
        <f>IF(ISNUMBER($D1401),IF(YEAR($D1401)=대시보드!$C$2,$D1401+ROW()/100000,""),"")</f>
        <v/>
      </c>
    </row>
    <row r="1402" spans="1:11">
      <c r="A1402" s="33"/>
      <c r="B1402" s="29"/>
      <c r="C1402" s="29"/>
      <c r="D1402" s="30"/>
      <c r="E1402" s="30"/>
      <c r="F1402" s="35"/>
      <c r="G1402" s="35"/>
      <c r="H1402" s="35" t="str">
        <f t="shared" si="21"/>
        <v/>
      </c>
      <c r="I1402" s="29"/>
      <c r="K1402" s="36" t="str">
        <f>IF(ISNUMBER($D1402),IF(YEAR($D1402)=대시보드!$C$2,$D1402+ROW()/100000,""),"")</f>
        <v/>
      </c>
    </row>
    <row r="1403" spans="1:11">
      <c r="A1403" s="33"/>
      <c r="B1403" s="29"/>
      <c r="C1403" s="29"/>
      <c r="D1403" s="30"/>
      <c r="E1403" s="30"/>
      <c r="F1403" s="35"/>
      <c r="G1403" s="35"/>
      <c r="H1403" s="35" t="str">
        <f t="shared" si="21"/>
        <v/>
      </c>
      <c r="I1403" s="29"/>
      <c r="K1403" s="36" t="str">
        <f>IF(ISNUMBER($D1403),IF(YEAR($D1403)=대시보드!$C$2,$D1403+ROW()/100000,""),"")</f>
        <v/>
      </c>
    </row>
    <row r="1404" spans="1:11">
      <c r="A1404" s="33"/>
      <c r="B1404" s="29"/>
      <c r="C1404" s="29"/>
      <c r="D1404" s="30"/>
      <c r="E1404" s="30"/>
      <c r="F1404" s="35"/>
      <c r="G1404" s="35"/>
      <c r="H1404" s="35" t="str">
        <f t="shared" si="21"/>
        <v/>
      </c>
      <c r="I1404" s="29"/>
      <c r="K1404" s="36" t="str">
        <f>IF(ISNUMBER($D1404),IF(YEAR($D1404)=대시보드!$C$2,$D1404+ROW()/100000,""),"")</f>
        <v/>
      </c>
    </row>
    <row r="1405" spans="1:11">
      <c r="A1405" s="33"/>
      <c r="B1405" s="29"/>
      <c r="C1405" s="29"/>
      <c r="D1405" s="30"/>
      <c r="E1405" s="30"/>
      <c r="F1405" s="35"/>
      <c r="G1405" s="35"/>
      <c r="H1405" s="35" t="str">
        <f t="shared" si="21"/>
        <v/>
      </c>
      <c r="I1405" s="29"/>
      <c r="K1405" s="36" t="str">
        <f>IF(ISNUMBER($D1405),IF(YEAR($D1405)=대시보드!$C$2,$D1405+ROW()/100000,""),"")</f>
        <v/>
      </c>
    </row>
    <row r="1406" spans="1:11">
      <c r="A1406" s="33"/>
      <c r="B1406" s="29"/>
      <c r="C1406" s="29"/>
      <c r="D1406" s="30"/>
      <c r="E1406" s="30"/>
      <c r="F1406" s="35"/>
      <c r="G1406" s="35"/>
      <c r="H1406" s="35" t="str">
        <f t="shared" si="21"/>
        <v/>
      </c>
      <c r="I1406" s="29"/>
      <c r="K1406" s="36" t="str">
        <f>IF(ISNUMBER($D1406),IF(YEAR($D1406)=대시보드!$C$2,$D1406+ROW()/100000,""),"")</f>
        <v/>
      </c>
    </row>
    <row r="1407" spans="1:11">
      <c r="A1407" s="33"/>
      <c r="B1407" s="29"/>
      <c r="C1407" s="29"/>
      <c r="D1407" s="30"/>
      <c r="E1407" s="30"/>
      <c r="F1407" s="35"/>
      <c r="G1407" s="35"/>
      <c r="H1407" s="35" t="str">
        <f t="shared" si="21"/>
        <v/>
      </c>
      <c r="I1407" s="29"/>
      <c r="K1407" s="36" t="str">
        <f>IF(ISNUMBER($D1407),IF(YEAR($D1407)=대시보드!$C$2,$D1407+ROW()/100000,""),"")</f>
        <v/>
      </c>
    </row>
    <row r="1408" spans="1:11">
      <c r="A1408" s="33"/>
      <c r="B1408" s="29"/>
      <c r="C1408" s="29"/>
      <c r="D1408" s="30"/>
      <c r="E1408" s="30"/>
      <c r="F1408" s="35"/>
      <c r="G1408" s="35"/>
      <c r="H1408" s="35" t="str">
        <f t="shared" si="21"/>
        <v/>
      </c>
      <c r="I1408" s="29"/>
      <c r="K1408" s="36" t="str">
        <f>IF(ISNUMBER($D1408),IF(YEAR($D1408)=대시보드!$C$2,$D1408+ROW()/100000,""),"")</f>
        <v/>
      </c>
    </row>
    <row r="1409" spans="1:11">
      <c r="A1409" s="33"/>
      <c r="B1409" s="29"/>
      <c r="C1409" s="29"/>
      <c r="D1409" s="30"/>
      <c r="E1409" s="30"/>
      <c r="F1409" s="35"/>
      <c r="G1409" s="35"/>
      <c r="H1409" s="35" t="str">
        <f t="shared" si="21"/>
        <v/>
      </c>
      <c r="I1409" s="29"/>
      <c r="K1409" s="36" t="str">
        <f>IF(ISNUMBER($D1409),IF(YEAR($D1409)=대시보드!$C$2,$D1409+ROW()/100000,""),"")</f>
        <v/>
      </c>
    </row>
    <row r="1410" spans="1:11">
      <c r="A1410" s="33"/>
      <c r="B1410" s="29"/>
      <c r="C1410" s="29"/>
      <c r="D1410" s="30"/>
      <c r="E1410" s="30"/>
      <c r="F1410" s="35"/>
      <c r="G1410" s="35"/>
      <c r="H1410" s="35" t="str">
        <f t="shared" si="21"/>
        <v/>
      </c>
      <c r="I1410" s="29"/>
      <c r="K1410" s="36" t="str">
        <f>IF(ISNUMBER($D1410),IF(YEAR($D1410)=대시보드!$C$2,$D1410+ROW()/100000,""),"")</f>
        <v/>
      </c>
    </row>
    <row r="1411" spans="1:11">
      <c r="A1411" s="33"/>
      <c r="B1411" s="29"/>
      <c r="C1411" s="29"/>
      <c r="D1411" s="30"/>
      <c r="E1411" s="30"/>
      <c r="F1411" s="35"/>
      <c r="G1411" s="35"/>
      <c r="H1411" s="35" t="str">
        <f t="shared" si="21"/>
        <v/>
      </c>
      <c r="I1411" s="29"/>
      <c r="K1411" s="36" t="str">
        <f>IF(ISNUMBER($D1411),IF(YEAR($D1411)=대시보드!$C$2,$D1411+ROW()/100000,""),"")</f>
        <v/>
      </c>
    </row>
    <row r="1412" spans="1:11">
      <c r="A1412" s="33"/>
      <c r="B1412" s="29"/>
      <c r="C1412" s="29"/>
      <c r="D1412" s="30"/>
      <c r="E1412" s="30"/>
      <c r="F1412" s="35"/>
      <c r="G1412" s="35"/>
      <c r="H1412" s="35" t="str">
        <f t="shared" ref="H1412:H1475" si="22">IF(F1412="","",F1412-G1412)</f>
        <v/>
      </c>
      <c r="I1412" s="29"/>
      <c r="K1412" s="36" t="str">
        <f>IF(ISNUMBER($D1412),IF(YEAR($D1412)=대시보드!$C$2,$D1412+ROW()/100000,""),"")</f>
        <v/>
      </c>
    </row>
    <row r="1413" spans="1:11">
      <c r="A1413" s="33"/>
      <c r="B1413" s="29"/>
      <c r="C1413" s="29"/>
      <c r="D1413" s="30"/>
      <c r="E1413" s="30"/>
      <c r="F1413" s="35"/>
      <c r="G1413" s="35"/>
      <c r="H1413" s="35" t="str">
        <f t="shared" si="22"/>
        <v/>
      </c>
      <c r="I1413" s="29"/>
      <c r="K1413" s="36" t="str">
        <f>IF(ISNUMBER($D1413),IF(YEAR($D1413)=대시보드!$C$2,$D1413+ROW()/100000,""),"")</f>
        <v/>
      </c>
    </row>
    <row r="1414" spans="1:11">
      <c r="A1414" s="33"/>
      <c r="B1414" s="29"/>
      <c r="C1414" s="29"/>
      <c r="D1414" s="30"/>
      <c r="E1414" s="30"/>
      <c r="F1414" s="35"/>
      <c r="G1414" s="35"/>
      <c r="H1414" s="35" t="str">
        <f t="shared" si="22"/>
        <v/>
      </c>
      <c r="I1414" s="29"/>
      <c r="K1414" s="36" t="str">
        <f>IF(ISNUMBER($D1414),IF(YEAR($D1414)=대시보드!$C$2,$D1414+ROW()/100000,""),"")</f>
        <v/>
      </c>
    </row>
    <row r="1415" spans="1:11">
      <c r="A1415" s="33"/>
      <c r="B1415" s="29"/>
      <c r="C1415" s="29"/>
      <c r="D1415" s="30"/>
      <c r="E1415" s="30"/>
      <c r="F1415" s="35"/>
      <c r="G1415" s="35"/>
      <c r="H1415" s="35" t="str">
        <f t="shared" si="22"/>
        <v/>
      </c>
      <c r="I1415" s="29"/>
      <c r="K1415" s="36" t="str">
        <f>IF(ISNUMBER($D1415),IF(YEAR($D1415)=대시보드!$C$2,$D1415+ROW()/100000,""),"")</f>
        <v/>
      </c>
    </row>
    <row r="1416" spans="1:11">
      <c r="A1416" s="33"/>
      <c r="B1416" s="29"/>
      <c r="C1416" s="29"/>
      <c r="D1416" s="30"/>
      <c r="E1416" s="30"/>
      <c r="F1416" s="35"/>
      <c r="G1416" s="35"/>
      <c r="H1416" s="35" t="str">
        <f t="shared" si="22"/>
        <v/>
      </c>
      <c r="I1416" s="29"/>
      <c r="K1416" s="36" t="str">
        <f>IF(ISNUMBER($D1416),IF(YEAR($D1416)=대시보드!$C$2,$D1416+ROW()/100000,""),"")</f>
        <v/>
      </c>
    </row>
    <row r="1417" spans="1:11">
      <c r="A1417" s="33"/>
      <c r="B1417" s="29"/>
      <c r="C1417" s="29"/>
      <c r="D1417" s="30"/>
      <c r="E1417" s="30"/>
      <c r="F1417" s="35"/>
      <c r="G1417" s="35"/>
      <c r="H1417" s="35" t="str">
        <f t="shared" si="22"/>
        <v/>
      </c>
      <c r="I1417" s="29"/>
      <c r="K1417" s="36" t="str">
        <f>IF(ISNUMBER($D1417),IF(YEAR($D1417)=대시보드!$C$2,$D1417+ROW()/100000,""),"")</f>
        <v/>
      </c>
    </row>
    <row r="1418" spans="1:11">
      <c r="A1418" s="33"/>
      <c r="B1418" s="29"/>
      <c r="C1418" s="29"/>
      <c r="D1418" s="30"/>
      <c r="E1418" s="30"/>
      <c r="F1418" s="35"/>
      <c r="G1418" s="35"/>
      <c r="H1418" s="35" t="str">
        <f t="shared" si="22"/>
        <v/>
      </c>
      <c r="I1418" s="29"/>
      <c r="K1418" s="36" t="str">
        <f>IF(ISNUMBER($D1418),IF(YEAR($D1418)=대시보드!$C$2,$D1418+ROW()/100000,""),"")</f>
        <v/>
      </c>
    </row>
    <row r="1419" spans="1:11">
      <c r="A1419" s="33"/>
      <c r="B1419" s="29"/>
      <c r="C1419" s="29"/>
      <c r="D1419" s="30"/>
      <c r="E1419" s="30"/>
      <c r="F1419" s="35"/>
      <c r="G1419" s="35"/>
      <c r="H1419" s="35" t="str">
        <f t="shared" si="22"/>
        <v/>
      </c>
      <c r="I1419" s="29"/>
      <c r="K1419" s="36" t="str">
        <f>IF(ISNUMBER($D1419),IF(YEAR($D1419)=대시보드!$C$2,$D1419+ROW()/100000,""),"")</f>
        <v/>
      </c>
    </row>
    <row r="1420" spans="1:11">
      <c r="A1420" s="33"/>
      <c r="B1420" s="29"/>
      <c r="C1420" s="29"/>
      <c r="D1420" s="30"/>
      <c r="E1420" s="30"/>
      <c r="F1420" s="35"/>
      <c r="G1420" s="35"/>
      <c r="H1420" s="35" t="str">
        <f t="shared" si="22"/>
        <v/>
      </c>
      <c r="I1420" s="29"/>
      <c r="K1420" s="36" t="str">
        <f>IF(ISNUMBER($D1420),IF(YEAR($D1420)=대시보드!$C$2,$D1420+ROW()/100000,""),"")</f>
        <v/>
      </c>
    </row>
    <row r="1421" spans="1:11">
      <c r="A1421" s="33"/>
      <c r="B1421" s="29"/>
      <c r="C1421" s="29"/>
      <c r="D1421" s="30"/>
      <c r="E1421" s="30"/>
      <c r="F1421" s="35"/>
      <c r="G1421" s="35"/>
      <c r="H1421" s="35" t="str">
        <f t="shared" si="22"/>
        <v/>
      </c>
      <c r="I1421" s="29"/>
      <c r="K1421" s="36" t="str">
        <f>IF(ISNUMBER($D1421),IF(YEAR($D1421)=대시보드!$C$2,$D1421+ROW()/100000,""),"")</f>
        <v/>
      </c>
    </row>
    <row r="1422" spans="1:11">
      <c r="A1422" s="33"/>
      <c r="B1422" s="29"/>
      <c r="C1422" s="29"/>
      <c r="D1422" s="30"/>
      <c r="E1422" s="30"/>
      <c r="F1422" s="35"/>
      <c r="G1422" s="35"/>
      <c r="H1422" s="35" t="str">
        <f t="shared" si="22"/>
        <v/>
      </c>
      <c r="I1422" s="29"/>
      <c r="K1422" s="36" t="str">
        <f>IF(ISNUMBER($D1422),IF(YEAR($D1422)=대시보드!$C$2,$D1422+ROW()/100000,""),"")</f>
        <v/>
      </c>
    </row>
    <row r="1423" spans="1:11">
      <c r="A1423" s="33"/>
      <c r="B1423" s="29"/>
      <c r="C1423" s="29"/>
      <c r="D1423" s="30"/>
      <c r="E1423" s="30"/>
      <c r="F1423" s="35"/>
      <c r="G1423" s="35"/>
      <c r="H1423" s="35" t="str">
        <f t="shared" si="22"/>
        <v/>
      </c>
      <c r="I1423" s="29"/>
      <c r="K1423" s="36" t="str">
        <f>IF(ISNUMBER($D1423),IF(YEAR($D1423)=대시보드!$C$2,$D1423+ROW()/100000,""),"")</f>
        <v/>
      </c>
    </row>
    <row r="1424" spans="1:11">
      <c r="A1424" s="33"/>
      <c r="B1424" s="29"/>
      <c r="C1424" s="29"/>
      <c r="D1424" s="30"/>
      <c r="E1424" s="30"/>
      <c r="F1424" s="35"/>
      <c r="G1424" s="35"/>
      <c r="H1424" s="35" t="str">
        <f t="shared" si="22"/>
        <v/>
      </c>
      <c r="I1424" s="29"/>
      <c r="K1424" s="36" t="str">
        <f>IF(ISNUMBER($D1424),IF(YEAR($D1424)=대시보드!$C$2,$D1424+ROW()/100000,""),"")</f>
        <v/>
      </c>
    </row>
    <row r="1425" spans="1:11">
      <c r="A1425" s="33"/>
      <c r="B1425" s="29"/>
      <c r="C1425" s="29"/>
      <c r="D1425" s="30"/>
      <c r="E1425" s="30"/>
      <c r="F1425" s="35"/>
      <c r="G1425" s="35"/>
      <c r="H1425" s="35" t="str">
        <f t="shared" si="22"/>
        <v/>
      </c>
      <c r="I1425" s="29"/>
      <c r="K1425" s="36" t="str">
        <f>IF(ISNUMBER($D1425),IF(YEAR($D1425)=대시보드!$C$2,$D1425+ROW()/100000,""),"")</f>
        <v/>
      </c>
    </row>
    <row r="1426" spans="1:11">
      <c r="A1426" s="33"/>
      <c r="B1426" s="29"/>
      <c r="C1426" s="29"/>
      <c r="D1426" s="30"/>
      <c r="E1426" s="30"/>
      <c r="F1426" s="35"/>
      <c r="G1426" s="35"/>
      <c r="H1426" s="35" t="str">
        <f t="shared" si="22"/>
        <v/>
      </c>
      <c r="I1426" s="29"/>
      <c r="K1426" s="36" t="str">
        <f>IF(ISNUMBER($D1426),IF(YEAR($D1426)=대시보드!$C$2,$D1426+ROW()/100000,""),"")</f>
        <v/>
      </c>
    </row>
    <row r="1427" spans="1:11">
      <c r="A1427" s="33"/>
      <c r="B1427" s="29"/>
      <c r="C1427" s="29"/>
      <c r="D1427" s="30"/>
      <c r="E1427" s="30"/>
      <c r="F1427" s="35"/>
      <c r="G1427" s="35"/>
      <c r="H1427" s="35" t="str">
        <f t="shared" si="22"/>
        <v/>
      </c>
      <c r="I1427" s="29"/>
      <c r="K1427" s="36" t="str">
        <f>IF(ISNUMBER($D1427),IF(YEAR($D1427)=대시보드!$C$2,$D1427+ROW()/100000,""),"")</f>
        <v/>
      </c>
    </row>
    <row r="1428" spans="1:11">
      <c r="A1428" s="33"/>
      <c r="B1428" s="29"/>
      <c r="C1428" s="29"/>
      <c r="D1428" s="30"/>
      <c r="E1428" s="30"/>
      <c r="F1428" s="35"/>
      <c r="G1428" s="35"/>
      <c r="H1428" s="35" t="str">
        <f t="shared" si="22"/>
        <v/>
      </c>
      <c r="I1428" s="29"/>
      <c r="K1428" s="36" t="str">
        <f>IF(ISNUMBER($D1428),IF(YEAR($D1428)=대시보드!$C$2,$D1428+ROW()/100000,""),"")</f>
        <v/>
      </c>
    </row>
    <row r="1429" spans="1:11">
      <c r="A1429" s="33"/>
      <c r="B1429" s="29"/>
      <c r="C1429" s="29"/>
      <c r="D1429" s="30"/>
      <c r="E1429" s="30"/>
      <c r="F1429" s="35"/>
      <c r="G1429" s="35"/>
      <c r="H1429" s="35" t="str">
        <f t="shared" si="22"/>
        <v/>
      </c>
      <c r="I1429" s="29"/>
      <c r="K1429" s="36" t="str">
        <f>IF(ISNUMBER($D1429),IF(YEAR($D1429)=대시보드!$C$2,$D1429+ROW()/100000,""),"")</f>
        <v/>
      </c>
    </row>
    <row r="1430" spans="1:11">
      <c r="A1430" s="33"/>
      <c r="B1430" s="29"/>
      <c r="C1430" s="29"/>
      <c r="D1430" s="30"/>
      <c r="E1430" s="30"/>
      <c r="F1430" s="35"/>
      <c r="G1430" s="35"/>
      <c r="H1430" s="35" t="str">
        <f t="shared" si="22"/>
        <v/>
      </c>
      <c r="I1430" s="29"/>
      <c r="K1430" s="36" t="str">
        <f>IF(ISNUMBER($D1430),IF(YEAR($D1430)=대시보드!$C$2,$D1430+ROW()/100000,""),"")</f>
        <v/>
      </c>
    </row>
    <row r="1431" spans="1:11">
      <c r="A1431" s="33"/>
      <c r="B1431" s="29"/>
      <c r="C1431" s="29"/>
      <c r="D1431" s="30"/>
      <c r="E1431" s="30"/>
      <c r="F1431" s="35"/>
      <c r="G1431" s="35"/>
      <c r="H1431" s="35" t="str">
        <f t="shared" si="22"/>
        <v/>
      </c>
      <c r="I1431" s="29"/>
      <c r="K1431" s="36" t="str">
        <f>IF(ISNUMBER($D1431),IF(YEAR($D1431)=대시보드!$C$2,$D1431+ROW()/100000,""),"")</f>
        <v/>
      </c>
    </row>
    <row r="1432" spans="1:11">
      <c r="A1432" s="33"/>
      <c r="B1432" s="29"/>
      <c r="C1432" s="29"/>
      <c r="D1432" s="30"/>
      <c r="E1432" s="30"/>
      <c r="F1432" s="35"/>
      <c r="G1432" s="35"/>
      <c r="H1432" s="35" t="str">
        <f t="shared" si="22"/>
        <v/>
      </c>
      <c r="I1432" s="29"/>
      <c r="K1432" s="36" t="str">
        <f>IF(ISNUMBER($D1432),IF(YEAR($D1432)=대시보드!$C$2,$D1432+ROW()/100000,""),"")</f>
        <v/>
      </c>
    </row>
    <row r="1433" spans="1:11">
      <c r="A1433" s="33"/>
      <c r="B1433" s="29"/>
      <c r="C1433" s="29"/>
      <c r="D1433" s="30"/>
      <c r="E1433" s="30"/>
      <c r="F1433" s="35"/>
      <c r="G1433" s="35"/>
      <c r="H1433" s="35" t="str">
        <f t="shared" si="22"/>
        <v/>
      </c>
      <c r="I1433" s="29"/>
      <c r="K1433" s="36" t="str">
        <f>IF(ISNUMBER($D1433),IF(YEAR($D1433)=대시보드!$C$2,$D1433+ROW()/100000,""),"")</f>
        <v/>
      </c>
    </row>
    <row r="1434" spans="1:11">
      <c r="A1434" s="33"/>
      <c r="B1434" s="29"/>
      <c r="C1434" s="29"/>
      <c r="D1434" s="30"/>
      <c r="E1434" s="30"/>
      <c r="F1434" s="35"/>
      <c r="G1434" s="35"/>
      <c r="H1434" s="35" t="str">
        <f t="shared" si="22"/>
        <v/>
      </c>
      <c r="I1434" s="29"/>
      <c r="K1434" s="36" t="str">
        <f>IF(ISNUMBER($D1434),IF(YEAR($D1434)=대시보드!$C$2,$D1434+ROW()/100000,""),"")</f>
        <v/>
      </c>
    </row>
    <row r="1435" spans="1:11">
      <c r="A1435" s="33"/>
      <c r="B1435" s="29"/>
      <c r="C1435" s="29"/>
      <c r="D1435" s="30"/>
      <c r="E1435" s="30"/>
      <c r="F1435" s="35"/>
      <c r="G1435" s="35"/>
      <c r="H1435" s="35" t="str">
        <f t="shared" si="22"/>
        <v/>
      </c>
      <c r="I1435" s="29"/>
      <c r="K1435" s="36" t="str">
        <f>IF(ISNUMBER($D1435),IF(YEAR($D1435)=대시보드!$C$2,$D1435+ROW()/100000,""),"")</f>
        <v/>
      </c>
    </row>
    <row r="1436" spans="1:11">
      <c r="A1436" s="33"/>
      <c r="B1436" s="29"/>
      <c r="C1436" s="29"/>
      <c r="D1436" s="30"/>
      <c r="E1436" s="30"/>
      <c r="F1436" s="35"/>
      <c r="G1436" s="35"/>
      <c r="H1436" s="35" t="str">
        <f t="shared" si="22"/>
        <v/>
      </c>
      <c r="I1436" s="29"/>
      <c r="K1436" s="36" t="str">
        <f>IF(ISNUMBER($D1436),IF(YEAR($D1436)=대시보드!$C$2,$D1436+ROW()/100000,""),"")</f>
        <v/>
      </c>
    </row>
    <row r="1437" spans="1:11">
      <c r="A1437" s="33"/>
      <c r="B1437" s="29"/>
      <c r="C1437" s="29"/>
      <c r="D1437" s="30"/>
      <c r="E1437" s="30"/>
      <c r="F1437" s="35"/>
      <c r="G1437" s="35"/>
      <c r="H1437" s="35" t="str">
        <f t="shared" si="22"/>
        <v/>
      </c>
      <c r="I1437" s="29"/>
      <c r="K1437" s="36" t="str">
        <f>IF(ISNUMBER($D1437),IF(YEAR($D1437)=대시보드!$C$2,$D1437+ROW()/100000,""),"")</f>
        <v/>
      </c>
    </row>
    <row r="1438" spans="1:11">
      <c r="A1438" s="33"/>
      <c r="B1438" s="29"/>
      <c r="C1438" s="29"/>
      <c r="D1438" s="30"/>
      <c r="E1438" s="30"/>
      <c r="F1438" s="35"/>
      <c r="G1438" s="35"/>
      <c r="H1438" s="35" t="str">
        <f t="shared" si="22"/>
        <v/>
      </c>
      <c r="I1438" s="29"/>
      <c r="K1438" s="36" t="str">
        <f>IF(ISNUMBER($D1438),IF(YEAR($D1438)=대시보드!$C$2,$D1438+ROW()/100000,""),"")</f>
        <v/>
      </c>
    </row>
    <row r="1439" spans="1:11">
      <c r="A1439" s="33"/>
      <c r="B1439" s="29"/>
      <c r="C1439" s="29"/>
      <c r="D1439" s="30"/>
      <c r="E1439" s="30"/>
      <c r="F1439" s="35"/>
      <c r="G1439" s="35"/>
      <c r="H1439" s="35" t="str">
        <f t="shared" si="22"/>
        <v/>
      </c>
      <c r="I1439" s="29"/>
      <c r="K1439" s="36" t="str">
        <f>IF(ISNUMBER($D1439),IF(YEAR($D1439)=대시보드!$C$2,$D1439+ROW()/100000,""),"")</f>
        <v/>
      </c>
    </row>
    <row r="1440" spans="1:11">
      <c r="A1440" s="33"/>
      <c r="B1440" s="29"/>
      <c r="C1440" s="29"/>
      <c r="D1440" s="30"/>
      <c r="E1440" s="30"/>
      <c r="F1440" s="35"/>
      <c r="G1440" s="35"/>
      <c r="H1440" s="35" t="str">
        <f t="shared" si="22"/>
        <v/>
      </c>
      <c r="I1440" s="29"/>
      <c r="K1440" s="36" t="str">
        <f>IF(ISNUMBER($D1440),IF(YEAR($D1440)=대시보드!$C$2,$D1440+ROW()/100000,""),"")</f>
        <v/>
      </c>
    </row>
    <row r="1441" spans="1:11">
      <c r="A1441" s="33"/>
      <c r="B1441" s="29"/>
      <c r="C1441" s="29"/>
      <c r="D1441" s="30"/>
      <c r="E1441" s="30"/>
      <c r="F1441" s="35"/>
      <c r="G1441" s="35"/>
      <c r="H1441" s="35" t="str">
        <f t="shared" si="22"/>
        <v/>
      </c>
      <c r="I1441" s="29"/>
      <c r="K1441" s="36" t="str">
        <f>IF(ISNUMBER($D1441),IF(YEAR($D1441)=대시보드!$C$2,$D1441+ROW()/100000,""),"")</f>
        <v/>
      </c>
    </row>
    <row r="1442" spans="1:11">
      <c r="A1442" s="33"/>
      <c r="B1442" s="29"/>
      <c r="C1442" s="29"/>
      <c r="D1442" s="30"/>
      <c r="E1442" s="30"/>
      <c r="F1442" s="35"/>
      <c r="G1442" s="35"/>
      <c r="H1442" s="35" t="str">
        <f t="shared" si="22"/>
        <v/>
      </c>
      <c r="I1442" s="29"/>
      <c r="K1442" s="36" t="str">
        <f>IF(ISNUMBER($D1442),IF(YEAR($D1442)=대시보드!$C$2,$D1442+ROW()/100000,""),"")</f>
        <v/>
      </c>
    </row>
    <row r="1443" spans="1:11">
      <c r="A1443" s="33"/>
      <c r="B1443" s="29"/>
      <c r="C1443" s="29"/>
      <c r="D1443" s="30"/>
      <c r="E1443" s="30"/>
      <c r="F1443" s="35"/>
      <c r="G1443" s="35"/>
      <c r="H1443" s="35" t="str">
        <f t="shared" si="22"/>
        <v/>
      </c>
      <c r="I1443" s="29"/>
      <c r="K1443" s="36" t="str">
        <f>IF(ISNUMBER($D1443),IF(YEAR($D1443)=대시보드!$C$2,$D1443+ROW()/100000,""),"")</f>
        <v/>
      </c>
    </row>
    <row r="1444" spans="1:11">
      <c r="A1444" s="33"/>
      <c r="B1444" s="29"/>
      <c r="C1444" s="29"/>
      <c r="D1444" s="30"/>
      <c r="E1444" s="30"/>
      <c r="F1444" s="35"/>
      <c r="G1444" s="35"/>
      <c r="H1444" s="35" t="str">
        <f t="shared" si="22"/>
        <v/>
      </c>
      <c r="I1444" s="29"/>
      <c r="K1444" s="36" t="str">
        <f>IF(ISNUMBER($D1444),IF(YEAR($D1444)=대시보드!$C$2,$D1444+ROW()/100000,""),"")</f>
        <v/>
      </c>
    </row>
    <row r="1445" spans="1:11">
      <c r="A1445" s="33"/>
      <c r="B1445" s="29"/>
      <c r="C1445" s="29"/>
      <c r="D1445" s="30"/>
      <c r="E1445" s="30"/>
      <c r="F1445" s="35"/>
      <c r="G1445" s="35"/>
      <c r="H1445" s="35" t="str">
        <f t="shared" si="22"/>
        <v/>
      </c>
      <c r="I1445" s="29"/>
      <c r="K1445" s="36" t="str">
        <f>IF(ISNUMBER($D1445),IF(YEAR($D1445)=대시보드!$C$2,$D1445+ROW()/100000,""),"")</f>
        <v/>
      </c>
    </row>
    <row r="1446" spans="1:11">
      <c r="A1446" s="33"/>
      <c r="B1446" s="29"/>
      <c r="C1446" s="29"/>
      <c r="D1446" s="30"/>
      <c r="E1446" s="30"/>
      <c r="F1446" s="35"/>
      <c r="G1446" s="35"/>
      <c r="H1446" s="35" t="str">
        <f t="shared" si="22"/>
        <v/>
      </c>
      <c r="I1446" s="29"/>
      <c r="K1446" s="36" t="str">
        <f>IF(ISNUMBER($D1446),IF(YEAR($D1446)=대시보드!$C$2,$D1446+ROW()/100000,""),"")</f>
        <v/>
      </c>
    </row>
    <row r="1447" spans="1:11">
      <c r="A1447" s="33"/>
      <c r="B1447" s="29"/>
      <c r="C1447" s="29"/>
      <c r="D1447" s="30"/>
      <c r="E1447" s="30"/>
      <c r="F1447" s="35"/>
      <c r="G1447" s="35"/>
      <c r="H1447" s="35" t="str">
        <f t="shared" si="22"/>
        <v/>
      </c>
      <c r="I1447" s="29"/>
      <c r="K1447" s="36" t="str">
        <f>IF(ISNUMBER($D1447),IF(YEAR($D1447)=대시보드!$C$2,$D1447+ROW()/100000,""),"")</f>
        <v/>
      </c>
    </row>
    <row r="1448" spans="1:11">
      <c r="A1448" s="33"/>
      <c r="B1448" s="29"/>
      <c r="C1448" s="29"/>
      <c r="D1448" s="30"/>
      <c r="E1448" s="30"/>
      <c r="F1448" s="35"/>
      <c r="G1448" s="35"/>
      <c r="H1448" s="35" t="str">
        <f t="shared" si="22"/>
        <v/>
      </c>
      <c r="I1448" s="29"/>
      <c r="K1448" s="36" t="str">
        <f>IF(ISNUMBER($D1448),IF(YEAR($D1448)=대시보드!$C$2,$D1448+ROW()/100000,""),"")</f>
        <v/>
      </c>
    </row>
    <row r="1449" spans="1:11">
      <c r="A1449" s="33"/>
      <c r="B1449" s="29"/>
      <c r="C1449" s="29"/>
      <c r="D1449" s="30"/>
      <c r="E1449" s="30"/>
      <c r="F1449" s="35"/>
      <c r="G1449" s="35"/>
      <c r="H1449" s="35" t="str">
        <f t="shared" si="22"/>
        <v/>
      </c>
      <c r="I1449" s="29"/>
      <c r="K1449" s="36" t="str">
        <f>IF(ISNUMBER($D1449),IF(YEAR($D1449)=대시보드!$C$2,$D1449+ROW()/100000,""),"")</f>
        <v/>
      </c>
    </row>
    <row r="1450" spans="1:11">
      <c r="A1450" s="33"/>
      <c r="B1450" s="29"/>
      <c r="C1450" s="29"/>
      <c r="D1450" s="30"/>
      <c r="E1450" s="30"/>
      <c r="F1450" s="35"/>
      <c r="G1450" s="35"/>
      <c r="H1450" s="35" t="str">
        <f t="shared" si="22"/>
        <v/>
      </c>
      <c r="I1450" s="29"/>
      <c r="K1450" s="36" t="str">
        <f>IF(ISNUMBER($D1450),IF(YEAR($D1450)=대시보드!$C$2,$D1450+ROW()/100000,""),"")</f>
        <v/>
      </c>
    </row>
    <row r="1451" spans="1:11">
      <c r="A1451" s="33"/>
      <c r="B1451" s="29"/>
      <c r="C1451" s="29"/>
      <c r="D1451" s="30"/>
      <c r="E1451" s="30"/>
      <c r="F1451" s="35"/>
      <c r="G1451" s="35"/>
      <c r="H1451" s="35" t="str">
        <f t="shared" si="22"/>
        <v/>
      </c>
      <c r="I1451" s="29"/>
      <c r="K1451" s="36" t="str">
        <f>IF(ISNUMBER($D1451),IF(YEAR($D1451)=대시보드!$C$2,$D1451+ROW()/100000,""),"")</f>
        <v/>
      </c>
    </row>
    <row r="1452" spans="1:11">
      <c r="A1452" s="33"/>
      <c r="B1452" s="29"/>
      <c r="C1452" s="29"/>
      <c r="D1452" s="30"/>
      <c r="E1452" s="30"/>
      <c r="F1452" s="35"/>
      <c r="G1452" s="35"/>
      <c r="H1452" s="35" t="str">
        <f t="shared" si="22"/>
        <v/>
      </c>
      <c r="I1452" s="29"/>
      <c r="K1452" s="36" t="str">
        <f>IF(ISNUMBER($D1452),IF(YEAR($D1452)=대시보드!$C$2,$D1452+ROW()/100000,""),"")</f>
        <v/>
      </c>
    </row>
    <row r="1453" spans="1:11">
      <c r="A1453" s="33"/>
      <c r="B1453" s="29"/>
      <c r="C1453" s="29"/>
      <c r="D1453" s="30"/>
      <c r="E1453" s="30"/>
      <c r="F1453" s="35"/>
      <c r="G1453" s="35"/>
      <c r="H1453" s="35" t="str">
        <f t="shared" si="22"/>
        <v/>
      </c>
      <c r="I1453" s="29"/>
      <c r="K1453" s="36" t="str">
        <f>IF(ISNUMBER($D1453),IF(YEAR($D1453)=대시보드!$C$2,$D1453+ROW()/100000,""),"")</f>
        <v/>
      </c>
    </row>
    <row r="1454" spans="1:11">
      <c r="A1454" s="33"/>
      <c r="B1454" s="29"/>
      <c r="C1454" s="29"/>
      <c r="D1454" s="30"/>
      <c r="E1454" s="30"/>
      <c r="F1454" s="35"/>
      <c r="G1454" s="35"/>
      <c r="H1454" s="35" t="str">
        <f t="shared" si="22"/>
        <v/>
      </c>
      <c r="I1454" s="29"/>
      <c r="K1454" s="36" t="str">
        <f>IF(ISNUMBER($D1454),IF(YEAR($D1454)=대시보드!$C$2,$D1454+ROW()/100000,""),"")</f>
        <v/>
      </c>
    </row>
    <row r="1455" spans="1:11">
      <c r="A1455" s="33"/>
      <c r="B1455" s="29"/>
      <c r="C1455" s="29"/>
      <c r="D1455" s="30"/>
      <c r="E1455" s="30"/>
      <c r="F1455" s="35"/>
      <c r="G1455" s="35"/>
      <c r="H1455" s="35" t="str">
        <f t="shared" si="22"/>
        <v/>
      </c>
      <c r="I1455" s="29"/>
      <c r="K1455" s="36" t="str">
        <f>IF(ISNUMBER($D1455),IF(YEAR($D1455)=대시보드!$C$2,$D1455+ROW()/100000,""),"")</f>
        <v/>
      </c>
    </row>
    <row r="1456" spans="1:11">
      <c r="A1456" s="33"/>
      <c r="B1456" s="29"/>
      <c r="C1456" s="29"/>
      <c r="D1456" s="30"/>
      <c r="E1456" s="30"/>
      <c r="F1456" s="35"/>
      <c r="G1456" s="35"/>
      <c r="H1456" s="35" t="str">
        <f t="shared" si="22"/>
        <v/>
      </c>
      <c r="I1456" s="29"/>
      <c r="K1456" s="36" t="str">
        <f>IF(ISNUMBER($D1456),IF(YEAR($D1456)=대시보드!$C$2,$D1456+ROW()/100000,""),"")</f>
        <v/>
      </c>
    </row>
    <row r="1457" spans="1:11">
      <c r="A1457" s="33"/>
      <c r="B1457" s="29"/>
      <c r="C1457" s="29"/>
      <c r="D1457" s="30"/>
      <c r="E1457" s="30"/>
      <c r="F1457" s="35"/>
      <c r="G1457" s="35"/>
      <c r="H1457" s="35" t="str">
        <f t="shared" si="22"/>
        <v/>
      </c>
      <c r="I1457" s="29"/>
      <c r="K1457" s="36" t="str">
        <f>IF(ISNUMBER($D1457),IF(YEAR($D1457)=대시보드!$C$2,$D1457+ROW()/100000,""),"")</f>
        <v/>
      </c>
    </row>
    <row r="1458" spans="1:11">
      <c r="A1458" s="33"/>
      <c r="B1458" s="29"/>
      <c r="C1458" s="29"/>
      <c r="D1458" s="30"/>
      <c r="E1458" s="30"/>
      <c r="F1458" s="35"/>
      <c r="G1458" s="35"/>
      <c r="H1458" s="35" t="str">
        <f t="shared" si="22"/>
        <v/>
      </c>
      <c r="I1458" s="29"/>
      <c r="K1458" s="36" t="str">
        <f>IF(ISNUMBER($D1458),IF(YEAR($D1458)=대시보드!$C$2,$D1458+ROW()/100000,""),"")</f>
        <v/>
      </c>
    </row>
    <row r="1459" spans="1:11">
      <c r="A1459" s="33"/>
      <c r="B1459" s="29"/>
      <c r="C1459" s="29"/>
      <c r="D1459" s="30"/>
      <c r="E1459" s="30"/>
      <c r="F1459" s="35"/>
      <c r="G1459" s="35"/>
      <c r="H1459" s="35" t="str">
        <f t="shared" si="22"/>
        <v/>
      </c>
      <c r="I1459" s="29"/>
      <c r="K1459" s="36" t="str">
        <f>IF(ISNUMBER($D1459),IF(YEAR($D1459)=대시보드!$C$2,$D1459+ROW()/100000,""),"")</f>
        <v/>
      </c>
    </row>
    <row r="1460" spans="1:11">
      <c r="A1460" s="33"/>
      <c r="B1460" s="29"/>
      <c r="C1460" s="29"/>
      <c r="D1460" s="30"/>
      <c r="E1460" s="30"/>
      <c r="F1460" s="35"/>
      <c r="G1460" s="35"/>
      <c r="H1460" s="35" t="str">
        <f t="shared" si="22"/>
        <v/>
      </c>
      <c r="I1460" s="29"/>
      <c r="K1460" s="36" t="str">
        <f>IF(ISNUMBER($D1460),IF(YEAR($D1460)=대시보드!$C$2,$D1460+ROW()/100000,""),"")</f>
        <v/>
      </c>
    </row>
    <row r="1461" spans="1:11">
      <c r="A1461" s="33"/>
      <c r="B1461" s="29"/>
      <c r="C1461" s="29"/>
      <c r="D1461" s="30"/>
      <c r="E1461" s="30"/>
      <c r="F1461" s="35"/>
      <c r="G1461" s="35"/>
      <c r="H1461" s="35" t="str">
        <f t="shared" si="22"/>
        <v/>
      </c>
      <c r="I1461" s="29"/>
      <c r="K1461" s="36" t="str">
        <f>IF(ISNUMBER($D1461),IF(YEAR($D1461)=대시보드!$C$2,$D1461+ROW()/100000,""),"")</f>
        <v/>
      </c>
    </row>
    <row r="1462" spans="1:11">
      <c r="A1462" s="33"/>
      <c r="B1462" s="29"/>
      <c r="C1462" s="29"/>
      <c r="D1462" s="30"/>
      <c r="E1462" s="30"/>
      <c r="F1462" s="35"/>
      <c r="G1462" s="35"/>
      <c r="H1462" s="35" t="str">
        <f t="shared" si="22"/>
        <v/>
      </c>
      <c r="I1462" s="29"/>
      <c r="K1462" s="36" t="str">
        <f>IF(ISNUMBER($D1462),IF(YEAR($D1462)=대시보드!$C$2,$D1462+ROW()/100000,""),"")</f>
        <v/>
      </c>
    </row>
    <row r="1463" spans="1:11">
      <c r="A1463" s="33"/>
      <c r="B1463" s="29"/>
      <c r="C1463" s="29"/>
      <c r="D1463" s="30"/>
      <c r="E1463" s="30"/>
      <c r="F1463" s="35"/>
      <c r="G1463" s="35"/>
      <c r="H1463" s="35" t="str">
        <f t="shared" si="22"/>
        <v/>
      </c>
      <c r="I1463" s="29"/>
      <c r="K1463" s="36" t="str">
        <f>IF(ISNUMBER($D1463),IF(YEAR($D1463)=대시보드!$C$2,$D1463+ROW()/100000,""),"")</f>
        <v/>
      </c>
    </row>
    <row r="1464" spans="1:11">
      <c r="A1464" s="33"/>
      <c r="B1464" s="29"/>
      <c r="C1464" s="29"/>
      <c r="D1464" s="30"/>
      <c r="E1464" s="30"/>
      <c r="F1464" s="35"/>
      <c r="G1464" s="35"/>
      <c r="H1464" s="35" t="str">
        <f t="shared" si="22"/>
        <v/>
      </c>
      <c r="I1464" s="29"/>
      <c r="K1464" s="36" t="str">
        <f>IF(ISNUMBER($D1464),IF(YEAR($D1464)=대시보드!$C$2,$D1464+ROW()/100000,""),"")</f>
        <v/>
      </c>
    </row>
    <row r="1465" spans="1:11">
      <c r="A1465" s="33"/>
      <c r="B1465" s="29"/>
      <c r="C1465" s="29"/>
      <c r="D1465" s="30"/>
      <c r="E1465" s="30"/>
      <c r="F1465" s="35"/>
      <c r="G1465" s="35"/>
      <c r="H1465" s="35" t="str">
        <f t="shared" si="22"/>
        <v/>
      </c>
      <c r="I1465" s="29"/>
      <c r="K1465" s="36" t="str">
        <f>IF(ISNUMBER($D1465),IF(YEAR($D1465)=대시보드!$C$2,$D1465+ROW()/100000,""),"")</f>
        <v/>
      </c>
    </row>
    <row r="1466" spans="1:11">
      <c r="A1466" s="33"/>
      <c r="B1466" s="29"/>
      <c r="C1466" s="29"/>
      <c r="D1466" s="30"/>
      <c r="E1466" s="30"/>
      <c r="F1466" s="35"/>
      <c r="G1466" s="35"/>
      <c r="H1466" s="35" t="str">
        <f t="shared" si="22"/>
        <v/>
      </c>
      <c r="I1466" s="29"/>
      <c r="K1466" s="36" t="str">
        <f>IF(ISNUMBER($D1466),IF(YEAR($D1466)=대시보드!$C$2,$D1466+ROW()/100000,""),"")</f>
        <v/>
      </c>
    </row>
    <row r="1467" spans="1:11">
      <c r="A1467" s="33"/>
      <c r="B1467" s="29"/>
      <c r="C1467" s="29"/>
      <c r="D1467" s="30"/>
      <c r="E1467" s="30"/>
      <c r="F1467" s="35"/>
      <c r="G1467" s="35"/>
      <c r="H1467" s="35" t="str">
        <f t="shared" si="22"/>
        <v/>
      </c>
      <c r="I1467" s="29"/>
      <c r="K1467" s="36" t="str">
        <f>IF(ISNUMBER($D1467),IF(YEAR($D1467)=대시보드!$C$2,$D1467+ROW()/100000,""),"")</f>
        <v/>
      </c>
    </row>
    <row r="1468" spans="1:11">
      <c r="A1468" s="33"/>
      <c r="B1468" s="29"/>
      <c r="C1468" s="29"/>
      <c r="D1468" s="30"/>
      <c r="E1468" s="30"/>
      <c r="F1468" s="35"/>
      <c r="G1468" s="35"/>
      <c r="H1468" s="35" t="str">
        <f t="shared" si="22"/>
        <v/>
      </c>
      <c r="I1468" s="29"/>
      <c r="K1468" s="36" t="str">
        <f>IF(ISNUMBER($D1468),IF(YEAR($D1468)=대시보드!$C$2,$D1468+ROW()/100000,""),"")</f>
        <v/>
      </c>
    </row>
    <row r="1469" spans="1:11">
      <c r="A1469" s="33"/>
      <c r="B1469" s="29"/>
      <c r="C1469" s="29"/>
      <c r="D1469" s="30"/>
      <c r="E1469" s="30"/>
      <c r="F1469" s="35"/>
      <c r="G1469" s="35"/>
      <c r="H1469" s="35" t="str">
        <f t="shared" si="22"/>
        <v/>
      </c>
      <c r="I1469" s="29"/>
      <c r="K1469" s="36" t="str">
        <f>IF(ISNUMBER($D1469),IF(YEAR($D1469)=대시보드!$C$2,$D1469+ROW()/100000,""),"")</f>
        <v/>
      </c>
    </row>
    <row r="1470" spans="1:11">
      <c r="A1470" s="33"/>
      <c r="B1470" s="29"/>
      <c r="C1470" s="29"/>
      <c r="D1470" s="30"/>
      <c r="E1470" s="30"/>
      <c r="F1470" s="35"/>
      <c r="G1470" s="35"/>
      <c r="H1470" s="35" t="str">
        <f t="shared" si="22"/>
        <v/>
      </c>
      <c r="I1470" s="29"/>
      <c r="K1470" s="36" t="str">
        <f>IF(ISNUMBER($D1470),IF(YEAR($D1470)=대시보드!$C$2,$D1470+ROW()/100000,""),"")</f>
        <v/>
      </c>
    </row>
    <row r="1471" spans="1:11">
      <c r="A1471" s="33"/>
      <c r="B1471" s="29"/>
      <c r="C1471" s="29"/>
      <c r="D1471" s="30"/>
      <c r="E1471" s="30"/>
      <c r="F1471" s="35"/>
      <c r="G1471" s="35"/>
      <c r="H1471" s="35" t="str">
        <f t="shared" si="22"/>
        <v/>
      </c>
      <c r="I1471" s="29"/>
      <c r="K1471" s="36" t="str">
        <f>IF(ISNUMBER($D1471),IF(YEAR($D1471)=대시보드!$C$2,$D1471+ROW()/100000,""),"")</f>
        <v/>
      </c>
    </row>
    <row r="1472" spans="1:11">
      <c r="A1472" s="33"/>
      <c r="B1472" s="29"/>
      <c r="C1472" s="29"/>
      <c r="D1472" s="30"/>
      <c r="E1472" s="30"/>
      <c r="F1472" s="35"/>
      <c r="G1472" s="35"/>
      <c r="H1472" s="35" t="str">
        <f t="shared" si="22"/>
        <v/>
      </c>
      <c r="I1472" s="29"/>
      <c r="K1472" s="36" t="str">
        <f>IF(ISNUMBER($D1472),IF(YEAR($D1472)=대시보드!$C$2,$D1472+ROW()/100000,""),"")</f>
        <v/>
      </c>
    </row>
    <row r="1473" spans="1:11">
      <c r="A1473" s="33"/>
      <c r="B1473" s="29"/>
      <c r="C1473" s="29"/>
      <c r="D1473" s="30"/>
      <c r="E1473" s="30"/>
      <c r="F1473" s="35"/>
      <c r="G1473" s="35"/>
      <c r="H1473" s="35" t="str">
        <f t="shared" si="22"/>
        <v/>
      </c>
      <c r="I1473" s="29"/>
      <c r="K1473" s="36" t="str">
        <f>IF(ISNUMBER($D1473),IF(YEAR($D1473)=대시보드!$C$2,$D1473+ROW()/100000,""),"")</f>
        <v/>
      </c>
    </row>
    <row r="1474" spans="1:11">
      <c r="A1474" s="33"/>
      <c r="B1474" s="29"/>
      <c r="C1474" s="29"/>
      <c r="D1474" s="30"/>
      <c r="E1474" s="30"/>
      <c r="F1474" s="35"/>
      <c r="G1474" s="35"/>
      <c r="H1474" s="35" t="str">
        <f t="shared" si="22"/>
        <v/>
      </c>
      <c r="I1474" s="29"/>
      <c r="K1474" s="36" t="str">
        <f>IF(ISNUMBER($D1474),IF(YEAR($D1474)=대시보드!$C$2,$D1474+ROW()/100000,""),"")</f>
        <v/>
      </c>
    </row>
    <row r="1475" spans="1:11">
      <c r="A1475" s="33"/>
      <c r="B1475" s="29"/>
      <c r="C1475" s="29"/>
      <c r="D1475" s="30"/>
      <c r="E1475" s="30"/>
      <c r="F1475" s="35"/>
      <c r="G1475" s="35"/>
      <c r="H1475" s="35" t="str">
        <f t="shared" si="22"/>
        <v/>
      </c>
      <c r="I1475" s="29"/>
      <c r="K1475" s="36" t="str">
        <f>IF(ISNUMBER($D1475),IF(YEAR($D1475)=대시보드!$C$2,$D1475+ROW()/100000,""),"")</f>
        <v/>
      </c>
    </row>
    <row r="1476" spans="1:11">
      <c r="A1476" s="33"/>
      <c r="B1476" s="29"/>
      <c r="C1476" s="29"/>
      <c r="D1476" s="30"/>
      <c r="E1476" s="30"/>
      <c r="F1476" s="35"/>
      <c r="G1476" s="35"/>
      <c r="H1476" s="35" t="str">
        <f t="shared" ref="H1476:H1539" si="23">IF(F1476="","",F1476-G1476)</f>
        <v/>
      </c>
      <c r="I1476" s="29"/>
      <c r="K1476" s="36" t="str">
        <f>IF(ISNUMBER($D1476),IF(YEAR($D1476)=대시보드!$C$2,$D1476+ROW()/100000,""),"")</f>
        <v/>
      </c>
    </row>
    <row r="1477" spans="1:11">
      <c r="A1477" s="33"/>
      <c r="B1477" s="29"/>
      <c r="C1477" s="29"/>
      <c r="D1477" s="30"/>
      <c r="E1477" s="30"/>
      <c r="F1477" s="35"/>
      <c r="G1477" s="35"/>
      <c r="H1477" s="35" t="str">
        <f t="shared" si="23"/>
        <v/>
      </c>
      <c r="I1477" s="29"/>
      <c r="K1477" s="36" t="str">
        <f>IF(ISNUMBER($D1477),IF(YEAR($D1477)=대시보드!$C$2,$D1477+ROW()/100000,""),"")</f>
        <v/>
      </c>
    </row>
    <row r="1478" spans="1:11">
      <c r="A1478" s="33"/>
      <c r="B1478" s="29"/>
      <c r="C1478" s="29"/>
      <c r="D1478" s="30"/>
      <c r="E1478" s="30"/>
      <c r="F1478" s="35"/>
      <c r="G1478" s="35"/>
      <c r="H1478" s="35" t="str">
        <f t="shared" si="23"/>
        <v/>
      </c>
      <c r="I1478" s="29"/>
      <c r="K1478" s="36" t="str">
        <f>IF(ISNUMBER($D1478),IF(YEAR($D1478)=대시보드!$C$2,$D1478+ROW()/100000,""),"")</f>
        <v/>
      </c>
    </row>
    <row r="1479" spans="1:11">
      <c r="A1479" s="33"/>
      <c r="B1479" s="29"/>
      <c r="C1479" s="29"/>
      <c r="D1479" s="30"/>
      <c r="E1479" s="30"/>
      <c r="F1479" s="35"/>
      <c r="G1479" s="35"/>
      <c r="H1479" s="35" t="str">
        <f t="shared" si="23"/>
        <v/>
      </c>
      <c r="I1479" s="29"/>
      <c r="K1479" s="36" t="str">
        <f>IF(ISNUMBER($D1479),IF(YEAR($D1479)=대시보드!$C$2,$D1479+ROW()/100000,""),"")</f>
        <v/>
      </c>
    </row>
    <row r="1480" spans="1:11">
      <c r="A1480" s="33"/>
      <c r="B1480" s="29"/>
      <c r="C1480" s="29"/>
      <c r="D1480" s="30"/>
      <c r="E1480" s="30"/>
      <c r="F1480" s="35"/>
      <c r="G1480" s="35"/>
      <c r="H1480" s="35" t="str">
        <f t="shared" si="23"/>
        <v/>
      </c>
      <c r="I1480" s="29"/>
      <c r="K1480" s="36" t="str">
        <f>IF(ISNUMBER($D1480),IF(YEAR($D1480)=대시보드!$C$2,$D1480+ROW()/100000,""),"")</f>
        <v/>
      </c>
    </row>
    <row r="1481" spans="1:11">
      <c r="A1481" s="33"/>
      <c r="B1481" s="29"/>
      <c r="C1481" s="29"/>
      <c r="D1481" s="30"/>
      <c r="E1481" s="30"/>
      <c r="F1481" s="35"/>
      <c r="G1481" s="35"/>
      <c r="H1481" s="35" t="str">
        <f t="shared" si="23"/>
        <v/>
      </c>
      <c r="I1481" s="29"/>
      <c r="K1481" s="36" t="str">
        <f>IF(ISNUMBER($D1481),IF(YEAR($D1481)=대시보드!$C$2,$D1481+ROW()/100000,""),"")</f>
        <v/>
      </c>
    </row>
    <row r="1482" spans="1:11">
      <c r="A1482" s="33"/>
      <c r="B1482" s="29"/>
      <c r="C1482" s="29"/>
      <c r="D1482" s="30"/>
      <c r="E1482" s="30"/>
      <c r="F1482" s="35"/>
      <c r="G1482" s="35"/>
      <c r="H1482" s="35" t="str">
        <f t="shared" si="23"/>
        <v/>
      </c>
      <c r="I1482" s="29"/>
      <c r="K1482" s="36" t="str">
        <f>IF(ISNUMBER($D1482),IF(YEAR($D1482)=대시보드!$C$2,$D1482+ROW()/100000,""),"")</f>
        <v/>
      </c>
    </row>
    <row r="1483" spans="1:11">
      <c r="A1483" s="33"/>
      <c r="B1483" s="29"/>
      <c r="C1483" s="29"/>
      <c r="D1483" s="30"/>
      <c r="E1483" s="30"/>
      <c r="F1483" s="35"/>
      <c r="G1483" s="35"/>
      <c r="H1483" s="35" t="str">
        <f t="shared" si="23"/>
        <v/>
      </c>
      <c r="I1483" s="29"/>
      <c r="K1483" s="36" t="str">
        <f>IF(ISNUMBER($D1483),IF(YEAR($D1483)=대시보드!$C$2,$D1483+ROW()/100000,""),"")</f>
        <v/>
      </c>
    </row>
    <row r="1484" spans="1:11">
      <c r="A1484" s="33"/>
      <c r="B1484" s="29"/>
      <c r="C1484" s="29"/>
      <c r="D1484" s="30"/>
      <c r="E1484" s="30"/>
      <c r="F1484" s="35"/>
      <c r="G1484" s="35"/>
      <c r="H1484" s="35" t="str">
        <f t="shared" si="23"/>
        <v/>
      </c>
      <c r="I1484" s="29"/>
      <c r="K1484" s="36" t="str">
        <f>IF(ISNUMBER($D1484),IF(YEAR($D1484)=대시보드!$C$2,$D1484+ROW()/100000,""),"")</f>
        <v/>
      </c>
    </row>
    <row r="1485" spans="1:11">
      <c r="A1485" s="33"/>
      <c r="B1485" s="29"/>
      <c r="C1485" s="29"/>
      <c r="D1485" s="30"/>
      <c r="E1485" s="30"/>
      <c r="F1485" s="35"/>
      <c r="G1485" s="35"/>
      <c r="H1485" s="35" t="str">
        <f t="shared" si="23"/>
        <v/>
      </c>
      <c r="I1485" s="29"/>
      <c r="K1485" s="36" t="str">
        <f>IF(ISNUMBER($D1485),IF(YEAR($D1485)=대시보드!$C$2,$D1485+ROW()/100000,""),"")</f>
        <v/>
      </c>
    </row>
    <row r="1486" spans="1:11">
      <c r="A1486" s="33"/>
      <c r="B1486" s="29"/>
      <c r="C1486" s="29"/>
      <c r="D1486" s="30"/>
      <c r="E1486" s="30"/>
      <c r="F1486" s="35"/>
      <c r="G1486" s="35"/>
      <c r="H1486" s="35" t="str">
        <f t="shared" si="23"/>
        <v/>
      </c>
      <c r="I1486" s="29"/>
      <c r="K1486" s="36" t="str">
        <f>IF(ISNUMBER($D1486),IF(YEAR($D1486)=대시보드!$C$2,$D1486+ROW()/100000,""),"")</f>
        <v/>
      </c>
    </row>
    <row r="1487" spans="1:11">
      <c r="A1487" s="33"/>
      <c r="B1487" s="29"/>
      <c r="C1487" s="29"/>
      <c r="D1487" s="30"/>
      <c r="E1487" s="30"/>
      <c r="F1487" s="35"/>
      <c r="G1487" s="35"/>
      <c r="H1487" s="35" t="str">
        <f t="shared" si="23"/>
        <v/>
      </c>
      <c r="I1487" s="29"/>
      <c r="K1487" s="36" t="str">
        <f>IF(ISNUMBER($D1487),IF(YEAR($D1487)=대시보드!$C$2,$D1487+ROW()/100000,""),"")</f>
        <v/>
      </c>
    </row>
    <row r="1488" spans="1:11">
      <c r="A1488" s="33"/>
      <c r="B1488" s="29"/>
      <c r="C1488" s="29"/>
      <c r="D1488" s="30"/>
      <c r="E1488" s="30"/>
      <c r="F1488" s="35"/>
      <c r="G1488" s="35"/>
      <c r="H1488" s="35" t="str">
        <f t="shared" si="23"/>
        <v/>
      </c>
      <c r="I1488" s="29"/>
      <c r="K1488" s="36" t="str">
        <f>IF(ISNUMBER($D1488),IF(YEAR($D1488)=대시보드!$C$2,$D1488+ROW()/100000,""),"")</f>
        <v/>
      </c>
    </row>
    <row r="1489" spans="1:11">
      <c r="A1489" s="33"/>
      <c r="B1489" s="29"/>
      <c r="C1489" s="29"/>
      <c r="D1489" s="30"/>
      <c r="E1489" s="30"/>
      <c r="F1489" s="35"/>
      <c r="G1489" s="35"/>
      <c r="H1489" s="35" t="str">
        <f t="shared" si="23"/>
        <v/>
      </c>
      <c r="I1489" s="29"/>
      <c r="K1489" s="36" t="str">
        <f>IF(ISNUMBER($D1489),IF(YEAR($D1489)=대시보드!$C$2,$D1489+ROW()/100000,""),"")</f>
        <v/>
      </c>
    </row>
    <row r="1490" spans="1:11">
      <c r="A1490" s="33"/>
      <c r="B1490" s="29"/>
      <c r="C1490" s="29"/>
      <c r="D1490" s="30"/>
      <c r="E1490" s="30"/>
      <c r="F1490" s="35"/>
      <c r="G1490" s="35"/>
      <c r="H1490" s="35" t="str">
        <f t="shared" si="23"/>
        <v/>
      </c>
      <c r="I1490" s="29"/>
      <c r="K1490" s="36" t="str">
        <f>IF(ISNUMBER($D1490),IF(YEAR($D1490)=대시보드!$C$2,$D1490+ROW()/100000,""),"")</f>
        <v/>
      </c>
    </row>
    <row r="1491" spans="1:11">
      <c r="A1491" s="33"/>
      <c r="B1491" s="29"/>
      <c r="C1491" s="29"/>
      <c r="D1491" s="30"/>
      <c r="E1491" s="30"/>
      <c r="F1491" s="35"/>
      <c r="G1491" s="35"/>
      <c r="H1491" s="35" t="str">
        <f t="shared" si="23"/>
        <v/>
      </c>
      <c r="I1491" s="29"/>
      <c r="K1491" s="36" t="str">
        <f>IF(ISNUMBER($D1491),IF(YEAR($D1491)=대시보드!$C$2,$D1491+ROW()/100000,""),"")</f>
        <v/>
      </c>
    </row>
    <row r="1492" spans="1:11">
      <c r="A1492" s="33"/>
      <c r="B1492" s="29"/>
      <c r="C1492" s="29"/>
      <c r="D1492" s="30"/>
      <c r="E1492" s="30"/>
      <c r="F1492" s="35"/>
      <c r="G1492" s="35"/>
      <c r="H1492" s="35" t="str">
        <f t="shared" si="23"/>
        <v/>
      </c>
      <c r="I1492" s="29"/>
      <c r="K1492" s="36" t="str">
        <f>IF(ISNUMBER($D1492),IF(YEAR($D1492)=대시보드!$C$2,$D1492+ROW()/100000,""),"")</f>
        <v/>
      </c>
    </row>
    <row r="1493" spans="1:11">
      <c r="A1493" s="33"/>
      <c r="B1493" s="29"/>
      <c r="C1493" s="29"/>
      <c r="D1493" s="30"/>
      <c r="E1493" s="30"/>
      <c r="F1493" s="35"/>
      <c r="G1493" s="35"/>
      <c r="H1493" s="35" t="str">
        <f t="shared" si="23"/>
        <v/>
      </c>
      <c r="I1493" s="29"/>
      <c r="K1493" s="36" t="str">
        <f>IF(ISNUMBER($D1493),IF(YEAR($D1493)=대시보드!$C$2,$D1493+ROW()/100000,""),"")</f>
        <v/>
      </c>
    </row>
    <row r="1494" spans="1:11">
      <c r="A1494" s="33"/>
      <c r="B1494" s="29"/>
      <c r="C1494" s="29"/>
      <c r="D1494" s="30"/>
      <c r="E1494" s="30"/>
      <c r="F1494" s="35"/>
      <c r="G1494" s="35"/>
      <c r="H1494" s="35" t="str">
        <f t="shared" si="23"/>
        <v/>
      </c>
      <c r="I1494" s="29"/>
      <c r="K1494" s="36" t="str">
        <f>IF(ISNUMBER($D1494),IF(YEAR($D1494)=대시보드!$C$2,$D1494+ROW()/100000,""),"")</f>
        <v/>
      </c>
    </row>
    <row r="1495" spans="1:11">
      <c r="A1495" s="33"/>
      <c r="B1495" s="29"/>
      <c r="C1495" s="29"/>
      <c r="D1495" s="30"/>
      <c r="E1495" s="30"/>
      <c r="F1495" s="35"/>
      <c r="G1495" s="35"/>
      <c r="H1495" s="35" t="str">
        <f t="shared" si="23"/>
        <v/>
      </c>
      <c r="I1495" s="29"/>
      <c r="K1495" s="36" t="str">
        <f>IF(ISNUMBER($D1495),IF(YEAR($D1495)=대시보드!$C$2,$D1495+ROW()/100000,""),"")</f>
        <v/>
      </c>
    </row>
    <row r="1496" spans="1:11">
      <c r="A1496" s="33"/>
      <c r="B1496" s="29"/>
      <c r="C1496" s="29"/>
      <c r="D1496" s="30"/>
      <c r="E1496" s="30"/>
      <c r="F1496" s="35"/>
      <c r="G1496" s="35"/>
      <c r="H1496" s="35" t="str">
        <f t="shared" si="23"/>
        <v/>
      </c>
      <c r="I1496" s="29"/>
      <c r="K1496" s="36" t="str">
        <f>IF(ISNUMBER($D1496),IF(YEAR($D1496)=대시보드!$C$2,$D1496+ROW()/100000,""),"")</f>
        <v/>
      </c>
    </row>
    <row r="1497" spans="1:11">
      <c r="A1497" s="33"/>
      <c r="B1497" s="29"/>
      <c r="C1497" s="29"/>
      <c r="D1497" s="30"/>
      <c r="E1497" s="30"/>
      <c r="F1497" s="35"/>
      <c r="G1497" s="35"/>
      <c r="H1497" s="35" t="str">
        <f t="shared" si="23"/>
        <v/>
      </c>
      <c r="I1497" s="29"/>
      <c r="K1497" s="36" t="str">
        <f>IF(ISNUMBER($D1497),IF(YEAR($D1497)=대시보드!$C$2,$D1497+ROW()/100000,""),"")</f>
        <v/>
      </c>
    </row>
    <row r="1498" spans="1:11">
      <c r="A1498" s="33"/>
      <c r="B1498" s="29"/>
      <c r="C1498" s="29"/>
      <c r="D1498" s="30"/>
      <c r="E1498" s="30"/>
      <c r="F1498" s="35"/>
      <c r="G1498" s="35"/>
      <c r="H1498" s="35" t="str">
        <f t="shared" si="23"/>
        <v/>
      </c>
      <c r="I1498" s="29"/>
      <c r="K1498" s="36" t="str">
        <f>IF(ISNUMBER($D1498),IF(YEAR($D1498)=대시보드!$C$2,$D1498+ROW()/100000,""),"")</f>
        <v/>
      </c>
    </row>
    <row r="1499" spans="1:11">
      <c r="A1499" s="33"/>
      <c r="B1499" s="29"/>
      <c r="C1499" s="29"/>
      <c r="D1499" s="30"/>
      <c r="E1499" s="30"/>
      <c r="F1499" s="35"/>
      <c r="G1499" s="35"/>
      <c r="H1499" s="35" t="str">
        <f t="shared" si="23"/>
        <v/>
      </c>
      <c r="I1499" s="29"/>
      <c r="K1499" s="36" t="str">
        <f>IF(ISNUMBER($D1499),IF(YEAR($D1499)=대시보드!$C$2,$D1499+ROW()/100000,""),"")</f>
        <v/>
      </c>
    </row>
    <row r="1500" spans="1:11">
      <c r="A1500" s="33"/>
      <c r="B1500" s="29"/>
      <c r="C1500" s="29"/>
      <c r="D1500" s="30"/>
      <c r="E1500" s="30"/>
      <c r="F1500" s="35"/>
      <c r="G1500" s="35"/>
      <c r="H1500" s="35" t="str">
        <f t="shared" si="23"/>
        <v/>
      </c>
      <c r="I1500" s="29"/>
      <c r="K1500" s="36" t="str">
        <f>IF(ISNUMBER($D1500),IF(YEAR($D1500)=대시보드!$C$2,$D1500+ROW()/100000,""),"")</f>
        <v/>
      </c>
    </row>
    <row r="1501" spans="1:11">
      <c r="A1501" s="33"/>
      <c r="B1501" s="29"/>
      <c r="C1501" s="29"/>
      <c r="D1501" s="30"/>
      <c r="E1501" s="30"/>
      <c r="F1501" s="35"/>
      <c r="G1501" s="35"/>
      <c r="H1501" s="35" t="str">
        <f t="shared" si="23"/>
        <v/>
      </c>
      <c r="I1501" s="29"/>
      <c r="K1501" s="36" t="str">
        <f>IF(ISNUMBER($D1501),IF(YEAR($D1501)=대시보드!$C$2,$D1501+ROW()/100000,""),"")</f>
        <v/>
      </c>
    </row>
    <row r="1502" spans="1:11">
      <c r="A1502" s="33"/>
      <c r="B1502" s="29"/>
      <c r="C1502" s="29"/>
      <c r="D1502" s="30"/>
      <c r="E1502" s="30"/>
      <c r="F1502" s="35"/>
      <c r="G1502" s="35"/>
      <c r="H1502" s="35" t="str">
        <f t="shared" si="23"/>
        <v/>
      </c>
      <c r="I1502" s="29"/>
      <c r="K1502" s="36" t="str">
        <f>IF(ISNUMBER($D1502),IF(YEAR($D1502)=대시보드!$C$2,$D1502+ROW()/100000,""),"")</f>
        <v/>
      </c>
    </row>
    <row r="1503" spans="1:11">
      <c r="A1503" s="33"/>
      <c r="B1503" s="29"/>
      <c r="C1503" s="29"/>
      <c r="D1503" s="30"/>
      <c r="E1503" s="30"/>
      <c r="F1503" s="35"/>
      <c r="G1503" s="35"/>
      <c r="H1503" s="35" t="str">
        <f t="shared" si="23"/>
        <v/>
      </c>
      <c r="I1503" s="29"/>
      <c r="K1503" s="36" t="str">
        <f>IF(ISNUMBER($D1503),IF(YEAR($D1503)=대시보드!$C$2,$D1503+ROW()/100000,""),"")</f>
        <v/>
      </c>
    </row>
    <row r="1504" spans="1:11">
      <c r="A1504" s="33"/>
      <c r="B1504" s="29"/>
      <c r="C1504" s="29"/>
      <c r="D1504" s="30"/>
      <c r="E1504" s="30"/>
      <c r="F1504" s="35"/>
      <c r="G1504" s="35"/>
      <c r="H1504" s="35" t="str">
        <f t="shared" si="23"/>
        <v/>
      </c>
      <c r="I1504" s="29"/>
      <c r="K1504" s="36" t="str">
        <f>IF(ISNUMBER($D1504),IF(YEAR($D1504)=대시보드!$C$2,$D1504+ROW()/100000,""),"")</f>
        <v/>
      </c>
    </row>
    <row r="1505" spans="1:11">
      <c r="A1505" s="33"/>
      <c r="B1505" s="29"/>
      <c r="C1505" s="29"/>
      <c r="D1505" s="30"/>
      <c r="E1505" s="30"/>
      <c r="F1505" s="35"/>
      <c r="G1505" s="35"/>
      <c r="H1505" s="35" t="str">
        <f t="shared" si="23"/>
        <v/>
      </c>
      <c r="I1505" s="29"/>
      <c r="K1505" s="36" t="str">
        <f>IF(ISNUMBER($D1505),IF(YEAR($D1505)=대시보드!$C$2,$D1505+ROW()/100000,""),"")</f>
        <v/>
      </c>
    </row>
    <row r="1506" spans="1:11">
      <c r="A1506" s="33"/>
      <c r="B1506" s="29"/>
      <c r="C1506" s="29"/>
      <c r="D1506" s="30"/>
      <c r="E1506" s="30"/>
      <c r="F1506" s="35"/>
      <c r="G1506" s="35"/>
      <c r="H1506" s="35" t="str">
        <f t="shared" si="23"/>
        <v/>
      </c>
      <c r="I1506" s="29"/>
      <c r="K1506" s="36" t="str">
        <f>IF(ISNUMBER($D1506),IF(YEAR($D1506)=대시보드!$C$2,$D1506+ROW()/100000,""),"")</f>
        <v/>
      </c>
    </row>
    <row r="1507" spans="1:11">
      <c r="A1507" s="33"/>
      <c r="B1507" s="29"/>
      <c r="C1507" s="29"/>
      <c r="D1507" s="30"/>
      <c r="E1507" s="30"/>
      <c r="F1507" s="35"/>
      <c r="G1507" s="35"/>
      <c r="H1507" s="35" t="str">
        <f t="shared" si="23"/>
        <v/>
      </c>
      <c r="I1507" s="29"/>
      <c r="K1507" s="36" t="str">
        <f>IF(ISNUMBER($D1507),IF(YEAR($D1507)=대시보드!$C$2,$D1507+ROW()/100000,""),"")</f>
        <v/>
      </c>
    </row>
    <row r="1508" spans="1:11">
      <c r="A1508" s="33"/>
      <c r="B1508" s="29"/>
      <c r="C1508" s="29"/>
      <c r="D1508" s="30"/>
      <c r="E1508" s="30"/>
      <c r="F1508" s="35"/>
      <c r="G1508" s="35"/>
      <c r="H1508" s="35" t="str">
        <f t="shared" si="23"/>
        <v/>
      </c>
      <c r="I1508" s="29"/>
      <c r="K1508" s="36" t="str">
        <f>IF(ISNUMBER($D1508),IF(YEAR($D1508)=대시보드!$C$2,$D1508+ROW()/100000,""),"")</f>
        <v/>
      </c>
    </row>
    <row r="1509" spans="1:11">
      <c r="A1509" s="33"/>
      <c r="B1509" s="29"/>
      <c r="C1509" s="29"/>
      <c r="D1509" s="30"/>
      <c r="E1509" s="30"/>
      <c r="F1509" s="35"/>
      <c r="G1509" s="35"/>
      <c r="H1509" s="35" t="str">
        <f t="shared" si="23"/>
        <v/>
      </c>
      <c r="I1509" s="29"/>
      <c r="K1509" s="36" t="str">
        <f>IF(ISNUMBER($D1509),IF(YEAR($D1509)=대시보드!$C$2,$D1509+ROW()/100000,""),"")</f>
        <v/>
      </c>
    </row>
    <row r="1510" spans="1:11">
      <c r="A1510" s="33"/>
      <c r="B1510" s="29"/>
      <c r="C1510" s="29"/>
      <c r="D1510" s="30"/>
      <c r="E1510" s="30"/>
      <c r="F1510" s="35"/>
      <c r="G1510" s="35"/>
      <c r="H1510" s="35" t="str">
        <f t="shared" si="23"/>
        <v/>
      </c>
      <c r="I1510" s="29"/>
      <c r="K1510" s="36" t="str">
        <f>IF(ISNUMBER($D1510),IF(YEAR($D1510)=대시보드!$C$2,$D1510+ROW()/100000,""),"")</f>
        <v/>
      </c>
    </row>
    <row r="1511" spans="1:11">
      <c r="A1511" s="33"/>
      <c r="B1511" s="29"/>
      <c r="C1511" s="29"/>
      <c r="D1511" s="30"/>
      <c r="E1511" s="30"/>
      <c r="F1511" s="35"/>
      <c r="G1511" s="35"/>
      <c r="H1511" s="35" t="str">
        <f t="shared" si="23"/>
        <v/>
      </c>
      <c r="I1511" s="29"/>
      <c r="K1511" s="36" t="str">
        <f>IF(ISNUMBER($D1511),IF(YEAR($D1511)=대시보드!$C$2,$D1511+ROW()/100000,""),"")</f>
        <v/>
      </c>
    </row>
    <row r="1512" spans="1:11">
      <c r="A1512" s="33"/>
      <c r="B1512" s="29"/>
      <c r="C1512" s="29"/>
      <c r="D1512" s="30"/>
      <c r="E1512" s="30"/>
      <c r="F1512" s="35"/>
      <c r="G1512" s="35"/>
      <c r="H1512" s="35" t="str">
        <f t="shared" si="23"/>
        <v/>
      </c>
      <c r="I1512" s="29"/>
      <c r="K1512" s="36" t="str">
        <f>IF(ISNUMBER($D1512),IF(YEAR($D1512)=대시보드!$C$2,$D1512+ROW()/100000,""),"")</f>
        <v/>
      </c>
    </row>
    <row r="1513" spans="1:11">
      <c r="A1513" s="33"/>
      <c r="B1513" s="29"/>
      <c r="C1513" s="29"/>
      <c r="D1513" s="30"/>
      <c r="E1513" s="30"/>
      <c r="F1513" s="35"/>
      <c r="G1513" s="35"/>
      <c r="H1513" s="35" t="str">
        <f t="shared" si="23"/>
        <v/>
      </c>
      <c r="I1513" s="29"/>
      <c r="K1513" s="36" t="str">
        <f>IF(ISNUMBER($D1513),IF(YEAR($D1513)=대시보드!$C$2,$D1513+ROW()/100000,""),"")</f>
        <v/>
      </c>
    </row>
    <row r="1514" spans="1:11">
      <c r="A1514" s="33"/>
      <c r="B1514" s="29"/>
      <c r="C1514" s="29"/>
      <c r="D1514" s="30"/>
      <c r="E1514" s="30"/>
      <c r="F1514" s="35"/>
      <c r="G1514" s="35"/>
      <c r="H1514" s="35" t="str">
        <f t="shared" si="23"/>
        <v/>
      </c>
      <c r="I1514" s="29"/>
      <c r="K1514" s="36" t="str">
        <f>IF(ISNUMBER($D1514),IF(YEAR($D1514)=대시보드!$C$2,$D1514+ROW()/100000,""),"")</f>
        <v/>
      </c>
    </row>
    <row r="1515" spans="1:11">
      <c r="A1515" s="33"/>
      <c r="B1515" s="29"/>
      <c r="C1515" s="29"/>
      <c r="D1515" s="30"/>
      <c r="E1515" s="30"/>
      <c r="F1515" s="35"/>
      <c r="G1515" s="35"/>
      <c r="H1515" s="35" t="str">
        <f t="shared" si="23"/>
        <v/>
      </c>
      <c r="I1515" s="29"/>
      <c r="K1515" s="36" t="str">
        <f>IF(ISNUMBER($D1515),IF(YEAR($D1515)=대시보드!$C$2,$D1515+ROW()/100000,""),"")</f>
        <v/>
      </c>
    </row>
    <row r="1516" spans="1:11">
      <c r="A1516" s="33"/>
      <c r="B1516" s="29"/>
      <c r="C1516" s="29"/>
      <c r="D1516" s="30"/>
      <c r="E1516" s="30"/>
      <c r="F1516" s="35"/>
      <c r="G1516" s="35"/>
      <c r="H1516" s="35" t="str">
        <f t="shared" si="23"/>
        <v/>
      </c>
      <c r="I1516" s="29"/>
      <c r="K1516" s="36" t="str">
        <f>IF(ISNUMBER($D1516),IF(YEAR($D1516)=대시보드!$C$2,$D1516+ROW()/100000,""),"")</f>
        <v/>
      </c>
    </row>
    <row r="1517" spans="1:11">
      <c r="A1517" s="33"/>
      <c r="B1517" s="29"/>
      <c r="C1517" s="29"/>
      <c r="D1517" s="30"/>
      <c r="E1517" s="30"/>
      <c r="F1517" s="35"/>
      <c r="G1517" s="35"/>
      <c r="H1517" s="35" t="str">
        <f t="shared" si="23"/>
        <v/>
      </c>
      <c r="I1517" s="29"/>
      <c r="K1517" s="36" t="str">
        <f>IF(ISNUMBER($D1517),IF(YEAR($D1517)=대시보드!$C$2,$D1517+ROW()/100000,""),"")</f>
        <v/>
      </c>
    </row>
    <row r="1518" spans="1:11">
      <c r="A1518" s="33"/>
      <c r="B1518" s="29"/>
      <c r="C1518" s="29"/>
      <c r="D1518" s="30"/>
      <c r="E1518" s="30"/>
      <c r="F1518" s="35"/>
      <c r="G1518" s="35"/>
      <c r="H1518" s="35" t="str">
        <f t="shared" si="23"/>
        <v/>
      </c>
      <c r="I1518" s="29"/>
      <c r="K1518" s="36" t="str">
        <f>IF(ISNUMBER($D1518),IF(YEAR($D1518)=대시보드!$C$2,$D1518+ROW()/100000,""),"")</f>
        <v/>
      </c>
    </row>
    <row r="1519" spans="1:11">
      <c r="A1519" s="33"/>
      <c r="B1519" s="29"/>
      <c r="C1519" s="29"/>
      <c r="D1519" s="30"/>
      <c r="E1519" s="30"/>
      <c r="F1519" s="35"/>
      <c r="G1519" s="35"/>
      <c r="H1519" s="35" t="str">
        <f t="shared" si="23"/>
        <v/>
      </c>
      <c r="I1519" s="29"/>
      <c r="K1519" s="36" t="str">
        <f>IF(ISNUMBER($D1519),IF(YEAR($D1519)=대시보드!$C$2,$D1519+ROW()/100000,""),"")</f>
        <v/>
      </c>
    </row>
    <row r="1520" spans="1:11">
      <c r="A1520" s="33"/>
      <c r="B1520" s="29"/>
      <c r="C1520" s="29"/>
      <c r="D1520" s="30"/>
      <c r="E1520" s="30"/>
      <c r="F1520" s="35"/>
      <c r="G1520" s="35"/>
      <c r="H1520" s="35" t="str">
        <f t="shared" si="23"/>
        <v/>
      </c>
      <c r="I1520" s="29"/>
      <c r="K1520" s="36" t="str">
        <f>IF(ISNUMBER($D1520),IF(YEAR($D1520)=대시보드!$C$2,$D1520+ROW()/100000,""),"")</f>
        <v/>
      </c>
    </row>
    <row r="1521" spans="1:11">
      <c r="A1521" s="33"/>
      <c r="B1521" s="29"/>
      <c r="C1521" s="29"/>
      <c r="D1521" s="30"/>
      <c r="E1521" s="30"/>
      <c r="F1521" s="35"/>
      <c r="G1521" s="35"/>
      <c r="H1521" s="35" t="str">
        <f t="shared" si="23"/>
        <v/>
      </c>
      <c r="I1521" s="29"/>
      <c r="K1521" s="36" t="str">
        <f>IF(ISNUMBER($D1521),IF(YEAR($D1521)=대시보드!$C$2,$D1521+ROW()/100000,""),"")</f>
        <v/>
      </c>
    </row>
    <row r="1522" spans="1:11">
      <c r="A1522" s="33"/>
      <c r="B1522" s="29"/>
      <c r="C1522" s="29"/>
      <c r="D1522" s="30"/>
      <c r="E1522" s="30"/>
      <c r="F1522" s="35"/>
      <c r="G1522" s="35"/>
      <c r="H1522" s="35" t="str">
        <f t="shared" si="23"/>
        <v/>
      </c>
      <c r="I1522" s="29"/>
      <c r="K1522" s="36" t="str">
        <f>IF(ISNUMBER($D1522),IF(YEAR($D1522)=대시보드!$C$2,$D1522+ROW()/100000,""),"")</f>
        <v/>
      </c>
    </row>
    <row r="1523" spans="1:11">
      <c r="A1523" s="33"/>
      <c r="B1523" s="29"/>
      <c r="C1523" s="29"/>
      <c r="D1523" s="30"/>
      <c r="E1523" s="30"/>
      <c r="F1523" s="35"/>
      <c r="G1523" s="35"/>
      <c r="H1523" s="35" t="str">
        <f t="shared" si="23"/>
        <v/>
      </c>
      <c r="I1523" s="29"/>
      <c r="K1523" s="36" t="str">
        <f>IF(ISNUMBER($D1523),IF(YEAR($D1523)=대시보드!$C$2,$D1523+ROW()/100000,""),"")</f>
        <v/>
      </c>
    </row>
    <row r="1524" spans="1:11">
      <c r="A1524" s="33"/>
      <c r="B1524" s="29"/>
      <c r="C1524" s="29"/>
      <c r="D1524" s="30"/>
      <c r="E1524" s="30"/>
      <c r="F1524" s="35"/>
      <c r="G1524" s="35"/>
      <c r="H1524" s="35" t="str">
        <f t="shared" si="23"/>
        <v/>
      </c>
      <c r="I1524" s="29"/>
      <c r="K1524" s="36" t="str">
        <f>IF(ISNUMBER($D1524),IF(YEAR($D1524)=대시보드!$C$2,$D1524+ROW()/100000,""),"")</f>
        <v/>
      </c>
    </row>
    <row r="1525" spans="1:11">
      <c r="A1525" s="33"/>
      <c r="B1525" s="29"/>
      <c r="C1525" s="29"/>
      <c r="D1525" s="30"/>
      <c r="E1525" s="30"/>
      <c r="F1525" s="35"/>
      <c r="G1525" s="35"/>
      <c r="H1525" s="35" t="str">
        <f t="shared" si="23"/>
        <v/>
      </c>
      <c r="I1525" s="29"/>
      <c r="K1525" s="36" t="str">
        <f>IF(ISNUMBER($D1525),IF(YEAR($D1525)=대시보드!$C$2,$D1525+ROW()/100000,""),"")</f>
        <v/>
      </c>
    </row>
    <row r="1526" spans="1:11">
      <c r="A1526" s="33"/>
      <c r="B1526" s="29"/>
      <c r="C1526" s="29"/>
      <c r="D1526" s="30"/>
      <c r="E1526" s="30"/>
      <c r="F1526" s="35"/>
      <c r="G1526" s="35"/>
      <c r="H1526" s="35" t="str">
        <f t="shared" si="23"/>
        <v/>
      </c>
      <c r="I1526" s="29"/>
      <c r="K1526" s="36" t="str">
        <f>IF(ISNUMBER($D1526),IF(YEAR($D1526)=대시보드!$C$2,$D1526+ROW()/100000,""),"")</f>
        <v/>
      </c>
    </row>
    <row r="1527" spans="1:11">
      <c r="A1527" s="33"/>
      <c r="B1527" s="29"/>
      <c r="C1527" s="29"/>
      <c r="D1527" s="30"/>
      <c r="E1527" s="30"/>
      <c r="F1527" s="35"/>
      <c r="G1527" s="35"/>
      <c r="H1527" s="35" t="str">
        <f t="shared" si="23"/>
        <v/>
      </c>
      <c r="I1527" s="29"/>
      <c r="K1527" s="36" t="str">
        <f>IF(ISNUMBER($D1527),IF(YEAR($D1527)=대시보드!$C$2,$D1527+ROW()/100000,""),"")</f>
        <v/>
      </c>
    </row>
    <row r="1528" spans="1:11">
      <c r="A1528" s="33"/>
      <c r="B1528" s="29"/>
      <c r="C1528" s="29"/>
      <c r="D1528" s="30"/>
      <c r="E1528" s="30"/>
      <c r="F1528" s="35"/>
      <c r="G1528" s="35"/>
      <c r="H1528" s="35" t="str">
        <f t="shared" si="23"/>
        <v/>
      </c>
      <c r="I1528" s="29"/>
      <c r="K1528" s="36" t="str">
        <f>IF(ISNUMBER($D1528),IF(YEAR($D1528)=대시보드!$C$2,$D1528+ROW()/100000,""),"")</f>
        <v/>
      </c>
    </row>
    <row r="1529" spans="1:11">
      <c r="A1529" s="33"/>
      <c r="B1529" s="29"/>
      <c r="C1529" s="29"/>
      <c r="D1529" s="30"/>
      <c r="E1529" s="30"/>
      <c r="F1529" s="35"/>
      <c r="G1529" s="35"/>
      <c r="H1529" s="35" t="str">
        <f t="shared" si="23"/>
        <v/>
      </c>
      <c r="I1529" s="29"/>
      <c r="K1529" s="36" t="str">
        <f>IF(ISNUMBER($D1529),IF(YEAR($D1529)=대시보드!$C$2,$D1529+ROW()/100000,""),"")</f>
        <v/>
      </c>
    </row>
    <row r="1530" spans="1:11">
      <c r="A1530" s="33"/>
      <c r="B1530" s="29"/>
      <c r="C1530" s="29"/>
      <c r="D1530" s="30"/>
      <c r="E1530" s="30"/>
      <c r="F1530" s="35"/>
      <c r="G1530" s="35"/>
      <c r="H1530" s="35" t="str">
        <f t="shared" si="23"/>
        <v/>
      </c>
      <c r="I1530" s="29"/>
      <c r="K1530" s="36" t="str">
        <f>IF(ISNUMBER($D1530),IF(YEAR($D1530)=대시보드!$C$2,$D1530+ROW()/100000,""),"")</f>
        <v/>
      </c>
    </row>
    <row r="1531" spans="1:11">
      <c r="A1531" s="33"/>
      <c r="B1531" s="29"/>
      <c r="C1531" s="29"/>
      <c r="D1531" s="30"/>
      <c r="E1531" s="30"/>
      <c r="F1531" s="35"/>
      <c r="G1531" s="35"/>
      <c r="H1531" s="35" t="str">
        <f t="shared" si="23"/>
        <v/>
      </c>
      <c r="I1531" s="29"/>
      <c r="K1531" s="36" t="str">
        <f>IF(ISNUMBER($D1531),IF(YEAR($D1531)=대시보드!$C$2,$D1531+ROW()/100000,""),"")</f>
        <v/>
      </c>
    </row>
    <row r="1532" spans="1:11">
      <c r="A1532" s="33"/>
      <c r="B1532" s="29"/>
      <c r="C1532" s="29"/>
      <c r="D1532" s="30"/>
      <c r="E1532" s="30"/>
      <c r="F1532" s="35"/>
      <c r="G1532" s="35"/>
      <c r="H1532" s="35" t="str">
        <f t="shared" si="23"/>
        <v/>
      </c>
      <c r="I1532" s="29"/>
      <c r="K1532" s="36" t="str">
        <f>IF(ISNUMBER($D1532),IF(YEAR($D1532)=대시보드!$C$2,$D1532+ROW()/100000,""),"")</f>
        <v/>
      </c>
    </row>
    <row r="1533" spans="1:11">
      <c r="A1533" s="33"/>
      <c r="B1533" s="29"/>
      <c r="C1533" s="29"/>
      <c r="D1533" s="30"/>
      <c r="E1533" s="30"/>
      <c r="F1533" s="35"/>
      <c r="G1533" s="35"/>
      <c r="H1533" s="35" t="str">
        <f t="shared" si="23"/>
        <v/>
      </c>
      <c r="I1533" s="29"/>
      <c r="K1533" s="36" t="str">
        <f>IF(ISNUMBER($D1533),IF(YEAR($D1533)=대시보드!$C$2,$D1533+ROW()/100000,""),"")</f>
        <v/>
      </c>
    </row>
    <row r="1534" spans="1:11">
      <c r="A1534" s="33"/>
      <c r="B1534" s="29"/>
      <c r="C1534" s="29"/>
      <c r="D1534" s="30"/>
      <c r="E1534" s="30"/>
      <c r="F1534" s="35"/>
      <c r="G1534" s="35"/>
      <c r="H1534" s="35" t="str">
        <f t="shared" si="23"/>
        <v/>
      </c>
      <c r="I1534" s="29"/>
      <c r="K1534" s="36" t="str">
        <f>IF(ISNUMBER($D1534),IF(YEAR($D1534)=대시보드!$C$2,$D1534+ROW()/100000,""),"")</f>
        <v/>
      </c>
    </row>
    <row r="1535" spans="1:11">
      <c r="A1535" s="33"/>
      <c r="B1535" s="29"/>
      <c r="C1535" s="29"/>
      <c r="D1535" s="30"/>
      <c r="E1535" s="30"/>
      <c r="F1535" s="35"/>
      <c r="G1535" s="35"/>
      <c r="H1535" s="35" t="str">
        <f t="shared" si="23"/>
        <v/>
      </c>
      <c r="I1535" s="29"/>
      <c r="K1535" s="36" t="str">
        <f>IF(ISNUMBER($D1535),IF(YEAR($D1535)=대시보드!$C$2,$D1535+ROW()/100000,""),"")</f>
        <v/>
      </c>
    </row>
    <row r="1536" spans="1:11">
      <c r="A1536" s="33"/>
      <c r="B1536" s="29"/>
      <c r="C1536" s="29"/>
      <c r="D1536" s="30"/>
      <c r="E1536" s="30"/>
      <c r="F1536" s="35"/>
      <c r="G1536" s="35"/>
      <c r="H1536" s="35" t="str">
        <f t="shared" si="23"/>
        <v/>
      </c>
      <c r="I1536" s="29"/>
      <c r="K1536" s="36" t="str">
        <f>IF(ISNUMBER($D1536),IF(YEAR($D1536)=대시보드!$C$2,$D1536+ROW()/100000,""),"")</f>
        <v/>
      </c>
    </row>
    <row r="1537" spans="1:11">
      <c r="A1537" s="33"/>
      <c r="B1537" s="29"/>
      <c r="C1537" s="29"/>
      <c r="D1537" s="30"/>
      <c r="E1537" s="30"/>
      <c r="F1537" s="35"/>
      <c r="G1537" s="35"/>
      <c r="H1537" s="35" t="str">
        <f t="shared" si="23"/>
        <v/>
      </c>
      <c r="I1537" s="29"/>
      <c r="K1537" s="36" t="str">
        <f>IF(ISNUMBER($D1537),IF(YEAR($D1537)=대시보드!$C$2,$D1537+ROW()/100000,""),"")</f>
        <v/>
      </c>
    </row>
    <row r="1538" spans="1:11">
      <c r="A1538" s="33"/>
      <c r="B1538" s="29"/>
      <c r="C1538" s="29"/>
      <c r="D1538" s="30"/>
      <c r="E1538" s="30"/>
      <c r="F1538" s="35"/>
      <c r="G1538" s="35"/>
      <c r="H1538" s="35" t="str">
        <f t="shared" si="23"/>
        <v/>
      </c>
      <c r="I1538" s="29"/>
      <c r="K1538" s="36" t="str">
        <f>IF(ISNUMBER($D1538),IF(YEAR($D1538)=대시보드!$C$2,$D1538+ROW()/100000,""),"")</f>
        <v/>
      </c>
    </row>
    <row r="1539" spans="1:11">
      <c r="A1539" s="33"/>
      <c r="B1539" s="29"/>
      <c r="C1539" s="29"/>
      <c r="D1539" s="30"/>
      <c r="E1539" s="30"/>
      <c r="F1539" s="35"/>
      <c r="G1539" s="35"/>
      <c r="H1539" s="35" t="str">
        <f t="shared" si="23"/>
        <v/>
      </c>
      <c r="I1539" s="29"/>
      <c r="K1539" s="36" t="str">
        <f>IF(ISNUMBER($D1539),IF(YEAR($D1539)=대시보드!$C$2,$D1539+ROW()/100000,""),"")</f>
        <v/>
      </c>
    </row>
    <row r="1540" spans="1:11">
      <c r="A1540" s="33"/>
      <c r="B1540" s="29"/>
      <c r="C1540" s="29"/>
      <c r="D1540" s="30"/>
      <c r="E1540" s="30"/>
      <c r="F1540" s="35"/>
      <c r="G1540" s="35"/>
      <c r="H1540" s="35" t="str">
        <f t="shared" ref="H1540:H1603" si="24">IF(F1540="","",F1540-G1540)</f>
        <v/>
      </c>
      <c r="I1540" s="29"/>
      <c r="K1540" s="36" t="str">
        <f>IF(ISNUMBER($D1540),IF(YEAR($D1540)=대시보드!$C$2,$D1540+ROW()/100000,""),"")</f>
        <v/>
      </c>
    </row>
    <row r="1541" spans="1:11">
      <c r="A1541" s="33"/>
      <c r="B1541" s="29"/>
      <c r="C1541" s="29"/>
      <c r="D1541" s="30"/>
      <c r="E1541" s="30"/>
      <c r="F1541" s="35"/>
      <c r="G1541" s="35"/>
      <c r="H1541" s="35" t="str">
        <f t="shared" si="24"/>
        <v/>
      </c>
      <c r="I1541" s="29"/>
      <c r="K1541" s="36" t="str">
        <f>IF(ISNUMBER($D1541),IF(YEAR($D1541)=대시보드!$C$2,$D1541+ROW()/100000,""),"")</f>
        <v/>
      </c>
    </row>
    <row r="1542" spans="1:11">
      <c r="A1542" s="33"/>
      <c r="B1542" s="29"/>
      <c r="C1542" s="29"/>
      <c r="D1542" s="30"/>
      <c r="E1542" s="30"/>
      <c r="F1542" s="35"/>
      <c r="G1542" s="35"/>
      <c r="H1542" s="35" t="str">
        <f t="shared" si="24"/>
        <v/>
      </c>
      <c r="I1542" s="29"/>
      <c r="K1542" s="36" t="str">
        <f>IF(ISNUMBER($D1542),IF(YEAR($D1542)=대시보드!$C$2,$D1542+ROW()/100000,""),"")</f>
        <v/>
      </c>
    </row>
    <row r="1543" spans="1:11">
      <c r="A1543" s="33"/>
      <c r="B1543" s="29"/>
      <c r="C1543" s="29"/>
      <c r="D1543" s="30"/>
      <c r="E1543" s="30"/>
      <c r="F1543" s="35"/>
      <c r="G1543" s="35"/>
      <c r="H1543" s="35" t="str">
        <f t="shared" si="24"/>
        <v/>
      </c>
      <c r="I1543" s="29"/>
      <c r="K1543" s="36" t="str">
        <f>IF(ISNUMBER($D1543),IF(YEAR($D1543)=대시보드!$C$2,$D1543+ROW()/100000,""),"")</f>
        <v/>
      </c>
    </row>
    <row r="1544" spans="1:11">
      <c r="A1544" s="33"/>
      <c r="B1544" s="29"/>
      <c r="C1544" s="29"/>
      <c r="D1544" s="30"/>
      <c r="E1544" s="30"/>
      <c r="F1544" s="35"/>
      <c r="G1544" s="35"/>
      <c r="H1544" s="35" t="str">
        <f t="shared" si="24"/>
        <v/>
      </c>
      <c r="I1544" s="29"/>
      <c r="K1544" s="36" t="str">
        <f>IF(ISNUMBER($D1544),IF(YEAR($D1544)=대시보드!$C$2,$D1544+ROW()/100000,""),"")</f>
        <v/>
      </c>
    </row>
    <row r="1545" spans="1:11">
      <c r="A1545" s="33"/>
      <c r="B1545" s="29"/>
      <c r="C1545" s="29"/>
      <c r="D1545" s="30"/>
      <c r="E1545" s="30"/>
      <c r="F1545" s="35"/>
      <c r="G1545" s="35"/>
      <c r="H1545" s="35" t="str">
        <f t="shared" si="24"/>
        <v/>
      </c>
      <c r="I1545" s="29"/>
      <c r="K1545" s="36" t="str">
        <f>IF(ISNUMBER($D1545),IF(YEAR($D1545)=대시보드!$C$2,$D1545+ROW()/100000,""),"")</f>
        <v/>
      </c>
    </row>
    <row r="1546" spans="1:11">
      <c r="A1546" s="33"/>
      <c r="B1546" s="29"/>
      <c r="C1546" s="29"/>
      <c r="D1546" s="30"/>
      <c r="E1546" s="30"/>
      <c r="F1546" s="35"/>
      <c r="G1546" s="35"/>
      <c r="H1546" s="35" t="str">
        <f t="shared" si="24"/>
        <v/>
      </c>
      <c r="I1546" s="29"/>
      <c r="K1546" s="36" t="str">
        <f>IF(ISNUMBER($D1546),IF(YEAR($D1546)=대시보드!$C$2,$D1546+ROW()/100000,""),"")</f>
        <v/>
      </c>
    </row>
    <row r="1547" spans="1:11">
      <c r="A1547" s="33"/>
      <c r="B1547" s="29"/>
      <c r="C1547" s="29"/>
      <c r="D1547" s="30"/>
      <c r="E1547" s="30"/>
      <c r="F1547" s="35"/>
      <c r="G1547" s="35"/>
      <c r="H1547" s="35" t="str">
        <f t="shared" si="24"/>
        <v/>
      </c>
      <c r="I1547" s="29"/>
      <c r="K1547" s="36" t="str">
        <f>IF(ISNUMBER($D1547),IF(YEAR($D1547)=대시보드!$C$2,$D1547+ROW()/100000,""),"")</f>
        <v/>
      </c>
    </row>
    <row r="1548" spans="1:11">
      <c r="A1548" s="33"/>
      <c r="B1548" s="29"/>
      <c r="C1548" s="29"/>
      <c r="D1548" s="30"/>
      <c r="E1548" s="30"/>
      <c r="F1548" s="35"/>
      <c r="G1548" s="35"/>
      <c r="H1548" s="35" t="str">
        <f t="shared" si="24"/>
        <v/>
      </c>
      <c r="I1548" s="29"/>
      <c r="K1548" s="36" t="str">
        <f>IF(ISNUMBER($D1548),IF(YEAR($D1548)=대시보드!$C$2,$D1548+ROW()/100000,""),"")</f>
        <v/>
      </c>
    </row>
    <row r="1549" spans="1:11">
      <c r="A1549" s="33"/>
      <c r="B1549" s="29"/>
      <c r="C1549" s="29"/>
      <c r="D1549" s="30"/>
      <c r="E1549" s="30"/>
      <c r="F1549" s="35"/>
      <c r="G1549" s="35"/>
      <c r="H1549" s="35" t="str">
        <f t="shared" si="24"/>
        <v/>
      </c>
      <c r="I1549" s="29"/>
      <c r="K1549" s="36" t="str">
        <f>IF(ISNUMBER($D1549),IF(YEAR($D1549)=대시보드!$C$2,$D1549+ROW()/100000,""),"")</f>
        <v/>
      </c>
    </row>
    <row r="1550" spans="1:11">
      <c r="A1550" s="33"/>
      <c r="B1550" s="29"/>
      <c r="C1550" s="29"/>
      <c r="D1550" s="30"/>
      <c r="E1550" s="30"/>
      <c r="F1550" s="35"/>
      <c r="G1550" s="35"/>
      <c r="H1550" s="35" t="str">
        <f t="shared" si="24"/>
        <v/>
      </c>
      <c r="I1550" s="29"/>
      <c r="K1550" s="36" t="str">
        <f>IF(ISNUMBER($D1550),IF(YEAR($D1550)=대시보드!$C$2,$D1550+ROW()/100000,""),"")</f>
        <v/>
      </c>
    </row>
    <row r="1551" spans="1:11">
      <c r="A1551" s="33"/>
      <c r="B1551" s="29"/>
      <c r="C1551" s="29"/>
      <c r="D1551" s="30"/>
      <c r="E1551" s="30"/>
      <c r="F1551" s="35"/>
      <c r="G1551" s="35"/>
      <c r="H1551" s="35" t="str">
        <f t="shared" si="24"/>
        <v/>
      </c>
      <c r="I1551" s="29"/>
      <c r="K1551" s="36" t="str">
        <f>IF(ISNUMBER($D1551),IF(YEAR($D1551)=대시보드!$C$2,$D1551+ROW()/100000,""),"")</f>
        <v/>
      </c>
    </row>
    <row r="1552" spans="1:11">
      <c r="A1552" s="33"/>
      <c r="B1552" s="29"/>
      <c r="C1552" s="29"/>
      <c r="D1552" s="30"/>
      <c r="E1552" s="30"/>
      <c r="F1552" s="35"/>
      <c r="G1552" s="35"/>
      <c r="H1552" s="35" t="str">
        <f t="shared" si="24"/>
        <v/>
      </c>
      <c r="I1552" s="29"/>
      <c r="K1552" s="36" t="str">
        <f>IF(ISNUMBER($D1552),IF(YEAR($D1552)=대시보드!$C$2,$D1552+ROW()/100000,""),"")</f>
        <v/>
      </c>
    </row>
    <row r="1553" spans="1:11">
      <c r="A1553" s="33"/>
      <c r="B1553" s="29"/>
      <c r="C1553" s="29"/>
      <c r="D1553" s="30"/>
      <c r="E1553" s="30"/>
      <c r="F1553" s="35"/>
      <c r="G1553" s="35"/>
      <c r="H1553" s="35" t="str">
        <f t="shared" si="24"/>
        <v/>
      </c>
      <c r="I1553" s="29"/>
      <c r="K1553" s="36" t="str">
        <f>IF(ISNUMBER($D1553),IF(YEAR($D1553)=대시보드!$C$2,$D1553+ROW()/100000,""),"")</f>
        <v/>
      </c>
    </row>
    <row r="1554" spans="1:11">
      <c r="A1554" s="33"/>
      <c r="B1554" s="29"/>
      <c r="C1554" s="29"/>
      <c r="D1554" s="30"/>
      <c r="E1554" s="30"/>
      <c r="F1554" s="35"/>
      <c r="G1554" s="35"/>
      <c r="H1554" s="35" t="str">
        <f t="shared" si="24"/>
        <v/>
      </c>
      <c r="I1554" s="29"/>
      <c r="K1554" s="36" t="str">
        <f>IF(ISNUMBER($D1554),IF(YEAR($D1554)=대시보드!$C$2,$D1554+ROW()/100000,""),"")</f>
        <v/>
      </c>
    </row>
    <row r="1555" spans="1:11">
      <c r="A1555" s="33"/>
      <c r="B1555" s="29"/>
      <c r="C1555" s="29"/>
      <c r="D1555" s="30"/>
      <c r="E1555" s="30"/>
      <c r="F1555" s="35"/>
      <c r="G1555" s="35"/>
      <c r="H1555" s="35" t="str">
        <f t="shared" si="24"/>
        <v/>
      </c>
      <c r="I1555" s="29"/>
      <c r="K1555" s="36" t="str">
        <f>IF(ISNUMBER($D1555),IF(YEAR($D1555)=대시보드!$C$2,$D1555+ROW()/100000,""),"")</f>
        <v/>
      </c>
    </row>
    <row r="1556" spans="1:11">
      <c r="A1556" s="33"/>
      <c r="B1556" s="29"/>
      <c r="C1556" s="29"/>
      <c r="D1556" s="30"/>
      <c r="E1556" s="30"/>
      <c r="F1556" s="35"/>
      <c r="G1556" s="35"/>
      <c r="H1556" s="35" t="str">
        <f t="shared" si="24"/>
        <v/>
      </c>
      <c r="I1556" s="29"/>
      <c r="K1556" s="36" t="str">
        <f>IF(ISNUMBER($D1556),IF(YEAR($D1556)=대시보드!$C$2,$D1556+ROW()/100000,""),"")</f>
        <v/>
      </c>
    </row>
    <row r="1557" spans="1:11">
      <c r="A1557" s="33"/>
      <c r="B1557" s="29"/>
      <c r="C1557" s="29"/>
      <c r="D1557" s="30"/>
      <c r="E1557" s="30"/>
      <c r="F1557" s="35"/>
      <c r="G1557" s="35"/>
      <c r="H1557" s="35" t="str">
        <f t="shared" si="24"/>
        <v/>
      </c>
      <c r="I1557" s="29"/>
      <c r="K1557" s="36" t="str">
        <f>IF(ISNUMBER($D1557),IF(YEAR($D1557)=대시보드!$C$2,$D1557+ROW()/100000,""),"")</f>
        <v/>
      </c>
    </row>
    <row r="1558" spans="1:11">
      <c r="A1558" s="33"/>
      <c r="B1558" s="29"/>
      <c r="C1558" s="29"/>
      <c r="D1558" s="30"/>
      <c r="E1558" s="30"/>
      <c r="F1558" s="35"/>
      <c r="G1558" s="35"/>
      <c r="H1558" s="35" t="str">
        <f t="shared" si="24"/>
        <v/>
      </c>
      <c r="I1558" s="29"/>
      <c r="K1558" s="36" t="str">
        <f>IF(ISNUMBER($D1558),IF(YEAR($D1558)=대시보드!$C$2,$D1558+ROW()/100000,""),"")</f>
        <v/>
      </c>
    </row>
    <row r="1559" spans="1:11">
      <c r="A1559" s="33"/>
      <c r="B1559" s="29"/>
      <c r="C1559" s="29"/>
      <c r="D1559" s="30"/>
      <c r="E1559" s="30"/>
      <c r="F1559" s="35"/>
      <c r="G1559" s="35"/>
      <c r="H1559" s="35" t="str">
        <f t="shared" si="24"/>
        <v/>
      </c>
      <c r="I1559" s="29"/>
      <c r="K1559" s="36" t="str">
        <f>IF(ISNUMBER($D1559),IF(YEAR($D1559)=대시보드!$C$2,$D1559+ROW()/100000,""),"")</f>
        <v/>
      </c>
    </row>
    <row r="1560" spans="1:11">
      <c r="A1560" s="33"/>
      <c r="B1560" s="29"/>
      <c r="C1560" s="29"/>
      <c r="D1560" s="30"/>
      <c r="E1560" s="30"/>
      <c r="F1560" s="35"/>
      <c r="G1560" s="35"/>
      <c r="H1560" s="35" t="str">
        <f t="shared" si="24"/>
        <v/>
      </c>
      <c r="I1560" s="29"/>
      <c r="K1560" s="36" t="str">
        <f>IF(ISNUMBER($D1560),IF(YEAR($D1560)=대시보드!$C$2,$D1560+ROW()/100000,""),"")</f>
        <v/>
      </c>
    </row>
    <row r="1561" spans="1:11">
      <c r="A1561" s="33"/>
      <c r="B1561" s="29"/>
      <c r="C1561" s="29"/>
      <c r="D1561" s="30"/>
      <c r="E1561" s="30"/>
      <c r="F1561" s="35"/>
      <c r="G1561" s="35"/>
      <c r="H1561" s="35" t="str">
        <f t="shared" si="24"/>
        <v/>
      </c>
      <c r="I1561" s="29"/>
      <c r="K1561" s="36" t="str">
        <f>IF(ISNUMBER($D1561),IF(YEAR($D1561)=대시보드!$C$2,$D1561+ROW()/100000,""),"")</f>
        <v/>
      </c>
    </row>
    <row r="1562" spans="1:11">
      <c r="A1562" s="33"/>
      <c r="B1562" s="29"/>
      <c r="C1562" s="29"/>
      <c r="D1562" s="30"/>
      <c r="E1562" s="30"/>
      <c r="F1562" s="35"/>
      <c r="G1562" s="35"/>
      <c r="H1562" s="35" t="str">
        <f t="shared" si="24"/>
        <v/>
      </c>
      <c r="I1562" s="29"/>
      <c r="K1562" s="36" t="str">
        <f>IF(ISNUMBER($D1562),IF(YEAR($D1562)=대시보드!$C$2,$D1562+ROW()/100000,""),"")</f>
        <v/>
      </c>
    </row>
    <row r="1563" spans="1:11">
      <c r="A1563" s="33"/>
      <c r="B1563" s="29"/>
      <c r="C1563" s="29"/>
      <c r="D1563" s="30"/>
      <c r="E1563" s="30"/>
      <c r="F1563" s="35"/>
      <c r="G1563" s="35"/>
      <c r="H1563" s="35" t="str">
        <f t="shared" si="24"/>
        <v/>
      </c>
      <c r="I1563" s="29"/>
      <c r="K1563" s="36" t="str">
        <f>IF(ISNUMBER($D1563),IF(YEAR($D1563)=대시보드!$C$2,$D1563+ROW()/100000,""),"")</f>
        <v/>
      </c>
    </row>
    <row r="1564" spans="1:11">
      <c r="A1564" s="33"/>
      <c r="B1564" s="29"/>
      <c r="C1564" s="29"/>
      <c r="D1564" s="30"/>
      <c r="E1564" s="30"/>
      <c r="F1564" s="35"/>
      <c r="G1564" s="35"/>
      <c r="H1564" s="35" t="str">
        <f t="shared" si="24"/>
        <v/>
      </c>
      <c r="I1564" s="29"/>
      <c r="K1564" s="36" t="str">
        <f>IF(ISNUMBER($D1564),IF(YEAR($D1564)=대시보드!$C$2,$D1564+ROW()/100000,""),"")</f>
        <v/>
      </c>
    </row>
    <row r="1565" spans="1:11">
      <c r="A1565" s="33"/>
      <c r="B1565" s="29"/>
      <c r="C1565" s="29"/>
      <c r="D1565" s="30"/>
      <c r="E1565" s="30"/>
      <c r="F1565" s="35"/>
      <c r="G1565" s="35"/>
      <c r="H1565" s="35" t="str">
        <f t="shared" si="24"/>
        <v/>
      </c>
      <c r="I1565" s="29"/>
      <c r="K1565" s="36" t="str">
        <f>IF(ISNUMBER($D1565),IF(YEAR($D1565)=대시보드!$C$2,$D1565+ROW()/100000,""),"")</f>
        <v/>
      </c>
    </row>
    <row r="1566" spans="1:11">
      <c r="A1566" s="33"/>
      <c r="B1566" s="29"/>
      <c r="C1566" s="29"/>
      <c r="D1566" s="30"/>
      <c r="E1566" s="30"/>
      <c r="F1566" s="35"/>
      <c r="G1566" s="35"/>
      <c r="H1566" s="35" t="str">
        <f t="shared" si="24"/>
        <v/>
      </c>
      <c r="I1566" s="29"/>
      <c r="K1566" s="36" t="str">
        <f>IF(ISNUMBER($D1566),IF(YEAR($D1566)=대시보드!$C$2,$D1566+ROW()/100000,""),"")</f>
        <v/>
      </c>
    </row>
    <row r="1567" spans="1:11">
      <c r="A1567" s="33"/>
      <c r="B1567" s="29"/>
      <c r="C1567" s="29"/>
      <c r="D1567" s="30"/>
      <c r="E1567" s="30"/>
      <c r="F1567" s="35"/>
      <c r="G1567" s="35"/>
      <c r="H1567" s="35" t="str">
        <f t="shared" si="24"/>
        <v/>
      </c>
      <c r="I1567" s="29"/>
      <c r="K1567" s="36" t="str">
        <f>IF(ISNUMBER($D1567),IF(YEAR($D1567)=대시보드!$C$2,$D1567+ROW()/100000,""),"")</f>
        <v/>
      </c>
    </row>
    <row r="1568" spans="1:11">
      <c r="A1568" s="33"/>
      <c r="B1568" s="29"/>
      <c r="C1568" s="29"/>
      <c r="D1568" s="30"/>
      <c r="E1568" s="30"/>
      <c r="F1568" s="35"/>
      <c r="G1568" s="35"/>
      <c r="H1568" s="35" t="str">
        <f t="shared" si="24"/>
        <v/>
      </c>
      <c r="I1568" s="29"/>
      <c r="K1568" s="36" t="str">
        <f>IF(ISNUMBER($D1568),IF(YEAR($D1568)=대시보드!$C$2,$D1568+ROW()/100000,""),"")</f>
        <v/>
      </c>
    </row>
    <row r="1569" spans="1:11">
      <c r="A1569" s="33"/>
      <c r="B1569" s="29"/>
      <c r="C1569" s="29"/>
      <c r="D1569" s="30"/>
      <c r="E1569" s="30"/>
      <c r="F1569" s="35"/>
      <c r="G1569" s="35"/>
      <c r="H1569" s="35" t="str">
        <f t="shared" si="24"/>
        <v/>
      </c>
      <c r="I1569" s="29"/>
      <c r="K1569" s="36" t="str">
        <f>IF(ISNUMBER($D1569),IF(YEAR($D1569)=대시보드!$C$2,$D1569+ROW()/100000,""),"")</f>
        <v/>
      </c>
    </row>
    <row r="1570" spans="1:11">
      <c r="A1570" s="33"/>
      <c r="B1570" s="29"/>
      <c r="C1570" s="29"/>
      <c r="D1570" s="30"/>
      <c r="E1570" s="30"/>
      <c r="F1570" s="35"/>
      <c r="G1570" s="35"/>
      <c r="H1570" s="35" t="str">
        <f t="shared" si="24"/>
        <v/>
      </c>
      <c r="I1570" s="29"/>
      <c r="K1570" s="36" t="str">
        <f>IF(ISNUMBER($D1570),IF(YEAR($D1570)=대시보드!$C$2,$D1570+ROW()/100000,""),"")</f>
        <v/>
      </c>
    </row>
    <row r="1571" spans="1:11">
      <c r="A1571" s="33"/>
      <c r="B1571" s="29"/>
      <c r="C1571" s="29"/>
      <c r="D1571" s="30"/>
      <c r="E1571" s="30"/>
      <c r="F1571" s="35"/>
      <c r="G1571" s="35"/>
      <c r="H1571" s="35" t="str">
        <f t="shared" si="24"/>
        <v/>
      </c>
      <c r="I1571" s="29"/>
      <c r="K1571" s="36" t="str">
        <f>IF(ISNUMBER($D1571),IF(YEAR($D1571)=대시보드!$C$2,$D1571+ROW()/100000,""),"")</f>
        <v/>
      </c>
    </row>
    <row r="1572" spans="1:11">
      <c r="A1572" s="33"/>
      <c r="B1572" s="29"/>
      <c r="C1572" s="29"/>
      <c r="D1572" s="30"/>
      <c r="E1572" s="30"/>
      <c r="F1572" s="35"/>
      <c r="G1572" s="35"/>
      <c r="H1572" s="35" t="str">
        <f t="shared" si="24"/>
        <v/>
      </c>
      <c r="I1572" s="29"/>
      <c r="K1572" s="36" t="str">
        <f>IF(ISNUMBER($D1572),IF(YEAR($D1572)=대시보드!$C$2,$D1572+ROW()/100000,""),"")</f>
        <v/>
      </c>
    </row>
    <row r="1573" spans="1:11">
      <c r="A1573" s="33"/>
      <c r="B1573" s="29"/>
      <c r="C1573" s="29"/>
      <c r="D1573" s="30"/>
      <c r="E1573" s="30"/>
      <c r="F1573" s="35"/>
      <c r="G1573" s="35"/>
      <c r="H1573" s="35" t="str">
        <f t="shared" si="24"/>
        <v/>
      </c>
      <c r="I1573" s="29"/>
      <c r="K1573" s="36" t="str">
        <f>IF(ISNUMBER($D1573),IF(YEAR($D1573)=대시보드!$C$2,$D1573+ROW()/100000,""),"")</f>
        <v/>
      </c>
    </row>
    <row r="1574" spans="1:11">
      <c r="A1574" s="33"/>
      <c r="B1574" s="29"/>
      <c r="C1574" s="29"/>
      <c r="D1574" s="30"/>
      <c r="E1574" s="30"/>
      <c r="F1574" s="35"/>
      <c r="G1574" s="35"/>
      <c r="H1574" s="35" t="str">
        <f t="shared" si="24"/>
        <v/>
      </c>
      <c r="I1574" s="29"/>
      <c r="K1574" s="36" t="str">
        <f>IF(ISNUMBER($D1574),IF(YEAR($D1574)=대시보드!$C$2,$D1574+ROW()/100000,""),"")</f>
        <v/>
      </c>
    </row>
    <row r="1575" spans="1:11">
      <c r="A1575" s="33"/>
      <c r="B1575" s="29"/>
      <c r="C1575" s="29"/>
      <c r="D1575" s="30"/>
      <c r="E1575" s="30"/>
      <c r="F1575" s="35"/>
      <c r="G1575" s="35"/>
      <c r="H1575" s="35" t="str">
        <f t="shared" si="24"/>
        <v/>
      </c>
      <c r="I1575" s="29"/>
      <c r="K1575" s="36" t="str">
        <f>IF(ISNUMBER($D1575),IF(YEAR($D1575)=대시보드!$C$2,$D1575+ROW()/100000,""),"")</f>
        <v/>
      </c>
    </row>
    <row r="1576" spans="1:11">
      <c r="A1576" s="33"/>
      <c r="B1576" s="29"/>
      <c r="C1576" s="29"/>
      <c r="D1576" s="30"/>
      <c r="E1576" s="30"/>
      <c r="F1576" s="35"/>
      <c r="G1576" s="35"/>
      <c r="H1576" s="35" t="str">
        <f t="shared" si="24"/>
        <v/>
      </c>
      <c r="I1576" s="29"/>
      <c r="K1576" s="36" t="str">
        <f>IF(ISNUMBER($D1576),IF(YEAR($D1576)=대시보드!$C$2,$D1576+ROW()/100000,""),"")</f>
        <v/>
      </c>
    </row>
    <row r="1577" spans="1:11">
      <c r="A1577" s="33"/>
      <c r="B1577" s="29"/>
      <c r="C1577" s="29"/>
      <c r="D1577" s="30"/>
      <c r="E1577" s="30"/>
      <c r="F1577" s="35"/>
      <c r="G1577" s="35"/>
      <c r="H1577" s="35" t="str">
        <f t="shared" si="24"/>
        <v/>
      </c>
      <c r="I1577" s="29"/>
      <c r="K1577" s="36" t="str">
        <f>IF(ISNUMBER($D1577),IF(YEAR($D1577)=대시보드!$C$2,$D1577+ROW()/100000,""),"")</f>
        <v/>
      </c>
    </row>
    <row r="1578" spans="1:11">
      <c r="A1578" s="33"/>
      <c r="B1578" s="29"/>
      <c r="C1578" s="29"/>
      <c r="D1578" s="30"/>
      <c r="E1578" s="30"/>
      <c r="F1578" s="35"/>
      <c r="G1578" s="35"/>
      <c r="H1578" s="35" t="str">
        <f t="shared" si="24"/>
        <v/>
      </c>
      <c r="I1578" s="29"/>
      <c r="K1578" s="36" t="str">
        <f>IF(ISNUMBER($D1578),IF(YEAR($D1578)=대시보드!$C$2,$D1578+ROW()/100000,""),"")</f>
        <v/>
      </c>
    </row>
    <row r="1579" spans="1:11">
      <c r="A1579" s="33"/>
      <c r="B1579" s="29"/>
      <c r="C1579" s="29"/>
      <c r="D1579" s="30"/>
      <c r="E1579" s="30"/>
      <c r="F1579" s="35"/>
      <c r="G1579" s="35"/>
      <c r="H1579" s="35" t="str">
        <f t="shared" si="24"/>
        <v/>
      </c>
      <c r="I1579" s="29"/>
      <c r="K1579" s="36" t="str">
        <f>IF(ISNUMBER($D1579),IF(YEAR($D1579)=대시보드!$C$2,$D1579+ROW()/100000,""),"")</f>
        <v/>
      </c>
    </row>
    <row r="1580" spans="1:11">
      <c r="A1580" s="33"/>
      <c r="B1580" s="29"/>
      <c r="C1580" s="29"/>
      <c r="D1580" s="30"/>
      <c r="E1580" s="30"/>
      <c r="F1580" s="35"/>
      <c r="G1580" s="35"/>
      <c r="H1580" s="35" t="str">
        <f t="shared" si="24"/>
        <v/>
      </c>
      <c r="I1580" s="29"/>
      <c r="K1580" s="36" t="str">
        <f>IF(ISNUMBER($D1580),IF(YEAR($D1580)=대시보드!$C$2,$D1580+ROW()/100000,""),"")</f>
        <v/>
      </c>
    </row>
    <row r="1581" spans="1:11">
      <c r="A1581" s="33"/>
      <c r="B1581" s="29"/>
      <c r="C1581" s="29"/>
      <c r="D1581" s="30"/>
      <c r="E1581" s="30"/>
      <c r="F1581" s="35"/>
      <c r="G1581" s="35"/>
      <c r="H1581" s="35" t="str">
        <f t="shared" si="24"/>
        <v/>
      </c>
      <c r="I1581" s="29"/>
      <c r="K1581" s="36" t="str">
        <f>IF(ISNUMBER($D1581),IF(YEAR($D1581)=대시보드!$C$2,$D1581+ROW()/100000,""),"")</f>
        <v/>
      </c>
    </row>
    <row r="1582" spans="1:11">
      <c r="A1582" s="33"/>
      <c r="B1582" s="29"/>
      <c r="C1582" s="29"/>
      <c r="D1582" s="30"/>
      <c r="E1582" s="30"/>
      <c r="F1582" s="35"/>
      <c r="G1582" s="35"/>
      <c r="H1582" s="35" t="str">
        <f t="shared" si="24"/>
        <v/>
      </c>
      <c r="I1582" s="29"/>
      <c r="K1582" s="36" t="str">
        <f>IF(ISNUMBER($D1582),IF(YEAR($D1582)=대시보드!$C$2,$D1582+ROW()/100000,""),"")</f>
        <v/>
      </c>
    </row>
    <row r="1583" spans="1:11">
      <c r="A1583" s="33"/>
      <c r="B1583" s="29"/>
      <c r="C1583" s="29"/>
      <c r="D1583" s="30"/>
      <c r="E1583" s="30"/>
      <c r="F1583" s="35"/>
      <c r="G1583" s="35"/>
      <c r="H1583" s="35" t="str">
        <f t="shared" si="24"/>
        <v/>
      </c>
      <c r="I1583" s="29"/>
      <c r="K1583" s="36" t="str">
        <f>IF(ISNUMBER($D1583),IF(YEAR($D1583)=대시보드!$C$2,$D1583+ROW()/100000,""),"")</f>
        <v/>
      </c>
    </row>
    <row r="1584" spans="1:11">
      <c r="A1584" s="33"/>
      <c r="B1584" s="29"/>
      <c r="C1584" s="29"/>
      <c r="D1584" s="30"/>
      <c r="E1584" s="30"/>
      <c r="F1584" s="35"/>
      <c r="G1584" s="35"/>
      <c r="H1584" s="35" t="str">
        <f t="shared" si="24"/>
        <v/>
      </c>
      <c r="I1584" s="29"/>
      <c r="K1584" s="36" t="str">
        <f>IF(ISNUMBER($D1584),IF(YEAR($D1584)=대시보드!$C$2,$D1584+ROW()/100000,""),"")</f>
        <v/>
      </c>
    </row>
    <row r="1585" spans="1:11">
      <c r="A1585" s="33"/>
      <c r="B1585" s="29"/>
      <c r="C1585" s="29"/>
      <c r="D1585" s="30"/>
      <c r="E1585" s="30"/>
      <c r="F1585" s="35"/>
      <c r="G1585" s="35"/>
      <c r="H1585" s="35" t="str">
        <f t="shared" si="24"/>
        <v/>
      </c>
      <c r="I1585" s="29"/>
      <c r="K1585" s="36" t="str">
        <f>IF(ISNUMBER($D1585),IF(YEAR($D1585)=대시보드!$C$2,$D1585+ROW()/100000,""),"")</f>
        <v/>
      </c>
    </row>
    <row r="1586" spans="1:11">
      <c r="A1586" s="33"/>
      <c r="B1586" s="29"/>
      <c r="C1586" s="29"/>
      <c r="D1586" s="30"/>
      <c r="E1586" s="30"/>
      <c r="F1586" s="35"/>
      <c r="G1586" s="35"/>
      <c r="H1586" s="35" t="str">
        <f t="shared" si="24"/>
        <v/>
      </c>
      <c r="I1586" s="29"/>
      <c r="K1586" s="36" t="str">
        <f>IF(ISNUMBER($D1586),IF(YEAR($D1586)=대시보드!$C$2,$D1586+ROW()/100000,""),"")</f>
        <v/>
      </c>
    </row>
    <row r="1587" spans="1:11">
      <c r="A1587" s="33"/>
      <c r="B1587" s="29"/>
      <c r="C1587" s="29"/>
      <c r="D1587" s="30"/>
      <c r="E1587" s="30"/>
      <c r="F1587" s="35"/>
      <c r="G1587" s="35"/>
      <c r="H1587" s="35" t="str">
        <f t="shared" si="24"/>
        <v/>
      </c>
      <c r="I1587" s="29"/>
      <c r="K1587" s="36" t="str">
        <f>IF(ISNUMBER($D1587),IF(YEAR($D1587)=대시보드!$C$2,$D1587+ROW()/100000,""),"")</f>
        <v/>
      </c>
    </row>
    <row r="1588" spans="1:11">
      <c r="A1588" s="33"/>
      <c r="B1588" s="29"/>
      <c r="C1588" s="29"/>
      <c r="D1588" s="30"/>
      <c r="E1588" s="30"/>
      <c r="F1588" s="35"/>
      <c r="G1588" s="35"/>
      <c r="H1588" s="35" t="str">
        <f t="shared" si="24"/>
        <v/>
      </c>
      <c r="I1588" s="29"/>
      <c r="K1588" s="36" t="str">
        <f>IF(ISNUMBER($D1588),IF(YEAR($D1588)=대시보드!$C$2,$D1588+ROW()/100000,""),"")</f>
        <v/>
      </c>
    </row>
    <row r="1589" spans="1:11">
      <c r="A1589" s="33"/>
      <c r="B1589" s="29"/>
      <c r="C1589" s="29"/>
      <c r="D1589" s="30"/>
      <c r="E1589" s="30"/>
      <c r="F1589" s="35"/>
      <c r="G1589" s="35"/>
      <c r="H1589" s="35" t="str">
        <f t="shared" si="24"/>
        <v/>
      </c>
      <c r="I1589" s="29"/>
      <c r="K1589" s="36" t="str">
        <f>IF(ISNUMBER($D1589),IF(YEAR($D1589)=대시보드!$C$2,$D1589+ROW()/100000,""),"")</f>
        <v/>
      </c>
    </row>
    <row r="1590" spans="1:11">
      <c r="A1590" s="33"/>
      <c r="B1590" s="29"/>
      <c r="C1590" s="29"/>
      <c r="D1590" s="30"/>
      <c r="E1590" s="30"/>
      <c r="F1590" s="35"/>
      <c r="G1590" s="35"/>
      <c r="H1590" s="35" t="str">
        <f t="shared" si="24"/>
        <v/>
      </c>
      <c r="I1590" s="29"/>
      <c r="K1590" s="36" t="str">
        <f>IF(ISNUMBER($D1590),IF(YEAR($D1590)=대시보드!$C$2,$D1590+ROW()/100000,""),"")</f>
        <v/>
      </c>
    </row>
    <row r="1591" spans="1:11">
      <c r="A1591" s="33"/>
      <c r="B1591" s="29"/>
      <c r="C1591" s="29"/>
      <c r="D1591" s="30"/>
      <c r="E1591" s="30"/>
      <c r="F1591" s="35"/>
      <c r="G1591" s="35"/>
      <c r="H1591" s="35" t="str">
        <f t="shared" si="24"/>
        <v/>
      </c>
      <c r="I1591" s="29"/>
      <c r="K1591" s="36" t="str">
        <f>IF(ISNUMBER($D1591),IF(YEAR($D1591)=대시보드!$C$2,$D1591+ROW()/100000,""),"")</f>
        <v/>
      </c>
    </row>
    <row r="1592" spans="1:11">
      <c r="A1592" s="33"/>
      <c r="B1592" s="29"/>
      <c r="C1592" s="29"/>
      <c r="D1592" s="30"/>
      <c r="E1592" s="30"/>
      <c r="F1592" s="35"/>
      <c r="G1592" s="35"/>
      <c r="H1592" s="35" t="str">
        <f t="shared" si="24"/>
        <v/>
      </c>
      <c r="I1592" s="29"/>
      <c r="K1592" s="36" t="str">
        <f>IF(ISNUMBER($D1592),IF(YEAR($D1592)=대시보드!$C$2,$D1592+ROW()/100000,""),"")</f>
        <v/>
      </c>
    </row>
    <row r="1593" spans="1:11">
      <c r="A1593" s="33"/>
      <c r="B1593" s="29"/>
      <c r="C1593" s="29"/>
      <c r="D1593" s="30"/>
      <c r="E1593" s="30"/>
      <c r="F1593" s="35"/>
      <c r="G1593" s="35"/>
      <c r="H1593" s="35" t="str">
        <f t="shared" si="24"/>
        <v/>
      </c>
      <c r="I1593" s="29"/>
      <c r="K1593" s="36" t="str">
        <f>IF(ISNUMBER($D1593),IF(YEAR($D1593)=대시보드!$C$2,$D1593+ROW()/100000,""),"")</f>
        <v/>
      </c>
    </row>
    <row r="1594" spans="1:11">
      <c r="A1594" s="33"/>
      <c r="B1594" s="29"/>
      <c r="C1594" s="29"/>
      <c r="D1594" s="30"/>
      <c r="E1594" s="30"/>
      <c r="F1594" s="35"/>
      <c r="G1594" s="35"/>
      <c r="H1594" s="35" t="str">
        <f t="shared" si="24"/>
        <v/>
      </c>
      <c r="I1594" s="29"/>
      <c r="K1594" s="36" t="str">
        <f>IF(ISNUMBER($D1594),IF(YEAR($D1594)=대시보드!$C$2,$D1594+ROW()/100000,""),"")</f>
        <v/>
      </c>
    </row>
    <row r="1595" spans="1:11">
      <c r="A1595" s="33"/>
      <c r="B1595" s="29"/>
      <c r="C1595" s="29"/>
      <c r="D1595" s="30"/>
      <c r="E1595" s="30"/>
      <c r="F1595" s="35"/>
      <c r="G1595" s="35"/>
      <c r="H1595" s="35" t="str">
        <f t="shared" si="24"/>
        <v/>
      </c>
      <c r="I1595" s="29"/>
      <c r="K1595" s="36" t="str">
        <f>IF(ISNUMBER($D1595),IF(YEAR($D1595)=대시보드!$C$2,$D1595+ROW()/100000,""),"")</f>
        <v/>
      </c>
    </row>
    <row r="1596" spans="1:11">
      <c r="A1596" s="33"/>
      <c r="B1596" s="29"/>
      <c r="C1596" s="29"/>
      <c r="D1596" s="30"/>
      <c r="E1596" s="30"/>
      <c r="F1596" s="35"/>
      <c r="G1596" s="35"/>
      <c r="H1596" s="35" t="str">
        <f t="shared" si="24"/>
        <v/>
      </c>
      <c r="I1596" s="29"/>
      <c r="K1596" s="36" t="str">
        <f>IF(ISNUMBER($D1596),IF(YEAR($D1596)=대시보드!$C$2,$D1596+ROW()/100000,""),"")</f>
        <v/>
      </c>
    </row>
    <row r="1597" spans="1:11">
      <c r="A1597" s="33"/>
      <c r="B1597" s="29"/>
      <c r="C1597" s="29"/>
      <c r="D1597" s="30"/>
      <c r="E1597" s="30"/>
      <c r="F1597" s="35"/>
      <c r="G1597" s="35"/>
      <c r="H1597" s="35" t="str">
        <f t="shared" si="24"/>
        <v/>
      </c>
      <c r="I1597" s="29"/>
      <c r="K1597" s="36" t="str">
        <f>IF(ISNUMBER($D1597),IF(YEAR($D1597)=대시보드!$C$2,$D1597+ROW()/100000,""),"")</f>
        <v/>
      </c>
    </row>
    <row r="1598" spans="1:11">
      <c r="A1598" s="33"/>
      <c r="B1598" s="29"/>
      <c r="C1598" s="29"/>
      <c r="D1598" s="30"/>
      <c r="E1598" s="30"/>
      <c r="F1598" s="35"/>
      <c r="G1598" s="35"/>
      <c r="H1598" s="35" t="str">
        <f t="shared" si="24"/>
        <v/>
      </c>
      <c r="I1598" s="29"/>
      <c r="K1598" s="36" t="str">
        <f>IF(ISNUMBER($D1598),IF(YEAR($D1598)=대시보드!$C$2,$D1598+ROW()/100000,""),"")</f>
        <v/>
      </c>
    </row>
    <row r="1599" spans="1:11">
      <c r="A1599" s="33"/>
      <c r="B1599" s="29"/>
      <c r="C1599" s="29"/>
      <c r="D1599" s="30"/>
      <c r="E1599" s="30"/>
      <c r="F1599" s="35"/>
      <c r="G1599" s="35"/>
      <c r="H1599" s="35" t="str">
        <f t="shared" si="24"/>
        <v/>
      </c>
      <c r="I1599" s="29"/>
      <c r="K1599" s="36" t="str">
        <f>IF(ISNUMBER($D1599),IF(YEAR($D1599)=대시보드!$C$2,$D1599+ROW()/100000,""),"")</f>
        <v/>
      </c>
    </row>
    <row r="1600" spans="1:11">
      <c r="A1600" s="33"/>
      <c r="B1600" s="29"/>
      <c r="C1600" s="29"/>
      <c r="D1600" s="30"/>
      <c r="E1600" s="30"/>
      <c r="F1600" s="35"/>
      <c r="G1600" s="35"/>
      <c r="H1600" s="35" t="str">
        <f t="shared" si="24"/>
        <v/>
      </c>
      <c r="I1600" s="29"/>
      <c r="K1600" s="36" t="str">
        <f>IF(ISNUMBER($D1600),IF(YEAR($D1600)=대시보드!$C$2,$D1600+ROW()/100000,""),"")</f>
        <v/>
      </c>
    </row>
    <row r="1601" spans="1:11">
      <c r="A1601" s="33"/>
      <c r="B1601" s="29"/>
      <c r="C1601" s="29"/>
      <c r="D1601" s="30"/>
      <c r="E1601" s="30"/>
      <c r="F1601" s="35"/>
      <c r="G1601" s="35"/>
      <c r="H1601" s="35" t="str">
        <f t="shared" si="24"/>
        <v/>
      </c>
      <c r="I1601" s="29"/>
      <c r="K1601" s="36" t="str">
        <f>IF(ISNUMBER($D1601),IF(YEAR($D1601)=대시보드!$C$2,$D1601+ROW()/100000,""),"")</f>
        <v/>
      </c>
    </row>
    <row r="1602" spans="1:11">
      <c r="A1602" s="33"/>
      <c r="B1602" s="29"/>
      <c r="C1602" s="29"/>
      <c r="D1602" s="30"/>
      <c r="E1602" s="30"/>
      <c r="F1602" s="35"/>
      <c r="G1602" s="35"/>
      <c r="H1602" s="35" t="str">
        <f t="shared" si="24"/>
        <v/>
      </c>
      <c r="I1602" s="29"/>
      <c r="K1602" s="36" t="str">
        <f>IF(ISNUMBER($D1602),IF(YEAR($D1602)=대시보드!$C$2,$D1602+ROW()/100000,""),"")</f>
        <v/>
      </c>
    </row>
    <row r="1603" spans="1:11">
      <c r="A1603" s="33"/>
      <c r="B1603" s="29"/>
      <c r="C1603" s="29"/>
      <c r="D1603" s="30"/>
      <c r="E1603" s="30"/>
      <c r="F1603" s="35"/>
      <c r="G1603" s="35"/>
      <c r="H1603" s="35" t="str">
        <f t="shared" si="24"/>
        <v/>
      </c>
      <c r="I1603" s="29"/>
      <c r="K1603" s="36" t="str">
        <f>IF(ISNUMBER($D1603),IF(YEAR($D1603)=대시보드!$C$2,$D1603+ROW()/100000,""),"")</f>
        <v/>
      </c>
    </row>
    <row r="1604" spans="1:11">
      <c r="A1604" s="33"/>
      <c r="B1604" s="29"/>
      <c r="C1604" s="29"/>
      <c r="D1604" s="30"/>
      <c r="E1604" s="30"/>
      <c r="F1604" s="35"/>
      <c r="G1604" s="35"/>
      <c r="H1604" s="35" t="str">
        <f t="shared" ref="H1604:H1667" si="25">IF(F1604="","",F1604-G1604)</f>
        <v/>
      </c>
      <c r="I1604" s="29"/>
      <c r="K1604" s="36" t="str">
        <f>IF(ISNUMBER($D1604),IF(YEAR($D1604)=대시보드!$C$2,$D1604+ROW()/100000,""),"")</f>
        <v/>
      </c>
    </row>
    <row r="1605" spans="1:11">
      <c r="A1605" s="33"/>
      <c r="B1605" s="29"/>
      <c r="C1605" s="29"/>
      <c r="D1605" s="30"/>
      <c r="E1605" s="30"/>
      <c r="F1605" s="35"/>
      <c r="G1605" s="35"/>
      <c r="H1605" s="35" t="str">
        <f t="shared" si="25"/>
        <v/>
      </c>
      <c r="I1605" s="29"/>
      <c r="K1605" s="36" t="str">
        <f>IF(ISNUMBER($D1605),IF(YEAR($D1605)=대시보드!$C$2,$D1605+ROW()/100000,""),"")</f>
        <v/>
      </c>
    </row>
    <row r="1606" spans="1:11">
      <c r="A1606" s="33"/>
      <c r="B1606" s="29"/>
      <c r="C1606" s="29"/>
      <c r="D1606" s="30"/>
      <c r="E1606" s="30"/>
      <c r="F1606" s="35"/>
      <c r="G1606" s="35"/>
      <c r="H1606" s="35" t="str">
        <f t="shared" si="25"/>
        <v/>
      </c>
      <c r="I1606" s="29"/>
      <c r="K1606" s="36" t="str">
        <f>IF(ISNUMBER($D1606),IF(YEAR($D1606)=대시보드!$C$2,$D1606+ROW()/100000,""),"")</f>
        <v/>
      </c>
    </row>
    <row r="1607" spans="1:11">
      <c r="A1607" s="33"/>
      <c r="B1607" s="29"/>
      <c r="C1607" s="29"/>
      <c r="D1607" s="30"/>
      <c r="E1607" s="30"/>
      <c r="F1607" s="35"/>
      <c r="G1607" s="35"/>
      <c r="H1607" s="35" t="str">
        <f t="shared" si="25"/>
        <v/>
      </c>
      <c r="I1607" s="29"/>
      <c r="K1607" s="36" t="str">
        <f>IF(ISNUMBER($D1607),IF(YEAR($D1607)=대시보드!$C$2,$D1607+ROW()/100000,""),"")</f>
        <v/>
      </c>
    </row>
    <row r="1608" spans="1:11">
      <c r="A1608" s="33"/>
      <c r="B1608" s="29"/>
      <c r="C1608" s="29"/>
      <c r="D1608" s="30"/>
      <c r="E1608" s="30"/>
      <c r="F1608" s="35"/>
      <c r="G1608" s="35"/>
      <c r="H1608" s="35" t="str">
        <f t="shared" si="25"/>
        <v/>
      </c>
      <c r="I1608" s="29"/>
      <c r="K1608" s="36" t="str">
        <f>IF(ISNUMBER($D1608),IF(YEAR($D1608)=대시보드!$C$2,$D1608+ROW()/100000,""),"")</f>
        <v/>
      </c>
    </row>
    <row r="1609" spans="1:11">
      <c r="A1609" s="33"/>
      <c r="B1609" s="29"/>
      <c r="C1609" s="29"/>
      <c r="D1609" s="30"/>
      <c r="E1609" s="30"/>
      <c r="F1609" s="35"/>
      <c r="G1609" s="35"/>
      <c r="H1609" s="35" t="str">
        <f t="shared" si="25"/>
        <v/>
      </c>
      <c r="I1609" s="29"/>
      <c r="K1609" s="36" t="str">
        <f>IF(ISNUMBER($D1609),IF(YEAR($D1609)=대시보드!$C$2,$D1609+ROW()/100000,""),"")</f>
        <v/>
      </c>
    </row>
    <row r="1610" spans="1:11">
      <c r="A1610" s="33"/>
      <c r="B1610" s="29"/>
      <c r="C1610" s="29"/>
      <c r="D1610" s="30"/>
      <c r="E1610" s="30"/>
      <c r="F1610" s="35"/>
      <c r="G1610" s="35"/>
      <c r="H1610" s="35" t="str">
        <f t="shared" si="25"/>
        <v/>
      </c>
      <c r="I1610" s="29"/>
      <c r="K1610" s="36" t="str">
        <f>IF(ISNUMBER($D1610),IF(YEAR($D1610)=대시보드!$C$2,$D1610+ROW()/100000,""),"")</f>
        <v/>
      </c>
    </row>
    <row r="1611" spans="1:11">
      <c r="A1611" s="33"/>
      <c r="B1611" s="29"/>
      <c r="C1611" s="29"/>
      <c r="D1611" s="30"/>
      <c r="E1611" s="30"/>
      <c r="F1611" s="35"/>
      <c r="G1611" s="35"/>
      <c r="H1611" s="35" t="str">
        <f t="shared" si="25"/>
        <v/>
      </c>
      <c r="I1611" s="29"/>
      <c r="K1611" s="36" t="str">
        <f>IF(ISNUMBER($D1611),IF(YEAR($D1611)=대시보드!$C$2,$D1611+ROW()/100000,""),"")</f>
        <v/>
      </c>
    </row>
    <row r="1612" spans="1:11">
      <c r="A1612" s="33"/>
      <c r="B1612" s="29"/>
      <c r="C1612" s="29"/>
      <c r="D1612" s="30"/>
      <c r="E1612" s="30"/>
      <c r="F1612" s="35"/>
      <c r="G1612" s="35"/>
      <c r="H1612" s="35" t="str">
        <f t="shared" si="25"/>
        <v/>
      </c>
      <c r="I1612" s="29"/>
      <c r="K1612" s="36" t="str">
        <f>IF(ISNUMBER($D1612),IF(YEAR($D1612)=대시보드!$C$2,$D1612+ROW()/100000,""),"")</f>
        <v/>
      </c>
    </row>
    <row r="1613" spans="1:11">
      <c r="A1613" s="33"/>
      <c r="B1613" s="29"/>
      <c r="C1613" s="29"/>
      <c r="D1613" s="30"/>
      <c r="E1613" s="30"/>
      <c r="F1613" s="35"/>
      <c r="G1613" s="35"/>
      <c r="H1613" s="35" t="str">
        <f t="shared" si="25"/>
        <v/>
      </c>
      <c r="I1613" s="29"/>
      <c r="K1613" s="36" t="str">
        <f>IF(ISNUMBER($D1613),IF(YEAR($D1613)=대시보드!$C$2,$D1613+ROW()/100000,""),"")</f>
        <v/>
      </c>
    </row>
    <row r="1614" spans="1:11">
      <c r="A1614" s="33"/>
      <c r="B1614" s="29"/>
      <c r="C1614" s="29"/>
      <c r="D1614" s="30"/>
      <c r="E1614" s="30"/>
      <c r="F1614" s="35"/>
      <c r="G1614" s="35"/>
      <c r="H1614" s="35" t="str">
        <f t="shared" si="25"/>
        <v/>
      </c>
      <c r="I1614" s="29"/>
      <c r="K1614" s="36" t="str">
        <f>IF(ISNUMBER($D1614),IF(YEAR($D1614)=대시보드!$C$2,$D1614+ROW()/100000,""),"")</f>
        <v/>
      </c>
    </row>
    <row r="1615" spans="1:11">
      <c r="A1615" s="33"/>
      <c r="B1615" s="29"/>
      <c r="C1615" s="29"/>
      <c r="D1615" s="30"/>
      <c r="E1615" s="30"/>
      <c r="F1615" s="35"/>
      <c r="G1615" s="35"/>
      <c r="H1615" s="35" t="str">
        <f t="shared" si="25"/>
        <v/>
      </c>
      <c r="I1615" s="29"/>
      <c r="K1615" s="36" t="str">
        <f>IF(ISNUMBER($D1615),IF(YEAR($D1615)=대시보드!$C$2,$D1615+ROW()/100000,""),"")</f>
        <v/>
      </c>
    </row>
    <row r="1616" spans="1:11">
      <c r="A1616" s="33"/>
      <c r="B1616" s="29"/>
      <c r="C1616" s="29"/>
      <c r="D1616" s="30"/>
      <c r="E1616" s="30"/>
      <c r="F1616" s="35"/>
      <c r="G1616" s="35"/>
      <c r="H1616" s="35" t="str">
        <f t="shared" si="25"/>
        <v/>
      </c>
      <c r="I1616" s="29"/>
      <c r="K1616" s="36" t="str">
        <f>IF(ISNUMBER($D1616),IF(YEAR($D1616)=대시보드!$C$2,$D1616+ROW()/100000,""),"")</f>
        <v/>
      </c>
    </row>
    <row r="1617" spans="1:11">
      <c r="A1617" s="33"/>
      <c r="B1617" s="29"/>
      <c r="C1617" s="29"/>
      <c r="D1617" s="30"/>
      <c r="E1617" s="30"/>
      <c r="F1617" s="35"/>
      <c r="G1617" s="35"/>
      <c r="H1617" s="35" t="str">
        <f t="shared" si="25"/>
        <v/>
      </c>
      <c r="I1617" s="29"/>
      <c r="K1617" s="36" t="str">
        <f>IF(ISNUMBER($D1617),IF(YEAR($D1617)=대시보드!$C$2,$D1617+ROW()/100000,""),"")</f>
        <v/>
      </c>
    </row>
    <row r="1618" spans="1:11">
      <c r="A1618" s="33"/>
      <c r="B1618" s="29"/>
      <c r="C1618" s="29"/>
      <c r="D1618" s="30"/>
      <c r="E1618" s="30"/>
      <c r="F1618" s="35"/>
      <c r="G1618" s="35"/>
      <c r="H1618" s="35" t="str">
        <f t="shared" si="25"/>
        <v/>
      </c>
      <c r="I1618" s="29"/>
      <c r="K1618" s="36" t="str">
        <f>IF(ISNUMBER($D1618),IF(YEAR($D1618)=대시보드!$C$2,$D1618+ROW()/100000,""),"")</f>
        <v/>
      </c>
    </row>
    <row r="1619" spans="1:11">
      <c r="A1619" s="33"/>
      <c r="B1619" s="29"/>
      <c r="C1619" s="29"/>
      <c r="D1619" s="30"/>
      <c r="E1619" s="30"/>
      <c r="F1619" s="35"/>
      <c r="G1619" s="35"/>
      <c r="H1619" s="35" t="str">
        <f t="shared" si="25"/>
        <v/>
      </c>
      <c r="I1619" s="29"/>
      <c r="K1619" s="36" t="str">
        <f>IF(ISNUMBER($D1619),IF(YEAR($D1619)=대시보드!$C$2,$D1619+ROW()/100000,""),"")</f>
        <v/>
      </c>
    </row>
    <row r="1620" spans="1:11">
      <c r="A1620" s="33"/>
      <c r="B1620" s="29"/>
      <c r="C1620" s="29"/>
      <c r="D1620" s="30"/>
      <c r="E1620" s="30"/>
      <c r="F1620" s="35"/>
      <c r="G1620" s="35"/>
      <c r="H1620" s="35" t="str">
        <f t="shared" si="25"/>
        <v/>
      </c>
      <c r="I1620" s="29"/>
      <c r="K1620" s="36" t="str">
        <f>IF(ISNUMBER($D1620),IF(YEAR($D1620)=대시보드!$C$2,$D1620+ROW()/100000,""),"")</f>
        <v/>
      </c>
    </row>
    <row r="1621" spans="1:11">
      <c r="A1621" s="33"/>
      <c r="B1621" s="29"/>
      <c r="C1621" s="29"/>
      <c r="D1621" s="30"/>
      <c r="E1621" s="30"/>
      <c r="F1621" s="35"/>
      <c r="G1621" s="35"/>
      <c r="H1621" s="35" t="str">
        <f t="shared" si="25"/>
        <v/>
      </c>
      <c r="I1621" s="29"/>
      <c r="K1621" s="36" t="str">
        <f>IF(ISNUMBER($D1621),IF(YEAR($D1621)=대시보드!$C$2,$D1621+ROW()/100000,""),"")</f>
        <v/>
      </c>
    </row>
    <row r="1622" spans="1:11">
      <c r="A1622" s="33"/>
      <c r="B1622" s="29"/>
      <c r="C1622" s="29"/>
      <c r="D1622" s="30"/>
      <c r="E1622" s="30"/>
      <c r="F1622" s="35"/>
      <c r="G1622" s="35"/>
      <c r="H1622" s="35" t="str">
        <f t="shared" si="25"/>
        <v/>
      </c>
      <c r="I1622" s="29"/>
      <c r="K1622" s="36" t="str">
        <f>IF(ISNUMBER($D1622),IF(YEAR($D1622)=대시보드!$C$2,$D1622+ROW()/100000,""),"")</f>
        <v/>
      </c>
    </row>
    <row r="1623" spans="1:11">
      <c r="A1623" s="33"/>
      <c r="B1623" s="29"/>
      <c r="C1623" s="29"/>
      <c r="D1623" s="30"/>
      <c r="E1623" s="30"/>
      <c r="F1623" s="35"/>
      <c r="G1623" s="35"/>
      <c r="H1623" s="35" t="str">
        <f t="shared" si="25"/>
        <v/>
      </c>
      <c r="I1623" s="29"/>
      <c r="K1623" s="36" t="str">
        <f>IF(ISNUMBER($D1623),IF(YEAR($D1623)=대시보드!$C$2,$D1623+ROW()/100000,""),"")</f>
        <v/>
      </c>
    </row>
    <row r="1624" spans="1:11">
      <c r="A1624" s="33"/>
      <c r="B1624" s="29"/>
      <c r="C1624" s="29"/>
      <c r="D1624" s="30"/>
      <c r="E1624" s="30"/>
      <c r="F1624" s="35"/>
      <c r="G1624" s="35"/>
      <c r="H1624" s="35" t="str">
        <f t="shared" si="25"/>
        <v/>
      </c>
      <c r="I1624" s="29"/>
      <c r="K1624" s="36" t="str">
        <f>IF(ISNUMBER($D1624),IF(YEAR($D1624)=대시보드!$C$2,$D1624+ROW()/100000,""),"")</f>
        <v/>
      </c>
    </row>
    <row r="1625" spans="1:11">
      <c r="A1625" s="33"/>
      <c r="B1625" s="29"/>
      <c r="C1625" s="29"/>
      <c r="D1625" s="30"/>
      <c r="E1625" s="30"/>
      <c r="F1625" s="35"/>
      <c r="G1625" s="35"/>
      <c r="H1625" s="35" t="str">
        <f t="shared" si="25"/>
        <v/>
      </c>
      <c r="I1625" s="29"/>
      <c r="K1625" s="36" t="str">
        <f>IF(ISNUMBER($D1625),IF(YEAR($D1625)=대시보드!$C$2,$D1625+ROW()/100000,""),"")</f>
        <v/>
      </c>
    </row>
    <row r="1626" spans="1:11">
      <c r="A1626" s="33"/>
      <c r="B1626" s="29"/>
      <c r="C1626" s="29"/>
      <c r="D1626" s="30"/>
      <c r="E1626" s="30"/>
      <c r="F1626" s="35"/>
      <c r="G1626" s="35"/>
      <c r="H1626" s="35" t="str">
        <f t="shared" si="25"/>
        <v/>
      </c>
      <c r="I1626" s="29"/>
      <c r="K1626" s="36" t="str">
        <f>IF(ISNUMBER($D1626),IF(YEAR($D1626)=대시보드!$C$2,$D1626+ROW()/100000,""),"")</f>
        <v/>
      </c>
    </row>
    <row r="1627" spans="1:11">
      <c r="A1627" s="33"/>
      <c r="B1627" s="29"/>
      <c r="C1627" s="29"/>
      <c r="D1627" s="30"/>
      <c r="E1627" s="30"/>
      <c r="F1627" s="35"/>
      <c r="G1627" s="35"/>
      <c r="H1627" s="35" t="str">
        <f t="shared" si="25"/>
        <v/>
      </c>
      <c r="I1627" s="29"/>
      <c r="K1627" s="36" t="str">
        <f>IF(ISNUMBER($D1627),IF(YEAR($D1627)=대시보드!$C$2,$D1627+ROW()/100000,""),"")</f>
        <v/>
      </c>
    </row>
    <row r="1628" spans="1:11">
      <c r="A1628" s="33"/>
      <c r="B1628" s="29"/>
      <c r="C1628" s="29"/>
      <c r="D1628" s="30"/>
      <c r="E1628" s="30"/>
      <c r="F1628" s="35"/>
      <c r="G1628" s="35"/>
      <c r="H1628" s="35" t="str">
        <f t="shared" si="25"/>
        <v/>
      </c>
      <c r="I1628" s="29"/>
      <c r="K1628" s="36" t="str">
        <f>IF(ISNUMBER($D1628),IF(YEAR($D1628)=대시보드!$C$2,$D1628+ROW()/100000,""),"")</f>
        <v/>
      </c>
    </row>
    <row r="1629" spans="1:11">
      <c r="A1629" s="33"/>
      <c r="B1629" s="29"/>
      <c r="C1629" s="29"/>
      <c r="D1629" s="30"/>
      <c r="E1629" s="30"/>
      <c r="F1629" s="35"/>
      <c r="G1629" s="35"/>
      <c r="H1629" s="35" t="str">
        <f t="shared" si="25"/>
        <v/>
      </c>
      <c r="I1629" s="29"/>
      <c r="K1629" s="36" t="str">
        <f>IF(ISNUMBER($D1629),IF(YEAR($D1629)=대시보드!$C$2,$D1629+ROW()/100000,""),"")</f>
        <v/>
      </c>
    </row>
    <row r="1630" spans="1:11">
      <c r="A1630" s="33"/>
      <c r="B1630" s="29"/>
      <c r="C1630" s="29"/>
      <c r="D1630" s="30"/>
      <c r="E1630" s="30"/>
      <c r="F1630" s="35"/>
      <c r="G1630" s="35"/>
      <c r="H1630" s="35" t="str">
        <f t="shared" si="25"/>
        <v/>
      </c>
      <c r="I1630" s="29"/>
      <c r="K1630" s="36" t="str">
        <f>IF(ISNUMBER($D1630),IF(YEAR($D1630)=대시보드!$C$2,$D1630+ROW()/100000,""),"")</f>
        <v/>
      </c>
    </row>
    <row r="1631" spans="1:11">
      <c r="A1631" s="33"/>
      <c r="B1631" s="29"/>
      <c r="C1631" s="29"/>
      <c r="D1631" s="30"/>
      <c r="E1631" s="30"/>
      <c r="F1631" s="35"/>
      <c r="G1631" s="35"/>
      <c r="H1631" s="35" t="str">
        <f t="shared" si="25"/>
        <v/>
      </c>
      <c r="I1631" s="29"/>
      <c r="K1631" s="36" t="str">
        <f>IF(ISNUMBER($D1631),IF(YEAR($D1631)=대시보드!$C$2,$D1631+ROW()/100000,""),"")</f>
        <v/>
      </c>
    </row>
    <row r="1632" spans="1:11">
      <c r="A1632" s="33"/>
      <c r="B1632" s="29"/>
      <c r="C1632" s="29"/>
      <c r="D1632" s="30"/>
      <c r="E1632" s="30"/>
      <c r="F1632" s="35"/>
      <c r="G1632" s="35"/>
      <c r="H1632" s="35" t="str">
        <f t="shared" si="25"/>
        <v/>
      </c>
      <c r="I1632" s="29"/>
      <c r="K1632" s="36" t="str">
        <f>IF(ISNUMBER($D1632),IF(YEAR($D1632)=대시보드!$C$2,$D1632+ROW()/100000,""),"")</f>
        <v/>
      </c>
    </row>
    <row r="1633" spans="1:11">
      <c r="A1633" s="33"/>
      <c r="B1633" s="29"/>
      <c r="C1633" s="29"/>
      <c r="D1633" s="30"/>
      <c r="E1633" s="30"/>
      <c r="F1633" s="35"/>
      <c r="G1633" s="35"/>
      <c r="H1633" s="35" t="str">
        <f t="shared" si="25"/>
        <v/>
      </c>
      <c r="I1633" s="29"/>
      <c r="K1633" s="36" t="str">
        <f>IF(ISNUMBER($D1633),IF(YEAR($D1633)=대시보드!$C$2,$D1633+ROW()/100000,""),"")</f>
        <v/>
      </c>
    </row>
    <row r="1634" spans="1:11">
      <c r="A1634" s="33"/>
      <c r="B1634" s="29"/>
      <c r="C1634" s="29"/>
      <c r="D1634" s="30"/>
      <c r="E1634" s="30"/>
      <c r="F1634" s="35"/>
      <c r="G1634" s="35"/>
      <c r="H1634" s="35" t="str">
        <f t="shared" si="25"/>
        <v/>
      </c>
      <c r="I1634" s="29"/>
      <c r="K1634" s="36" t="str">
        <f>IF(ISNUMBER($D1634),IF(YEAR($D1634)=대시보드!$C$2,$D1634+ROW()/100000,""),"")</f>
        <v/>
      </c>
    </row>
    <row r="1635" spans="1:11">
      <c r="A1635" s="33"/>
      <c r="B1635" s="29"/>
      <c r="C1635" s="29"/>
      <c r="D1635" s="30"/>
      <c r="E1635" s="30"/>
      <c r="F1635" s="35"/>
      <c r="G1635" s="35"/>
      <c r="H1635" s="35" t="str">
        <f t="shared" si="25"/>
        <v/>
      </c>
      <c r="I1635" s="29"/>
      <c r="K1635" s="36" t="str">
        <f>IF(ISNUMBER($D1635),IF(YEAR($D1635)=대시보드!$C$2,$D1635+ROW()/100000,""),"")</f>
        <v/>
      </c>
    </row>
    <row r="1636" spans="1:11">
      <c r="A1636" s="33"/>
      <c r="B1636" s="29"/>
      <c r="C1636" s="29"/>
      <c r="D1636" s="30"/>
      <c r="E1636" s="30"/>
      <c r="F1636" s="35"/>
      <c r="G1636" s="35"/>
      <c r="H1636" s="35" t="str">
        <f t="shared" si="25"/>
        <v/>
      </c>
      <c r="I1636" s="29"/>
      <c r="K1636" s="36" t="str">
        <f>IF(ISNUMBER($D1636),IF(YEAR($D1636)=대시보드!$C$2,$D1636+ROW()/100000,""),"")</f>
        <v/>
      </c>
    </row>
    <row r="1637" spans="1:11">
      <c r="A1637" s="33"/>
      <c r="B1637" s="29"/>
      <c r="C1637" s="29"/>
      <c r="D1637" s="30"/>
      <c r="E1637" s="30"/>
      <c r="F1637" s="35"/>
      <c r="G1637" s="35"/>
      <c r="H1637" s="35" t="str">
        <f t="shared" si="25"/>
        <v/>
      </c>
      <c r="I1637" s="29"/>
      <c r="K1637" s="36" t="str">
        <f>IF(ISNUMBER($D1637),IF(YEAR($D1637)=대시보드!$C$2,$D1637+ROW()/100000,""),"")</f>
        <v/>
      </c>
    </row>
    <row r="1638" spans="1:11">
      <c r="A1638" s="33"/>
      <c r="B1638" s="29"/>
      <c r="C1638" s="29"/>
      <c r="D1638" s="30"/>
      <c r="E1638" s="30"/>
      <c r="F1638" s="35"/>
      <c r="G1638" s="35"/>
      <c r="H1638" s="35" t="str">
        <f t="shared" si="25"/>
        <v/>
      </c>
      <c r="I1638" s="29"/>
      <c r="K1638" s="36" t="str">
        <f>IF(ISNUMBER($D1638),IF(YEAR($D1638)=대시보드!$C$2,$D1638+ROW()/100000,""),"")</f>
        <v/>
      </c>
    </row>
    <row r="1639" spans="1:11">
      <c r="A1639" s="33"/>
      <c r="B1639" s="29"/>
      <c r="C1639" s="29"/>
      <c r="D1639" s="30"/>
      <c r="E1639" s="30"/>
      <c r="F1639" s="35"/>
      <c r="G1639" s="35"/>
      <c r="H1639" s="35" t="str">
        <f t="shared" si="25"/>
        <v/>
      </c>
      <c r="I1639" s="29"/>
      <c r="K1639" s="36" t="str">
        <f>IF(ISNUMBER($D1639),IF(YEAR($D1639)=대시보드!$C$2,$D1639+ROW()/100000,""),"")</f>
        <v/>
      </c>
    </row>
    <row r="1640" spans="1:11">
      <c r="A1640" s="33"/>
      <c r="B1640" s="29"/>
      <c r="C1640" s="29"/>
      <c r="D1640" s="30"/>
      <c r="E1640" s="30"/>
      <c r="F1640" s="35"/>
      <c r="G1640" s="35"/>
      <c r="H1640" s="35" t="str">
        <f t="shared" si="25"/>
        <v/>
      </c>
      <c r="I1640" s="29"/>
      <c r="K1640" s="36" t="str">
        <f>IF(ISNUMBER($D1640),IF(YEAR($D1640)=대시보드!$C$2,$D1640+ROW()/100000,""),"")</f>
        <v/>
      </c>
    </row>
    <row r="1641" spans="1:11">
      <c r="A1641" s="33"/>
      <c r="B1641" s="29"/>
      <c r="C1641" s="29"/>
      <c r="D1641" s="30"/>
      <c r="E1641" s="30"/>
      <c r="F1641" s="35"/>
      <c r="G1641" s="35"/>
      <c r="H1641" s="35" t="str">
        <f t="shared" si="25"/>
        <v/>
      </c>
      <c r="I1641" s="29"/>
      <c r="K1641" s="36" t="str">
        <f>IF(ISNUMBER($D1641),IF(YEAR($D1641)=대시보드!$C$2,$D1641+ROW()/100000,""),"")</f>
        <v/>
      </c>
    </row>
    <row r="1642" spans="1:11">
      <c r="A1642" s="33"/>
      <c r="B1642" s="29"/>
      <c r="C1642" s="29"/>
      <c r="D1642" s="30"/>
      <c r="E1642" s="30"/>
      <c r="F1642" s="35"/>
      <c r="G1642" s="35"/>
      <c r="H1642" s="35" t="str">
        <f t="shared" si="25"/>
        <v/>
      </c>
      <c r="I1642" s="29"/>
      <c r="K1642" s="36" t="str">
        <f>IF(ISNUMBER($D1642),IF(YEAR($D1642)=대시보드!$C$2,$D1642+ROW()/100000,""),"")</f>
        <v/>
      </c>
    </row>
    <row r="1643" spans="1:11">
      <c r="A1643" s="33"/>
      <c r="B1643" s="29"/>
      <c r="C1643" s="29"/>
      <c r="D1643" s="30"/>
      <c r="E1643" s="30"/>
      <c r="F1643" s="35"/>
      <c r="G1643" s="35"/>
      <c r="H1643" s="35" t="str">
        <f t="shared" si="25"/>
        <v/>
      </c>
      <c r="I1643" s="29"/>
      <c r="K1643" s="36" t="str">
        <f>IF(ISNUMBER($D1643),IF(YEAR($D1643)=대시보드!$C$2,$D1643+ROW()/100000,""),"")</f>
        <v/>
      </c>
    </row>
    <row r="1644" spans="1:11">
      <c r="A1644" s="33"/>
      <c r="B1644" s="29"/>
      <c r="C1644" s="29"/>
      <c r="D1644" s="30"/>
      <c r="E1644" s="30"/>
      <c r="F1644" s="35"/>
      <c r="G1644" s="35"/>
      <c r="H1644" s="35" t="str">
        <f t="shared" si="25"/>
        <v/>
      </c>
      <c r="I1644" s="29"/>
      <c r="K1644" s="36" t="str">
        <f>IF(ISNUMBER($D1644),IF(YEAR($D1644)=대시보드!$C$2,$D1644+ROW()/100000,""),"")</f>
        <v/>
      </c>
    </row>
    <row r="1645" spans="1:11">
      <c r="A1645" s="33"/>
      <c r="B1645" s="29"/>
      <c r="C1645" s="29"/>
      <c r="D1645" s="30"/>
      <c r="E1645" s="30"/>
      <c r="F1645" s="35"/>
      <c r="G1645" s="35"/>
      <c r="H1645" s="35" t="str">
        <f t="shared" si="25"/>
        <v/>
      </c>
      <c r="I1645" s="29"/>
      <c r="K1645" s="36" t="str">
        <f>IF(ISNUMBER($D1645),IF(YEAR($D1645)=대시보드!$C$2,$D1645+ROW()/100000,""),"")</f>
        <v/>
      </c>
    </row>
    <row r="1646" spans="1:11">
      <c r="A1646" s="33"/>
      <c r="B1646" s="29"/>
      <c r="C1646" s="29"/>
      <c r="D1646" s="30"/>
      <c r="E1646" s="30"/>
      <c r="F1646" s="35"/>
      <c r="G1646" s="35"/>
      <c r="H1646" s="35" t="str">
        <f t="shared" si="25"/>
        <v/>
      </c>
      <c r="I1646" s="29"/>
      <c r="K1646" s="36" t="str">
        <f>IF(ISNUMBER($D1646),IF(YEAR($D1646)=대시보드!$C$2,$D1646+ROW()/100000,""),"")</f>
        <v/>
      </c>
    </row>
    <row r="1647" spans="1:11">
      <c r="A1647" s="33"/>
      <c r="B1647" s="29"/>
      <c r="C1647" s="29"/>
      <c r="D1647" s="30"/>
      <c r="E1647" s="30"/>
      <c r="F1647" s="35"/>
      <c r="G1647" s="35"/>
      <c r="H1647" s="35" t="str">
        <f t="shared" si="25"/>
        <v/>
      </c>
      <c r="I1647" s="29"/>
      <c r="K1647" s="36" t="str">
        <f>IF(ISNUMBER($D1647),IF(YEAR($D1647)=대시보드!$C$2,$D1647+ROW()/100000,""),"")</f>
        <v/>
      </c>
    </row>
    <row r="1648" spans="1:11">
      <c r="A1648" s="33"/>
      <c r="B1648" s="29"/>
      <c r="C1648" s="29"/>
      <c r="D1648" s="30"/>
      <c r="E1648" s="30"/>
      <c r="F1648" s="35"/>
      <c r="G1648" s="35"/>
      <c r="H1648" s="35" t="str">
        <f t="shared" si="25"/>
        <v/>
      </c>
      <c r="I1648" s="29"/>
      <c r="K1648" s="36" t="str">
        <f>IF(ISNUMBER($D1648),IF(YEAR($D1648)=대시보드!$C$2,$D1648+ROW()/100000,""),"")</f>
        <v/>
      </c>
    </row>
    <row r="1649" spans="1:11">
      <c r="A1649" s="33"/>
      <c r="B1649" s="29"/>
      <c r="C1649" s="29"/>
      <c r="D1649" s="30"/>
      <c r="E1649" s="30"/>
      <c r="F1649" s="35"/>
      <c r="G1649" s="35"/>
      <c r="H1649" s="35" t="str">
        <f t="shared" si="25"/>
        <v/>
      </c>
      <c r="I1649" s="29"/>
      <c r="K1649" s="36" t="str">
        <f>IF(ISNUMBER($D1649),IF(YEAR($D1649)=대시보드!$C$2,$D1649+ROW()/100000,""),"")</f>
        <v/>
      </c>
    </row>
    <row r="1650" spans="1:11">
      <c r="A1650" s="33"/>
      <c r="B1650" s="29"/>
      <c r="C1650" s="29"/>
      <c r="D1650" s="30"/>
      <c r="E1650" s="30"/>
      <c r="F1650" s="35"/>
      <c r="G1650" s="35"/>
      <c r="H1650" s="35" t="str">
        <f t="shared" si="25"/>
        <v/>
      </c>
      <c r="I1650" s="29"/>
      <c r="K1650" s="36" t="str">
        <f>IF(ISNUMBER($D1650),IF(YEAR($D1650)=대시보드!$C$2,$D1650+ROW()/100000,""),"")</f>
        <v/>
      </c>
    </row>
    <row r="1651" spans="1:11">
      <c r="A1651" s="33"/>
      <c r="B1651" s="29"/>
      <c r="C1651" s="29"/>
      <c r="D1651" s="30"/>
      <c r="E1651" s="30"/>
      <c r="F1651" s="35"/>
      <c r="G1651" s="35"/>
      <c r="H1651" s="35" t="str">
        <f t="shared" si="25"/>
        <v/>
      </c>
      <c r="I1651" s="29"/>
      <c r="K1651" s="36" t="str">
        <f>IF(ISNUMBER($D1651),IF(YEAR($D1651)=대시보드!$C$2,$D1651+ROW()/100000,""),"")</f>
        <v/>
      </c>
    </row>
    <row r="1652" spans="1:11">
      <c r="A1652" s="33"/>
      <c r="B1652" s="29"/>
      <c r="C1652" s="29"/>
      <c r="D1652" s="30"/>
      <c r="E1652" s="30"/>
      <c r="F1652" s="35"/>
      <c r="G1652" s="35"/>
      <c r="H1652" s="35" t="str">
        <f t="shared" si="25"/>
        <v/>
      </c>
      <c r="I1652" s="29"/>
      <c r="K1652" s="36" t="str">
        <f>IF(ISNUMBER($D1652),IF(YEAR($D1652)=대시보드!$C$2,$D1652+ROW()/100000,""),"")</f>
        <v/>
      </c>
    </row>
    <row r="1653" spans="1:11">
      <c r="A1653" s="33"/>
      <c r="B1653" s="29"/>
      <c r="C1653" s="29"/>
      <c r="D1653" s="30"/>
      <c r="E1653" s="30"/>
      <c r="F1653" s="35"/>
      <c r="G1653" s="35"/>
      <c r="H1653" s="35" t="str">
        <f t="shared" si="25"/>
        <v/>
      </c>
      <c r="I1653" s="29"/>
      <c r="K1653" s="36" t="str">
        <f>IF(ISNUMBER($D1653),IF(YEAR($D1653)=대시보드!$C$2,$D1653+ROW()/100000,""),"")</f>
        <v/>
      </c>
    </row>
    <row r="1654" spans="1:11">
      <c r="A1654" s="33"/>
      <c r="B1654" s="29"/>
      <c r="C1654" s="29"/>
      <c r="D1654" s="30"/>
      <c r="E1654" s="30"/>
      <c r="F1654" s="35"/>
      <c r="G1654" s="35"/>
      <c r="H1654" s="35" t="str">
        <f t="shared" si="25"/>
        <v/>
      </c>
      <c r="I1654" s="29"/>
      <c r="K1654" s="36" t="str">
        <f>IF(ISNUMBER($D1654),IF(YEAR($D1654)=대시보드!$C$2,$D1654+ROW()/100000,""),"")</f>
        <v/>
      </c>
    </row>
    <row r="1655" spans="1:11">
      <c r="A1655" s="33"/>
      <c r="B1655" s="29"/>
      <c r="C1655" s="29"/>
      <c r="D1655" s="30"/>
      <c r="E1655" s="30"/>
      <c r="F1655" s="35"/>
      <c r="G1655" s="35"/>
      <c r="H1655" s="35" t="str">
        <f t="shared" si="25"/>
        <v/>
      </c>
      <c r="I1655" s="29"/>
      <c r="K1655" s="36" t="str">
        <f>IF(ISNUMBER($D1655),IF(YEAR($D1655)=대시보드!$C$2,$D1655+ROW()/100000,""),"")</f>
        <v/>
      </c>
    </row>
    <row r="1656" spans="1:11">
      <c r="A1656" s="33"/>
      <c r="B1656" s="29"/>
      <c r="C1656" s="29"/>
      <c r="D1656" s="30"/>
      <c r="E1656" s="30"/>
      <c r="F1656" s="35"/>
      <c r="G1656" s="35"/>
      <c r="H1656" s="35" t="str">
        <f t="shared" si="25"/>
        <v/>
      </c>
      <c r="I1656" s="29"/>
      <c r="K1656" s="36" t="str">
        <f>IF(ISNUMBER($D1656),IF(YEAR($D1656)=대시보드!$C$2,$D1656+ROW()/100000,""),"")</f>
        <v/>
      </c>
    </row>
    <row r="1657" spans="1:11">
      <c r="A1657" s="33"/>
      <c r="B1657" s="29"/>
      <c r="C1657" s="29"/>
      <c r="D1657" s="30"/>
      <c r="E1657" s="30"/>
      <c r="F1657" s="35"/>
      <c r="G1657" s="35"/>
      <c r="H1657" s="35" t="str">
        <f t="shared" si="25"/>
        <v/>
      </c>
      <c r="I1657" s="29"/>
      <c r="K1657" s="36" t="str">
        <f>IF(ISNUMBER($D1657),IF(YEAR($D1657)=대시보드!$C$2,$D1657+ROW()/100000,""),"")</f>
        <v/>
      </c>
    </row>
    <row r="1658" spans="1:11">
      <c r="A1658" s="33"/>
      <c r="B1658" s="29"/>
      <c r="C1658" s="29"/>
      <c r="D1658" s="30"/>
      <c r="E1658" s="30"/>
      <c r="F1658" s="35"/>
      <c r="G1658" s="35"/>
      <c r="H1658" s="35" t="str">
        <f t="shared" si="25"/>
        <v/>
      </c>
      <c r="I1658" s="29"/>
      <c r="K1658" s="36" t="str">
        <f>IF(ISNUMBER($D1658),IF(YEAR($D1658)=대시보드!$C$2,$D1658+ROW()/100000,""),"")</f>
        <v/>
      </c>
    </row>
    <row r="1659" spans="1:11">
      <c r="A1659" s="33"/>
      <c r="B1659" s="29"/>
      <c r="C1659" s="29"/>
      <c r="D1659" s="30"/>
      <c r="E1659" s="30"/>
      <c r="F1659" s="35"/>
      <c r="G1659" s="35"/>
      <c r="H1659" s="35" t="str">
        <f t="shared" si="25"/>
        <v/>
      </c>
      <c r="I1659" s="29"/>
      <c r="K1659" s="36" t="str">
        <f>IF(ISNUMBER($D1659),IF(YEAR($D1659)=대시보드!$C$2,$D1659+ROW()/100000,""),"")</f>
        <v/>
      </c>
    </row>
    <row r="1660" spans="1:11">
      <c r="A1660" s="33"/>
      <c r="B1660" s="29"/>
      <c r="C1660" s="29"/>
      <c r="D1660" s="30"/>
      <c r="E1660" s="30"/>
      <c r="F1660" s="35"/>
      <c r="G1660" s="35"/>
      <c r="H1660" s="35" t="str">
        <f t="shared" si="25"/>
        <v/>
      </c>
      <c r="I1660" s="29"/>
      <c r="K1660" s="36" t="str">
        <f>IF(ISNUMBER($D1660),IF(YEAR($D1660)=대시보드!$C$2,$D1660+ROW()/100000,""),"")</f>
        <v/>
      </c>
    </row>
    <row r="1661" spans="1:11">
      <c r="A1661" s="33"/>
      <c r="B1661" s="29"/>
      <c r="C1661" s="29"/>
      <c r="D1661" s="30"/>
      <c r="E1661" s="30"/>
      <c r="F1661" s="35"/>
      <c r="G1661" s="35"/>
      <c r="H1661" s="35" t="str">
        <f t="shared" si="25"/>
        <v/>
      </c>
      <c r="I1661" s="29"/>
      <c r="K1661" s="36" t="str">
        <f>IF(ISNUMBER($D1661),IF(YEAR($D1661)=대시보드!$C$2,$D1661+ROW()/100000,""),"")</f>
        <v/>
      </c>
    </row>
    <row r="1662" spans="1:11">
      <c r="A1662" s="33"/>
      <c r="B1662" s="29"/>
      <c r="C1662" s="29"/>
      <c r="D1662" s="30"/>
      <c r="E1662" s="30"/>
      <c r="F1662" s="35"/>
      <c r="G1662" s="35"/>
      <c r="H1662" s="35" t="str">
        <f t="shared" si="25"/>
        <v/>
      </c>
      <c r="I1662" s="29"/>
      <c r="K1662" s="36" t="str">
        <f>IF(ISNUMBER($D1662),IF(YEAR($D1662)=대시보드!$C$2,$D1662+ROW()/100000,""),"")</f>
        <v/>
      </c>
    </row>
    <row r="1663" spans="1:11">
      <c r="A1663" s="33"/>
      <c r="B1663" s="29"/>
      <c r="C1663" s="29"/>
      <c r="D1663" s="30"/>
      <c r="E1663" s="30"/>
      <c r="F1663" s="35"/>
      <c r="G1663" s="35"/>
      <c r="H1663" s="35" t="str">
        <f t="shared" si="25"/>
        <v/>
      </c>
      <c r="I1663" s="29"/>
      <c r="K1663" s="36" t="str">
        <f>IF(ISNUMBER($D1663),IF(YEAR($D1663)=대시보드!$C$2,$D1663+ROW()/100000,""),"")</f>
        <v/>
      </c>
    </row>
    <row r="1664" spans="1:11">
      <c r="A1664" s="33"/>
      <c r="B1664" s="29"/>
      <c r="C1664" s="29"/>
      <c r="D1664" s="30"/>
      <c r="E1664" s="30"/>
      <c r="F1664" s="35"/>
      <c r="G1664" s="35"/>
      <c r="H1664" s="35" t="str">
        <f t="shared" si="25"/>
        <v/>
      </c>
      <c r="I1664" s="29"/>
      <c r="K1664" s="36" t="str">
        <f>IF(ISNUMBER($D1664),IF(YEAR($D1664)=대시보드!$C$2,$D1664+ROW()/100000,""),"")</f>
        <v/>
      </c>
    </row>
    <row r="1665" spans="1:11">
      <c r="A1665" s="33"/>
      <c r="B1665" s="29"/>
      <c r="C1665" s="29"/>
      <c r="D1665" s="30"/>
      <c r="E1665" s="30"/>
      <c r="F1665" s="35"/>
      <c r="G1665" s="35"/>
      <c r="H1665" s="35" t="str">
        <f t="shared" si="25"/>
        <v/>
      </c>
      <c r="I1665" s="29"/>
      <c r="K1665" s="36" t="str">
        <f>IF(ISNUMBER($D1665),IF(YEAR($D1665)=대시보드!$C$2,$D1665+ROW()/100000,""),"")</f>
        <v/>
      </c>
    </row>
    <row r="1666" spans="1:11">
      <c r="A1666" s="33"/>
      <c r="B1666" s="29"/>
      <c r="C1666" s="29"/>
      <c r="D1666" s="30"/>
      <c r="E1666" s="30"/>
      <c r="F1666" s="35"/>
      <c r="G1666" s="35"/>
      <c r="H1666" s="35" t="str">
        <f t="shared" si="25"/>
        <v/>
      </c>
      <c r="I1666" s="29"/>
      <c r="K1666" s="36" t="str">
        <f>IF(ISNUMBER($D1666),IF(YEAR($D1666)=대시보드!$C$2,$D1666+ROW()/100000,""),"")</f>
        <v/>
      </c>
    </row>
    <row r="1667" spans="1:11">
      <c r="A1667" s="33"/>
      <c r="B1667" s="29"/>
      <c r="C1667" s="29"/>
      <c r="D1667" s="30"/>
      <c r="E1667" s="30"/>
      <c r="F1667" s="35"/>
      <c r="G1667" s="35"/>
      <c r="H1667" s="35" t="str">
        <f t="shared" si="25"/>
        <v/>
      </c>
      <c r="I1667" s="29"/>
      <c r="K1667" s="36" t="str">
        <f>IF(ISNUMBER($D1667),IF(YEAR($D1667)=대시보드!$C$2,$D1667+ROW()/100000,""),"")</f>
        <v/>
      </c>
    </row>
    <row r="1668" spans="1:11">
      <c r="A1668" s="33"/>
      <c r="B1668" s="29"/>
      <c r="C1668" s="29"/>
      <c r="D1668" s="30"/>
      <c r="E1668" s="30"/>
      <c r="F1668" s="35"/>
      <c r="G1668" s="35"/>
      <c r="H1668" s="35" t="str">
        <f t="shared" ref="H1668:H1731" si="26">IF(F1668="","",F1668-G1668)</f>
        <v/>
      </c>
      <c r="I1668" s="29"/>
      <c r="K1668" s="36" t="str">
        <f>IF(ISNUMBER($D1668),IF(YEAR($D1668)=대시보드!$C$2,$D1668+ROW()/100000,""),"")</f>
        <v/>
      </c>
    </row>
    <row r="1669" spans="1:11">
      <c r="A1669" s="33"/>
      <c r="B1669" s="29"/>
      <c r="C1669" s="29"/>
      <c r="D1669" s="30"/>
      <c r="E1669" s="30"/>
      <c r="F1669" s="35"/>
      <c r="G1669" s="35"/>
      <c r="H1669" s="35" t="str">
        <f t="shared" si="26"/>
        <v/>
      </c>
      <c r="I1669" s="29"/>
      <c r="K1669" s="36" t="str">
        <f>IF(ISNUMBER($D1669),IF(YEAR($D1669)=대시보드!$C$2,$D1669+ROW()/100000,""),"")</f>
        <v/>
      </c>
    </row>
    <row r="1670" spans="1:11">
      <c r="A1670" s="33"/>
      <c r="B1670" s="29"/>
      <c r="C1670" s="29"/>
      <c r="D1670" s="30"/>
      <c r="E1670" s="30"/>
      <c r="F1670" s="35"/>
      <c r="G1670" s="35"/>
      <c r="H1670" s="35" t="str">
        <f t="shared" si="26"/>
        <v/>
      </c>
      <c r="I1670" s="29"/>
      <c r="K1670" s="36" t="str">
        <f>IF(ISNUMBER($D1670),IF(YEAR($D1670)=대시보드!$C$2,$D1670+ROW()/100000,""),"")</f>
        <v/>
      </c>
    </row>
    <row r="1671" spans="1:11">
      <c r="A1671" s="33"/>
      <c r="B1671" s="29"/>
      <c r="C1671" s="29"/>
      <c r="D1671" s="30"/>
      <c r="E1671" s="30"/>
      <c r="F1671" s="35"/>
      <c r="G1671" s="35"/>
      <c r="H1671" s="35" t="str">
        <f t="shared" si="26"/>
        <v/>
      </c>
      <c r="I1671" s="29"/>
      <c r="K1671" s="36" t="str">
        <f>IF(ISNUMBER($D1671),IF(YEAR($D1671)=대시보드!$C$2,$D1671+ROW()/100000,""),"")</f>
        <v/>
      </c>
    </row>
    <row r="1672" spans="1:11">
      <c r="A1672" s="33"/>
      <c r="B1672" s="29"/>
      <c r="C1672" s="29"/>
      <c r="D1672" s="30"/>
      <c r="E1672" s="30"/>
      <c r="F1672" s="35"/>
      <c r="G1672" s="35"/>
      <c r="H1672" s="35" t="str">
        <f t="shared" si="26"/>
        <v/>
      </c>
      <c r="I1672" s="29"/>
      <c r="K1672" s="36" t="str">
        <f>IF(ISNUMBER($D1672),IF(YEAR($D1672)=대시보드!$C$2,$D1672+ROW()/100000,""),"")</f>
        <v/>
      </c>
    </row>
    <row r="1673" spans="1:11">
      <c r="A1673" s="33"/>
      <c r="B1673" s="29"/>
      <c r="C1673" s="29"/>
      <c r="D1673" s="30"/>
      <c r="E1673" s="30"/>
      <c r="F1673" s="35"/>
      <c r="G1673" s="35"/>
      <c r="H1673" s="35" t="str">
        <f t="shared" si="26"/>
        <v/>
      </c>
      <c r="I1673" s="29"/>
      <c r="K1673" s="36" t="str">
        <f>IF(ISNUMBER($D1673),IF(YEAR($D1673)=대시보드!$C$2,$D1673+ROW()/100000,""),"")</f>
        <v/>
      </c>
    </row>
    <row r="1674" spans="1:11">
      <c r="A1674" s="33"/>
      <c r="B1674" s="29"/>
      <c r="C1674" s="29"/>
      <c r="D1674" s="30"/>
      <c r="E1674" s="30"/>
      <c r="F1674" s="35"/>
      <c r="G1674" s="35"/>
      <c r="H1674" s="35" t="str">
        <f t="shared" si="26"/>
        <v/>
      </c>
      <c r="I1674" s="29"/>
      <c r="K1674" s="36" t="str">
        <f>IF(ISNUMBER($D1674),IF(YEAR($D1674)=대시보드!$C$2,$D1674+ROW()/100000,""),"")</f>
        <v/>
      </c>
    </row>
    <row r="1675" spans="1:11">
      <c r="A1675" s="33"/>
      <c r="B1675" s="29"/>
      <c r="C1675" s="29"/>
      <c r="D1675" s="30"/>
      <c r="E1675" s="30"/>
      <c r="F1675" s="35"/>
      <c r="G1675" s="35"/>
      <c r="H1675" s="35" t="str">
        <f t="shared" si="26"/>
        <v/>
      </c>
      <c r="I1675" s="29"/>
      <c r="K1675" s="36" t="str">
        <f>IF(ISNUMBER($D1675),IF(YEAR($D1675)=대시보드!$C$2,$D1675+ROW()/100000,""),"")</f>
        <v/>
      </c>
    </row>
    <row r="1676" spans="1:11">
      <c r="A1676" s="33"/>
      <c r="B1676" s="29"/>
      <c r="C1676" s="29"/>
      <c r="D1676" s="30"/>
      <c r="E1676" s="30"/>
      <c r="F1676" s="35"/>
      <c r="G1676" s="35"/>
      <c r="H1676" s="35" t="str">
        <f t="shared" si="26"/>
        <v/>
      </c>
      <c r="I1676" s="29"/>
      <c r="K1676" s="36" t="str">
        <f>IF(ISNUMBER($D1676),IF(YEAR($D1676)=대시보드!$C$2,$D1676+ROW()/100000,""),"")</f>
        <v/>
      </c>
    </row>
    <row r="1677" spans="1:11">
      <c r="A1677" s="33"/>
      <c r="B1677" s="29"/>
      <c r="C1677" s="29"/>
      <c r="D1677" s="30"/>
      <c r="E1677" s="30"/>
      <c r="F1677" s="35"/>
      <c r="G1677" s="35"/>
      <c r="H1677" s="35" t="str">
        <f t="shared" si="26"/>
        <v/>
      </c>
      <c r="I1677" s="29"/>
      <c r="K1677" s="36" t="str">
        <f>IF(ISNUMBER($D1677),IF(YEAR($D1677)=대시보드!$C$2,$D1677+ROW()/100000,""),"")</f>
        <v/>
      </c>
    </row>
    <row r="1678" spans="1:11">
      <c r="A1678" s="33"/>
      <c r="B1678" s="29"/>
      <c r="C1678" s="29"/>
      <c r="D1678" s="30"/>
      <c r="E1678" s="30"/>
      <c r="F1678" s="35"/>
      <c r="G1678" s="35"/>
      <c r="H1678" s="35" t="str">
        <f t="shared" si="26"/>
        <v/>
      </c>
      <c r="I1678" s="29"/>
      <c r="K1678" s="36" t="str">
        <f>IF(ISNUMBER($D1678),IF(YEAR($D1678)=대시보드!$C$2,$D1678+ROW()/100000,""),"")</f>
        <v/>
      </c>
    </row>
    <row r="1679" spans="1:11">
      <c r="A1679" s="33"/>
      <c r="B1679" s="29"/>
      <c r="C1679" s="29"/>
      <c r="D1679" s="30"/>
      <c r="E1679" s="30"/>
      <c r="F1679" s="35"/>
      <c r="G1679" s="35"/>
      <c r="H1679" s="35" t="str">
        <f t="shared" si="26"/>
        <v/>
      </c>
      <c r="I1679" s="29"/>
      <c r="K1679" s="36" t="str">
        <f>IF(ISNUMBER($D1679),IF(YEAR($D1679)=대시보드!$C$2,$D1679+ROW()/100000,""),"")</f>
        <v/>
      </c>
    </row>
    <row r="1680" spans="1:11">
      <c r="A1680" s="33"/>
      <c r="B1680" s="29"/>
      <c r="C1680" s="29"/>
      <c r="D1680" s="30"/>
      <c r="E1680" s="30"/>
      <c r="F1680" s="35"/>
      <c r="G1680" s="35"/>
      <c r="H1680" s="35" t="str">
        <f t="shared" si="26"/>
        <v/>
      </c>
      <c r="I1680" s="29"/>
      <c r="K1680" s="36" t="str">
        <f>IF(ISNUMBER($D1680),IF(YEAR($D1680)=대시보드!$C$2,$D1680+ROW()/100000,""),"")</f>
        <v/>
      </c>
    </row>
    <row r="1681" spans="1:11">
      <c r="A1681" s="33"/>
      <c r="B1681" s="29"/>
      <c r="C1681" s="29"/>
      <c r="D1681" s="30"/>
      <c r="E1681" s="30"/>
      <c r="F1681" s="35"/>
      <c r="G1681" s="35"/>
      <c r="H1681" s="35" t="str">
        <f t="shared" si="26"/>
        <v/>
      </c>
      <c r="I1681" s="29"/>
      <c r="K1681" s="36" t="str">
        <f>IF(ISNUMBER($D1681),IF(YEAR($D1681)=대시보드!$C$2,$D1681+ROW()/100000,""),"")</f>
        <v/>
      </c>
    </row>
    <row r="1682" spans="1:11">
      <c r="A1682" s="33"/>
      <c r="B1682" s="29"/>
      <c r="C1682" s="29"/>
      <c r="D1682" s="30"/>
      <c r="E1682" s="30"/>
      <c r="F1682" s="35"/>
      <c r="G1682" s="35"/>
      <c r="H1682" s="35" t="str">
        <f t="shared" si="26"/>
        <v/>
      </c>
      <c r="I1682" s="29"/>
      <c r="K1682" s="36" t="str">
        <f>IF(ISNUMBER($D1682),IF(YEAR($D1682)=대시보드!$C$2,$D1682+ROW()/100000,""),"")</f>
        <v/>
      </c>
    </row>
    <row r="1683" spans="1:11">
      <c r="A1683" s="33"/>
      <c r="B1683" s="29"/>
      <c r="C1683" s="29"/>
      <c r="D1683" s="30"/>
      <c r="E1683" s="30"/>
      <c r="F1683" s="35"/>
      <c r="G1683" s="35"/>
      <c r="H1683" s="35" t="str">
        <f t="shared" si="26"/>
        <v/>
      </c>
      <c r="I1683" s="29"/>
      <c r="K1683" s="36" t="str">
        <f>IF(ISNUMBER($D1683),IF(YEAR($D1683)=대시보드!$C$2,$D1683+ROW()/100000,""),"")</f>
        <v/>
      </c>
    </row>
    <row r="1684" spans="1:11">
      <c r="A1684" s="33"/>
      <c r="B1684" s="29"/>
      <c r="C1684" s="29"/>
      <c r="D1684" s="30"/>
      <c r="E1684" s="30"/>
      <c r="F1684" s="35"/>
      <c r="G1684" s="35"/>
      <c r="H1684" s="35" t="str">
        <f t="shared" si="26"/>
        <v/>
      </c>
      <c r="I1684" s="29"/>
      <c r="K1684" s="36" t="str">
        <f>IF(ISNUMBER($D1684),IF(YEAR($D1684)=대시보드!$C$2,$D1684+ROW()/100000,""),"")</f>
        <v/>
      </c>
    </row>
    <row r="1685" spans="1:11">
      <c r="A1685" s="33"/>
      <c r="B1685" s="29"/>
      <c r="C1685" s="29"/>
      <c r="D1685" s="30"/>
      <c r="E1685" s="30"/>
      <c r="F1685" s="35"/>
      <c r="G1685" s="35"/>
      <c r="H1685" s="35" t="str">
        <f t="shared" si="26"/>
        <v/>
      </c>
      <c r="I1685" s="29"/>
      <c r="K1685" s="36" t="str">
        <f>IF(ISNUMBER($D1685),IF(YEAR($D1685)=대시보드!$C$2,$D1685+ROW()/100000,""),"")</f>
        <v/>
      </c>
    </row>
    <row r="1686" spans="1:11">
      <c r="A1686" s="33"/>
      <c r="B1686" s="29"/>
      <c r="C1686" s="29"/>
      <c r="D1686" s="30"/>
      <c r="E1686" s="30"/>
      <c r="F1686" s="35"/>
      <c r="G1686" s="35"/>
      <c r="H1686" s="35" t="str">
        <f t="shared" si="26"/>
        <v/>
      </c>
      <c r="I1686" s="29"/>
      <c r="K1686" s="36" t="str">
        <f>IF(ISNUMBER($D1686),IF(YEAR($D1686)=대시보드!$C$2,$D1686+ROW()/100000,""),"")</f>
        <v/>
      </c>
    </row>
    <row r="1687" spans="1:11">
      <c r="A1687" s="33"/>
      <c r="B1687" s="29"/>
      <c r="C1687" s="29"/>
      <c r="D1687" s="30"/>
      <c r="E1687" s="30"/>
      <c r="F1687" s="35"/>
      <c r="G1687" s="35"/>
      <c r="H1687" s="35" t="str">
        <f t="shared" si="26"/>
        <v/>
      </c>
      <c r="I1687" s="29"/>
      <c r="K1687" s="36" t="str">
        <f>IF(ISNUMBER($D1687),IF(YEAR($D1687)=대시보드!$C$2,$D1687+ROW()/100000,""),"")</f>
        <v/>
      </c>
    </row>
    <row r="1688" spans="1:11">
      <c r="A1688" s="33"/>
      <c r="B1688" s="29"/>
      <c r="C1688" s="29"/>
      <c r="D1688" s="30"/>
      <c r="E1688" s="30"/>
      <c r="F1688" s="35"/>
      <c r="G1688" s="35"/>
      <c r="H1688" s="35" t="str">
        <f t="shared" si="26"/>
        <v/>
      </c>
      <c r="I1688" s="29"/>
      <c r="K1688" s="36" t="str">
        <f>IF(ISNUMBER($D1688),IF(YEAR($D1688)=대시보드!$C$2,$D1688+ROW()/100000,""),"")</f>
        <v/>
      </c>
    </row>
    <row r="1689" spans="1:11">
      <c r="A1689" s="33"/>
      <c r="B1689" s="29"/>
      <c r="C1689" s="29"/>
      <c r="D1689" s="30"/>
      <c r="E1689" s="30"/>
      <c r="F1689" s="35"/>
      <c r="G1689" s="35"/>
      <c r="H1689" s="35" t="str">
        <f t="shared" si="26"/>
        <v/>
      </c>
      <c r="I1689" s="29"/>
      <c r="K1689" s="36" t="str">
        <f>IF(ISNUMBER($D1689),IF(YEAR($D1689)=대시보드!$C$2,$D1689+ROW()/100000,""),"")</f>
        <v/>
      </c>
    </row>
    <row r="1690" spans="1:11">
      <c r="A1690" s="33"/>
      <c r="B1690" s="29"/>
      <c r="C1690" s="29"/>
      <c r="D1690" s="30"/>
      <c r="E1690" s="30"/>
      <c r="F1690" s="35"/>
      <c r="G1690" s="35"/>
      <c r="H1690" s="35" t="str">
        <f t="shared" si="26"/>
        <v/>
      </c>
      <c r="I1690" s="29"/>
      <c r="K1690" s="36" t="str">
        <f>IF(ISNUMBER($D1690),IF(YEAR($D1690)=대시보드!$C$2,$D1690+ROW()/100000,""),"")</f>
        <v/>
      </c>
    </row>
    <row r="1691" spans="1:11">
      <c r="A1691" s="33"/>
      <c r="B1691" s="29"/>
      <c r="C1691" s="29"/>
      <c r="D1691" s="30"/>
      <c r="E1691" s="30"/>
      <c r="F1691" s="35"/>
      <c r="G1691" s="35"/>
      <c r="H1691" s="35" t="str">
        <f t="shared" si="26"/>
        <v/>
      </c>
      <c r="I1691" s="29"/>
      <c r="K1691" s="36" t="str">
        <f>IF(ISNUMBER($D1691),IF(YEAR($D1691)=대시보드!$C$2,$D1691+ROW()/100000,""),"")</f>
        <v/>
      </c>
    </row>
    <row r="1692" spans="1:11">
      <c r="A1692" s="33"/>
      <c r="B1692" s="29"/>
      <c r="C1692" s="29"/>
      <c r="D1692" s="30"/>
      <c r="E1692" s="30"/>
      <c r="F1692" s="35"/>
      <c r="G1692" s="35"/>
      <c r="H1692" s="35" t="str">
        <f t="shared" si="26"/>
        <v/>
      </c>
      <c r="I1692" s="29"/>
      <c r="K1692" s="36" t="str">
        <f>IF(ISNUMBER($D1692),IF(YEAR($D1692)=대시보드!$C$2,$D1692+ROW()/100000,""),"")</f>
        <v/>
      </c>
    </row>
    <row r="1693" spans="1:11">
      <c r="A1693" s="33"/>
      <c r="B1693" s="29"/>
      <c r="C1693" s="29"/>
      <c r="D1693" s="30"/>
      <c r="E1693" s="30"/>
      <c r="F1693" s="35"/>
      <c r="G1693" s="35"/>
      <c r="H1693" s="35" t="str">
        <f t="shared" si="26"/>
        <v/>
      </c>
      <c r="I1693" s="29"/>
      <c r="K1693" s="36" t="str">
        <f>IF(ISNUMBER($D1693),IF(YEAR($D1693)=대시보드!$C$2,$D1693+ROW()/100000,""),"")</f>
        <v/>
      </c>
    </row>
    <row r="1694" spans="1:11">
      <c r="A1694" s="33"/>
      <c r="B1694" s="29"/>
      <c r="C1694" s="29"/>
      <c r="D1694" s="30"/>
      <c r="E1694" s="30"/>
      <c r="F1694" s="35"/>
      <c r="G1694" s="35"/>
      <c r="H1694" s="35" t="str">
        <f t="shared" si="26"/>
        <v/>
      </c>
      <c r="I1694" s="29"/>
      <c r="K1694" s="36" t="str">
        <f>IF(ISNUMBER($D1694),IF(YEAR($D1694)=대시보드!$C$2,$D1694+ROW()/100000,""),"")</f>
        <v/>
      </c>
    </row>
    <row r="1695" spans="1:11">
      <c r="A1695" s="33"/>
      <c r="B1695" s="29"/>
      <c r="C1695" s="29"/>
      <c r="D1695" s="30"/>
      <c r="E1695" s="30"/>
      <c r="F1695" s="35"/>
      <c r="G1695" s="35"/>
      <c r="H1695" s="35" t="str">
        <f t="shared" si="26"/>
        <v/>
      </c>
      <c r="I1695" s="29"/>
      <c r="K1695" s="36" t="str">
        <f>IF(ISNUMBER($D1695),IF(YEAR($D1695)=대시보드!$C$2,$D1695+ROW()/100000,""),"")</f>
        <v/>
      </c>
    </row>
    <row r="1696" spans="1:11">
      <c r="A1696" s="33"/>
      <c r="B1696" s="29"/>
      <c r="C1696" s="29"/>
      <c r="D1696" s="30"/>
      <c r="E1696" s="30"/>
      <c r="F1696" s="35"/>
      <c r="G1696" s="35"/>
      <c r="H1696" s="35" t="str">
        <f t="shared" si="26"/>
        <v/>
      </c>
      <c r="I1696" s="29"/>
      <c r="K1696" s="36" t="str">
        <f>IF(ISNUMBER($D1696),IF(YEAR($D1696)=대시보드!$C$2,$D1696+ROW()/100000,""),"")</f>
        <v/>
      </c>
    </row>
    <row r="1697" spans="1:11">
      <c r="A1697" s="33"/>
      <c r="B1697" s="29"/>
      <c r="C1697" s="29"/>
      <c r="D1697" s="30"/>
      <c r="E1697" s="30"/>
      <c r="F1697" s="35"/>
      <c r="G1697" s="35"/>
      <c r="H1697" s="35" t="str">
        <f t="shared" si="26"/>
        <v/>
      </c>
      <c r="I1697" s="29"/>
      <c r="K1697" s="36" t="str">
        <f>IF(ISNUMBER($D1697),IF(YEAR($D1697)=대시보드!$C$2,$D1697+ROW()/100000,""),"")</f>
        <v/>
      </c>
    </row>
    <row r="1698" spans="1:11">
      <c r="A1698" s="33"/>
      <c r="B1698" s="29"/>
      <c r="C1698" s="29"/>
      <c r="D1698" s="30"/>
      <c r="E1698" s="30"/>
      <c r="F1698" s="35"/>
      <c r="G1698" s="35"/>
      <c r="H1698" s="35" t="str">
        <f t="shared" si="26"/>
        <v/>
      </c>
      <c r="I1698" s="29"/>
      <c r="K1698" s="36" t="str">
        <f>IF(ISNUMBER($D1698),IF(YEAR($D1698)=대시보드!$C$2,$D1698+ROW()/100000,""),"")</f>
        <v/>
      </c>
    </row>
    <row r="1699" spans="1:11">
      <c r="A1699" s="33"/>
      <c r="B1699" s="29"/>
      <c r="C1699" s="29"/>
      <c r="D1699" s="30"/>
      <c r="E1699" s="30"/>
      <c r="F1699" s="35"/>
      <c r="G1699" s="35"/>
      <c r="H1699" s="35" t="str">
        <f t="shared" si="26"/>
        <v/>
      </c>
      <c r="I1699" s="29"/>
      <c r="K1699" s="36" t="str">
        <f>IF(ISNUMBER($D1699),IF(YEAR($D1699)=대시보드!$C$2,$D1699+ROW()/100000,""),"")</f>
        <v/>
      </c>
    </row>
    <row r="1700" spans="1:11">
      <c r="A1700" s="33"/>
      <c r="B1700" s="29"/>
      <c r="C1700" s="29"/>
      <c r="D1700" s="30"/>
      <c r="E1700" s="30"/>
      <c r="F1700" s="35"/>
      <c r="G1700" s="35"/>
      <c r="H1700" s="35" t="str">
        <f t="shared" si="26"/>
        <v/>
      </c>
      <c r="I1700" s="29"/>
      <c r="K1700" s="36" t="str">
        <f>IF(ISNUMBER($D1700),IF(YEAR($D1700)=대시보드!$C$2,$D1700+ROW()/100000,""),"")</f>
        <v/>
      </c>
    </row>
    <row r="1701" spans="1:11">
      <c r="A1701" s="33"/>
      <c r="B1701" s="29"/>
      <c r="C1701" s="29"/>
      <c r="D1701" s="30"/>
      <c r="E1701" s="30"/>
      <c r="F1701" s="35"/>
      <c r="G1701" s="35"/>
      <c r="H1701" s="35" t="str">
        <f t="shared" si="26"/>
        <v/>
      </c>
      <c r="I1701" s="29"/>
      <c r="K1701" s="36" t="str">
        <f>IF(ISNUMBER($D1701),IF(YEAR($D1701)=대시보드!$C$2,$D1701+ROW()/100000,""),"")</f>
        <v/>
      </c>
    </row>
    <row r="1702" spans="1:11">
      <c r="A1702" s="33"/>
      <c r="B1702" s="29"/>
      <c r="C1702" s="29"/>
      <c r="D1702" s="30"/>
      <c r="E1702" s="30"/>
      <c r="F1702" s="35"/>
      <c r="G1702" s="35"/>
      <c r="H1702" s="35" t="str">
        <f t="shared" si="26"/>
        <v/>
      </c>
      <c r="I1702" s="29"/>
      <c r="K1702" s="36" t="str">
        <f>IF(ISNUMBER($D1702),IF(YEAR($D1702)=대시보드!$C$2,$D1702+ROW()/100000,""),"")</f>
        <v/>
      </c>
    </row>
    <row r="1703" spans="1:11">
      <c r="A1703" s="33"/>
      <c r="B1703" s="29"/>
      <c r="C1703" s="29"/>
      <c r="D1703" s="30"/>
      <c r="E1703" s="30"/>
      <c r="F1703" s="35"/>
      <c r="G1703" s="35"/>
      <c r="H1703" s="35" t="str">
        <f t="shared" si="26"/>
        <v/>
      </c>
      <c r="I1703" s="29"/>
      <c r="K1703" s="36" t="str">
        <f>IF(ISNUMBER($D1703),IF(YEAR($D1703)=대시보드!$C$2,$D1703+ROW()/100000,""),"")</f>
        <v/>
      </c>
    </row>
    <row r="1704" spans="1:11">
      <c r="A1704" s="33"/>
      <c r="B1704" s="29"/>
      <c r="C1704" s="29"/>
      <c r="D1704" s="30"/>
      <c r="E1704" s="30"/>
      <c r="F1704" s="35"/>
      <c r="G1704" s="35"/>
      <c r="H1704" s="35" t="str">
        <f t="shared" si="26"/>
        <v/>
      </c>
      <c r="I1704" s="29"/>
      <c r="K1704" s="36" t="str">
        <f>IF(ISNUMBER($D1704),IF(YEAR($D1704)=대시보드!$C$2,$D1704+ROW()/100000,""),"")</f>
        <v/>
      </c>
    </row>
    <row r="1705" spans="1:11">
      <c r="A1705" s="33"/>
      <c r="B1705" s="29"/>
      <c r="C1705" s="29"/>
      <c r="D1705" s="30"/>
      <c r="E1705" s="30"/>
      <c r="F1705" s="35"/>
      <c r="G1705" s="35"/>
      <c r="H1705" s="35" t="str">
        <f t="shared" si="26"/>
        <v/>
      </c>
      <c r="I1705" s="29"/>
      <c r="K1705" s="36" t="str">
        <f>IF(ISNUMBER($D1705),IF(YEAR($D1705)=대시보드!$C$2,$D1705+ROW()/100000,""),"")</f>
        <v/>
      </c>
    </row>
    <row r="1706" spans="1:11">
      <c r="A1706" s="33"/>
      <c r="B1706" s="29"/>
      <c r="C1706" s="29"/>
      <c r="D1706" s="30"/>
      <c r="E1706" s="30"/>
      <c r="F1706" s="35"/>
      <c r="G1706" s="35"/>
      <c r="H1706" s="35" t="str">
        <f t="shared" si="26"/>
        <v/>
      </c>
      <c r="I1706" s="29"/>
      <c r="K1706" s="36" t="str">
        <f>IF(ISNUMBER($D1706),IF(YEAR($D1706)=대시보드!$C$2,$D1706+ROW()/100000,""),"")</f>
        <v/>
      </c>
    </row>
    <row r="1707" spans="1:11">
      <c r="A1707" s="33"/>
      <c r="B1707" s="29"/>
      <c r="C1707" s="29"/>
      <c r="D1707" s="30"/>
      <c r="E1707" s="30"/>
      <c r="F1707" s="35"/>
      <c r="G1707" s="35"/>
      <c r="H1707" s="35" t="str">
        <f t="shared" si="26"/>
        <v/>
      </c>
      <c r="I1707" s="29"/>
      <c r="K1707" s="36" t="str">
        <f>IF(ISNUMBER($D1707),IF(YEAR($D1707)=대시보드!$C$2,$D1707+ROW()/100000,""),"")</f>
        <v/>
      </c>
    </row>
    <row r="1708" spans="1:11">
      <c r="A1708" s="33"/>
      <c r="B1708" s="29"/>
      <c r="C1708" s="29"/>
      <c r="D1708" s="30"/>
      <c r="E1708" s="30"/>
      <c r="F1708" s="35"/>
      <c r="G1708" s="35"/>
      <c r="H1708" s="35" t="str">
        <f t="shared" si="26"/>
        <v/>
      </c>
      <c r="I1708" s="29"/>
      <c r="K1708" s="36" t="str">
        <f>IF(ISNUMBER($D1708),IF(YEAR($D1708)=대시보드!$C$2,$D1708+ROW()/100000,""),"")</f>
        <v/>
      </c>
    </row>
    <row r="1709" spans="1:11">
      <c r="A1709" s="33"/>
      <c r="B1709" s="29"/>
      <c r="C1709" s="29"/>
      <c r="D1709" s="30"/>
      <c r="E1709" s="30"/>
      <c r="F1709" s="35"/>
      <c r="G1709" s="35"/>
      <c r="H1709" s="35" t="str">
        <f t="shared" si="26"/>
        <v/>
      </c>
      <c r="I1709" s="29"/>
      <c r="K1709" s="36" t="str">
        <f>IF(ISNUMBER($D1709),IF(YEAR($D1709)=대시보드!$C$2,$D1709+ROW()/100000,""),"")</f>
        <v/>
      </c>
    </row>
    <row r="1710" spans="1:11">
      <c r="A1710" s="33"/>
      <c r="B1710" s="29"/>
      <c r="C1710" s="29"/>
      <c r="D1710" s="30"/>
      <c r="E1710" s="30"/>
      <c r="F1710" s="35"/>
      <c r="G1710" s="35"/>
      <c r="H1710" s="35" t="str">
        <f t="shared" si="26"/>
        <v/>
      </c>
      <c r="I1710" s="29"/>
      <c r="K1710" s="36" t="str">
        <f>IF(ISNUMBER($D1710),IF(YEAR($D1710)=대시보드!$C$2,$D1710+ROW()/100000,""),"")</f>
        <v/>
      </c>
    </row>
    <row r="1711" spans="1:11">
      <c r="A1711" s="33"/>
      <c r="B1711" s="29"/>
      <c r="C1711" s="29"/>
      <c r="D1711" s="30"/>
      <c r="E1711" s="30"/>
      <c r="F1711" s="35"/>
      <c r="G1711" s="35"/>
      <c r="H1711" s="35" t="str">
        <f t="shared" si="26"/>
        <v/>
      </c>
      <c r="I1711" s="29"/>
      <c r="K1711" s="36" t="str">
        <f>IF(ISNUMBER($D1711),IF(YEAR($D1711)=대시보드!$C$2,$D1711+ROW()/100000,""),"")</f>
        <v/>
      </c>
    </row>
    <row r="1712" spans="1:11">
      <c r="A1712" s="33"/>
      <c r="B1712" s="29"/>
      <c r="C1712" s="29"/>
      <c r="D1712" s="30"/>
      <c r="E1712" s="30"/>
      <c r="F1712" s="35"/>
      <c r="G1712" s="35"/>
      <c r="H1712" s="35" t="str">
        <f t="shared" si="26"/>
        <v/>
      </c>
      <c r="I1712" s="29"/>
      <c r="K1712" s="36" t="str">
        <f>IF(ISNUMBER($D1712),IF(YEAR($D1712)=대시보드!$C$2,$D1712+ROW()/100000,""),"")</f>
        <v/>
      </c>
    </row>
    <row r="1713" spans="1:11">
      <c r="A1713" s="33"/>
      <c r="B1713" s="29"/>
      <c r="C1713" s="29"/>
      <c r="D1713" s="30"/>
      <c r="E1713" s="30"/>
      <c r="F1713" s="35"/>
      <c r="G1713" s="35"/>
      <c r="H1713" s="35" t="str">
        <f t="shared" si="26"/>
        <v/>
      </c>
      <c r="I1713" s="29"/>
      <c r="K1713" s="36" t="str">
        <f>IF(ISNUMBER($D1713),IF(YEAR($D1713)=대시보드!$C$2,$D1713+ROW()/100000,""),"")</f>
        <v/>
      </c>
    </row>
    <row r="1714" spans="1:11">
      <c r="A1714" s="33"/>
      <c r="B1714" s="29"/>
      <c r="C1714" s="29"/>
      <c r="D1714" s="30"/>
      <c r="E1714" s="30"/>
      <c r="F1714" s="35"/>
      <c r="G1714" s="35"/>
      <c r="H1714" s="35" t="str">
        <f t="shared" si="26"/>
        <v/>
      </c>
      <c r="I1714" s="29"/>
      <c r="K1714" s="36" t="str">
        <f>IF(ISNUMBER($D1714),IF(YEAR($D1714)=대시보드!$C$2,$D1714+ROW()/100000,""),"")</f>
        <v/>
      </c>
    </row>
    <row r="1715" spans="1:11">
      <c r="A1715" s="33"/>
      <c r="B1715" s="29"/>
      <c r="C1715" s="29"/>
      <c r="D1715" s="30"/>
      <c r="E1715" s="30"/>
      <c r="F1715" s="35"/>
      <c r="G1715" s="35"/>
      <c r="H1715" s="35" t="str">
        <f t="shared" si="26"/>
        <v/>
      </c>
      <c r="I1715" s="29"/>
      <c r="K1715" s="36" t="str">
        <f>IF(ISNUMBER($D1715),IF(YEAR($D1715)=대시보드!$C$2,$D1715+ROW()/100000,""),"")</f>
        <v/>
      </c>
    </row>
    <row r="1716" spans="1:11">
      <c r="A1716" s="33"/>
      <c r="B1716" s="29"/>
      <c r="C1716" s="29"/>
      <c r="D1716" s="30"/>
      <c r="E1716" s="30"/>
      <c r="F1716" s="35"/>
      <c r="G1716" s="35"/>
      <c r="H1716" s="35" t="str">
        <f t="shared" si="26"/>
        <v/>
      </c>
      <c r="I1716" s="29"/>
      <c r="K1716" s="36" t="str">
        <f>IF(ISNUMBER($D1716),IF(YEAR($D1716)=대시보드!$C$2,$D1716+ROW()/100000,""),"")</f>
        <v/>
      </c>
    </row>
    <row r="1717" spans="1:11">
      <c r="A1717" s="33"/>
      <c r="B1717" s="29"/>
      <c r="C1717" s="29"/>
      <c r="D1717" s="30"/>
      <c r="E1717" s="30"/>
      <c r="F1717" s="35"/>
      <c r="G1717" s="35"/>
      <c r="H1717" s="35" t="str">
        <f t="shared" si="26"/>
        <v/>
      </c>
      <c r="I1717" s="29"/>
      <c r="K1717" s="36" t="str">
        <f>IF(ISNUMBER($D1717),IF(YEAR($D1717)=대시보드!$C$2,$D1717+ROW()/100000,""),"")</f>
        <v/>
      </c>
    </row>
    <row r="1718" spans="1:11">
      <c r="A1718" s="33"/>
      <c r="B1718" s="29"/>
      <c r="C1718" s="29"/>
      <c r="D1718" s="30"/>
      <c r="E1718" s="30"/>
      <c r="F1718" s="35"/>
      <c r="G1718" s="35"/>
      <c r="H1718" s="35" t="str">
        <f t="shared" si="26"/>
        <v/>
      </c>
      <c r="I1718" s="29"/>
      <c r="K1718" s="36" t="str">
        <f>IF(ISNUMBER($D1718),IF(YEAR($D1718)=대시보드!$C$2,$D1718+ROW()/100000,""),"")</f>
        <v/>
      </c>
    </row>
    <row r="1719" spans="1:11">
      <c r="A1719" s="33"/>
      <c r="B1719" s="29"/>
      <c r="C1719" s="29"/>
      <c r="D1719" s="30"/>
      <c r="E1719" s="30"/>
      <c r="F1719" s="35"/>
      <c r="G1719" s="35"/>
      <c r="H1719" s="35" t="str">
        <f t="shared" si="26"/>
        <v/>
      </c>
      <c r="I1719" s="29"/>
      <c r="K1719" s="36" t="str">
        <f>IF(ISNUMBER($D1719),IF(YEAR($D1719)=대시보드!$C$2,$D1719+ROW()/100000,""),"")</f>
        <v/>
      </c>
    </row>
    <row r="1720" spans="1:11">
      <c r="A1720" s="33"/>
      <c r="B1720" s="29"/>
      <c r="C1720" s="29"/>
      <c r="D1720" s="30"/>
      <c r="E1720" s="30"/>
      <c r="F1720" s="35"/>
      <c r="G1720" s="35"/>
      <c r="H1720" s="35" t="str">
        <f t="shared" si="26"/>
        <v/>
      </c>
      <c r="I1720" s="29"/>
      <c r="K1720" s="36" t="str">
        <f>IF(ISNUMBER($D1720),IF(YEAR($D1720)=대시보드!$C$2,$D1720+ROW()/100000,""),"")</f>
        <v/>
      </c>
    </row>
    <row r="1721" spans="1:11">
      <c r="A1721" s="33"/>
      <c r="B1721" s="29"/>
      <c r="C1721" s="29"/>
      <c r="D1721" s="30"/>
      <c r="E1721" s="30"/>
      <c r="F1721" s="35"/>
      <c r="G1721" s="35"/>
      <c r="H1721" s="35" t="str">
        <f t="shared" si="26"/>
        <v/>
      </c>
      <c r="I1721" s="29"/>
      <c r="K1721" s="36" t="str">
        <f>IF(ISNUMBER($D1721),IF(YEAR($D1721)=대시보드!$C$2,$D1721+ROW()/100000,""),"")</f>
        <v/>
      </c>
    </row>
    <row r="1722" spans="1:11">
      <c r="A1722" s="33"/>
      <c r="B1722" s="29"/>
      <c r="C1722" s="29"/>
      <c r="D1722" s="30"/>
      <c r="E1722" s="30"/>
      <c r="F1722" s="35"/>
      <c r="G1722" s="35"/>
      <c r="H1722" s="35" t="str">
        <f t="shared" si="26"/>
        <v/>
      </c>
      <c r="I1722" s="29"/>
      <c r="K1722" s="36" t="str">
        <f>IF(ISNUMBER($D1722),IF(YEAR($D1722)=대시보드!$C$2,$D1722+ROW()/100000,""),"")</f>
        <v/>
      </c>
    </row>
    <row r="1723" spans="1:11">
      <c r="A1723" s="33"/>
      <c r="B1723" s="29"/>
      <c r="C1723" s="29"/>
      <c r="D1723" s="30"/>
      <c r="E1723" s="30"/>
      <c r="F1723" s="35"/>
      <c r="G1723" s="35"/>
      <c r="H1723" s="35" t="str">
        <f t="shared" si="26"/>
        <v/>
      </c>
      <c r="I1723" s="29"/>
      <c r="K1723" s="36" t="str">
        <f>IF(ISNUMBER($D1723),IF(YEAR($D1723)=대시보드!$C$2,$D1723+ROW()/100000,""),"")</f>
        <v/>
      </c>
    </row>
    <row r="1724" spans="1:11">
      <c r="A1724" s="33"/>
      <c r="B1724" s="29"/>
      <c r="C1724" s="29"/>
      <c r="D1724" s="30"/>
      <c r="E1724" s="30"/>
      <c r="F1724" s="35"/>
      <c r="G1724" s="35"/>
      <c r="H1724" s="35" t="str">
        <f t="shared" si="26"/>
        <v/>
      </c>
      <c r="I1724" s="29"/>
      <c r="K1724" s="36" t="str">
        <f>IF(ISNUMBER($D1724),IF(YEAR($D1724)=대시보드!$C$2,$D1724+ROW()/100000,""),"")</f>
        <v/>
      </c>
    </row>
    <row r="1725" spans="1:11">
      <c r="A1725" s="33"/>
      <c r="B1725" s="29"/>
      <c r="C1725" s="29"/>
      <c r="D1725" s="30"/>
      <c r="E1725" s="30"/>
      <c r="F1725" s="35"/>
      <c r="G1725" s="35"/>
      <c r="H1725" s="35" t="str">
        <f t="shared" si="26"/>
        <v/>
      </c>
      <c r="I1725" s="29"/>
      <c r="K1725" s="36" t="str">
        <f>IF(ISNUMBER($D1725),IF(YEAR($D1725)=대시보드!$C$2,$D1725+ROW()/100000,""),"")</f>
        <v/>
      </c>
    </row>
    <row r="1726" spans="1:11">
      <c r="A1726" s="33"/>
      <c r="B1726" s="29"/>
      <c r="C1726" s="29"/>
      <c r="D1726" s="30"/>
      <c r="E1726" s="30"/>
      <c r="F1726" s="35"/>
      <c r="G1726" s="35"/>
      <c r="H1726" s="35" t="str">
        <f t="shared" si="26"/>
        <v/>
      </c>
      <c r="I1726" s="29"/>
      <c r="K1726" s="36" t="str">
        <f>IF(ISNUMBER($D1726),IF(YEAR($D1726)=대시보드!$C$2,$D1726+ROW()/100000,""),"")</f>
        <v/>
      </c>
    </row>
    <row r="1727" spans="1:11">
      <c r="A1727" s="33"/>
      <c r="B1727" s="29"/>
      <c r="C1727" s="29"/>
      <c r="D1727" s="30"/>
      <c r="E1727" s="30"/>
      <c r="F1727" s="35"/>
      <c r="G1727" s="35"/>
      <c r="H1727" s="35" t="str">
        <f t="shared" si="26"/>
        <v/>
      </c>
      <c r="I1727" s="29"/>
      <c r="K1727" s="36" t="str">
        <f>IF(ISNUMBER($D1727),IF(YEAR($D1727)=대시보드!$C$2,$D1727+ROW()/100000,""),"")</f>
        <v/>
      </c>
    </row>
    <row r="1728" spans="1:11">
      <c r="A1728" s="33"/>
      <c r="B1728" s="29"/>
      <c r="C1728" s="29"/>
      <c r="D1728" s="30"/>
      <c r="E1728" s="30"/>
      <c r="F1728" s="35"/>
      <c r="G1728" s="35"/>
      <c r="H1728" s="35" t="str">
        <f t="shared" si="26"/>
        <v/>
      </c>
      <c r="I1728" s="29"/>
      <c r="K1728" s="36" t="str">
        <f>IF(ISNUMBER($D1728),IF(YEAR($D1728)=대시보드!$C$2,$D1728+ROW()/100000,""),"")</f>
        <v/>
      </c>
    </row>
    <row r="1729" spans="1:11">
      <c r="A1729" s="33"/>
      <c r="B1729" s="29"/>
      <c r="C1729" s="29"/>
      <c r="D1729" s="30"/>
      <c r="E1729" s="30"/>
      <c r="F1729" s="35"/>
      <c r="G1729" s="35"/>
      <c r="H1729" s="35" t="str">
        <f t="shared" si="26"/>
        <v/>
      </c>
      <c r="I1729" s="29"/>
      <c r="K1729" s="36" t="str">
        <f>IF(ISNUMBER($D1729),IF(YEAR($D1729)=대시보드!$C$2,$D1729+ROW()/100000,""),"")</f>
        <v/>
      </c>
    </row>
    <row r="1730" spans="1:11">
      <c r="A1730" s="33"/>
      <c r="B1730" s="29"/>
      <c r="C1730" s="29"/>
      <c r="D1730" s="30"/>
      <c r="E1730" s="30"/>
      <c r="F1730" s="35"/>
      <c r="G1730" s="35"/>
      <c r="H1730" s="35" t="str">
        <f t="shared" si="26"/>
        <v/>
      </c>
      <c r="I1730" s="29"/>
      <c r="K1730" s="36" t="str">
        <f>IF(ISNUMBER($D1730),IF(YEAR($D1730)=대시보드!$C$2,$D1730+ROW()/100000,""),"")</f>
        <v/>
      </c>
    </row>
    <row r="1731" spans="1:11">
      <c r="A1731" s="33"/>
      <c r="B1731" s="29"/>
      <c r="C1731" s="29"/>
      <c r="D1731" s="30"/>
      <c r="E1731" s="30"/>
      <c r="F1731" s="35"/>
      <c r="G1731" s="35"/>
      <c r="H1731" s="35" t="str">
        <f t="shared" si="26"/>
        <v/>
      </c>
      <c r="I1731" s="29"/>
      <c r="K1731" s="36" t="str">
        <f>IF(ISNUMBER($D1731),IF(YEAR($D1731)=대시보드!$C$2,$D1731+ROW()/100000,""),"")</f>
        <v/>
      </c>
    </row>
    <row r="1732" spans="1:11">
      <c r="A1732" s="33"/>
      <c r="B1732" s="29"/>
      <c r="C1732" s="29"/>
      <c r="D1732" s="30"/>
      <c r="E1732" s="30"/>
      <c r="F1732" s="35"/>
      <c r="G1732" s="35"/>
      <c r="H1732" s="35" t="str">
        <f t="shared" ref="H1732:H1795" si="27">IF(F1732="","",F1732-G1732)</f>
        <v/>
      </c>
      <c r="I1732" s="29"/>
      <c r="K1732" s="36" t="str">
        <f>IF(ISNUMBER($D1732),IF(YEAR($D1732)=대시보드!$C$2,$D1732+ROW()/100000,""),"")</f>
        <v/>
      </c>
    </row>
    <row r="1733" spans="1:11">
      <c r="A1733" s="33"/>
      <c r="B1733" s="29"/>
      <c r="C1733" s="29"/>
      <c r="D1733" s="30"/>
      <c r="E1733" s="30"/>
      <c r="F1733" s="35"/>
      <c r="G1733" s="35"/>
      <c r="H1733" s="35" t="str">
        <f t="shared" si="27"/>
        <v/>
      </c>
      <c r="I1733" s="29"/>
      <c r="K1733" s="36" t="str">
        <f>IF(ISNUMBER($D1733),IF(YEAR($D1733)=대시보드!$C$2,$D1733+ROW()/100000,""),"")</f>
        <v/>
      </c>
    </row>
    <row r="1734" spans="1:11">
      <c r="A1734" s="33"/>
      <c r="B1734" s="29"/>
      <c r="C1734" s="29"/>
      <c r="D1734" s="30"/>
      <c r="E1734" s="30"/>
      <c r="F1734" s="35"/>
      <c r="G1734" s="35"/>
      <c r="H1734" s="35" t="str">
        <f t="shared" si="27"/>
        <v/>
      </c>
      <c r="I1734" s="29"/>
      <c r="K1734" s="36" t="str">
        <f>IF(ISNUMBER($D1734),IF(YEAR($D1734)=대시보드!$C$2,$D1734+ROW()/100000,""),"")</f>
        <v/>
      </c>
    </row>
    <row r="1735" spans="1:11">
      <c r="A1735" s="33"/>
      <c r="B1735" s="29"/>
      <c r="C1735" s="29"/>
      <c r="D1735" s="30"/>
      <c r="E1735" s="30"/>
      <c r="F1735" s="35"/>
      <c r="G1735" s="35"/>
      <c r="H1735" s="35" t="str">
        <f t="shared" si="27"/>
        <v/>
      </c>
      <c r="I1735" s="29"/>
      <c r="K1735" s="36" t="str">
        <f>IF(ISNUMBER($D1735),IF(YEAR($D1735)=대시보드!$C$2,$D1735+ROW()/100000,""),"")</f>
        <v/>
      </c>
    </row>
    <row r="1736" spans="1:11">
      <c r="A1736" s="33"/>
      <c r="B1736" s="29"/>
      <c r="C1736" s="29"/>
      <c r="D1736" s="30"/>
      <c r="E1736" s="30"/>
      <c r="F1736" s="35"/>
      <c r="G1736" s="35"/>
      <c r="H1736" s="35" t="str">
        <f t="shared" si="27"/>
        <v/>
      </c>
      <c r="I1736" s="29"/>
      <c r="K1736" s="36" t="str">
        <f>IF(ISNUMBER($D1736),IF(YEAR($D1736)=대시보드!$C$2,$D1736+ROW()/100000,""),"")</f>
        <v/>
      </c>
    </row>
    <row r="1737" spans="1:11">
      <c r="A1737" s="33"/>
      <c r="B1737" s="29"/>
      <c r="C1737" s="29"/>
      <c r="D1737" s="30"/>
      <c r="E1737" s="30"/>
      <c r="F1737" s="35"/>
      <c r="G1737" s="35"/>
      <c r="H1737" s="35" t="str">
        <f t="shared" si="27"/>
        <v/>
      </c>
      <c r="I1737" s="29"/>
      <c r="K1737" s="36" t="str">
        <f>IF(ISNUMBER($D1737),IF(YEAR($D1737)=대시보드!$C$2,$D1737+ROW()/100000,""),"")</f>
        <v/>
      </c>
    </row>
    <row r="1738" spans="1:11">
      <c r="A1738" s="33"/>
      <c r="B1738" s="29"/>
      <c r="C1738" s="29"/>
      <c r="D1738" s="30"/>
      <c r="E1738" s="30"/>
      <c r="F1738" s="35"/>
      <c r="G1738" s="35"/>
      <c r="H1738" s="35" t="str">
        <f t="shared" si="27"/>
        <v/>
      </c>
      <c r="I1738" s="29"/>
      <c r="K1738" s="36" t="str">
        <f>IF(ISNUMBER($D1738),IF(YEAR($D1738)=대시보드!$C$2,$D1738+ROW()/100000,""),"")</f>
        <v/>
      </c>
    </row>
    <row r="1739" spans="1:11">
      <c r="A1739" s="33"/>
      <c r="B1739" s="29"/>
      <c r="C1739" s="29"/>
      <c r="D1739" s="30"/>
      <c r="E1739" s="30"/>
      <c r="F1739" s="35"/>
      <c r="G1739" s="35"/>
      <c r="H1739" s="35" t="str">
        <f t="shared" si="27"/>
        <v/>
      </c>
      <c r="I1739" s="29"/>
      <c r="K1739" s="36" t="str">
        <f>IF(ISNUMBER($D1739),IF(YEAR($D1739)=대시보드!$C$2,$D1739+ROW()/100000,""),"")</f>
        <v/>
      </c>
    </row>
    <row r="1740" spans="1:11">
      <c r="A1740" s="33"/>
      <c r="B1740" s="29"/>
      <c r="C1740" s="29"/>
      <c r="D1740" s="30"/>
      <c r="E1740" s="30"/>
      <c r="F1740" s="35"/>
      <c r="G1740" s="35"/>
      <c r="H1740" s="35" t="str">
        <f t="shared" si="27"/>
        <v/>
      </c>
      <c r="I1740" s="29"/>
      <c r="K1740" s="36" t="str">
        <f>IF(ISNUMBER($D1740),IF(YEAR($D1740)=대시보드!$C$2,$D1740+ROW()/100000,""),"")</f>
        <v/>
      </c>
    </row>
    <row r="1741" spans="1:11">
      <c r="A1741" s="33"/>
      <c r="B1741" s="29"/>
      <c r="C1741" s="29"/>
      <c r="D1741" s="30"/>
      <c r="E1741" s="30"/>
      <c r="F1741" s="35"/>
      <c r="G1741" s="35"/>
      <c r="H1741" s="35" t="str">
        <f t="shared" si="27"/>
        <v/>
      </c>
      <c r="I1741" s="29"/>
      <c r="K1741" s="36" t="str">
        <f>IF(ISNUMBER($D1741),IF(YEAR($D1741)=대시보드!$C$2,$D1741+ROW()/100000,""),"")</f>
        <v/>
      </c>
    </row>
    <row r="1742" spans="1:11">
      <c r="A1742" s="33"/>
      <c r="B1742" s="29"/>
      <c r="C1742" s="29"/>
      <c r="D1742" s="30"/>
      <c r="E1742" s="30"/>
      <c r="F1742" s="35"/>
      <c r="G1742" s="35"/>
      <c r="H1742" s="35" t="str">
        <f t="shared" si="27"/>
        <v/>
      </c>
      <c r="I1742" s="29"/>
      <c r="K1742" s="36" t="str">
        <f>IF(ISNUMBER($D1742),IF(YEAR($D1742)=대시보드!$C$2,$D1742+ROW()/100000,""),"")</f>
        <v/>
      </c>
    </row>
    <row r="1743" spans="1:11">
      <c r="A1743" s="33"/>
      <c r="B1743" s="29"/>
      <c r="C1743" s="29"/>
      <c r="D1743" s="30"/>
      <c r="E1743" s="30"/>
      <c r="F1743" s="35"/>
      <c r="G1743" s="35"/>
      <c r="H1743" s="35" t="str">
        <f t="shared" si="27"/>
        <v/>
      </c>
      <c r="I1743" s="29"/>
      <c r="K1743" s="36" t="str">
        <f>IF(ISNUMBER($D1743),IF(YEAR($D1743)=대시보드!$C$2,$D1743+ROW()/100000,""),"")</f>
        <v/>
      </c>
    </row>
    <row r="1744" spans="1:11">
      <c r="A1744" s="33"/>
      <c r="B1744" s="29"/>
      <c r="C1744" s="29"/>
      <c r="D1744" s="30"/>
      <c r="E1744" s="30"/>
      <c r="F1744" s="35"/>
      <c r="G1744" s="35"/>
      <c r="H1744" s="35" t="str">
        <f t="shared" si="27"/>
        <v/>
      </c>
      <c r="I1744" s="29"/>
      <c r="K1744" s="36" t="str">
        <f>IF(ISNUMBER($D1744),IF(YEAR($D1744)=대시보드!$C$2,$D1744+ROW()/100000,""),"")</f>
        <v/>
      </c>
    </row>
    <row r="1745" spans="1:11">
      <c r="A1745" s="33"/>
      <c r="B1745" s="29"/>
      <c r="C1745" s="29"/>
      <c r="D1745" s="30"/>
      <c r="E1745" s="30"/>
      <c r="F1745" s="35"/>
      <c r="G1745" s="35"/>
      <c r="H1745" s="35" t="str">
        <f t="shared" si="27"/>
        <v/>
      </c>
      <c r="I1745" s="29"/>
      <c r="K1745" s="36" t="str">
        <f>IF(ISNUMBER($D1745),IF(YEAR($D1745)=대시보드!$C$2,$D1745+ROW()/100000,""),"")</f>
        <v/>
      </c>
    </row>
    <row r="1746" spans="1:11">
      <c r="A1746" s="33"/>
      <c r="B1746" s="29"/>
      <c r="C1746" s="29"/>
      <c r="D1746" s="30"/>
      <c r="E1746" s="30"/>
      <c r="F1746" s="35"/>
      <c r="G1746" s="35"/>
      <c r="H1746" s="35" t="str">
        <f t="shared" si="27"/>
        <v/>
      </c>
      <c r="I1746" s="29"/>
      <c r="K1746" s="36" t="str">
        <f>IF(ISNUMBER($D1746),IF(YEAR($D1746)=대시보드!$C$2,$D1746+ROW()/100000,""),"")</f>
        <v/>
      </c>
    </row>
    <row r="1747" spans="1:11">
      <c r="A1747" s="33"/>
      <c r="B1747" s="29"/>
      <c r="C1747" s="29"/>
      <c r="D1747" s="30"/>
      <c r="E1747" s="30"/>
      <c r="F1747" s="35"/>
      <c r="G1747" s="35"/>
      <c r="H1747" s="35" t="str">
        <f t="shared" si="27"/>
        <v/>
      </c>
      <c r="I1747" s="29"/>
      <c r="K1747" s="36" t="str">
        <f>IF(ISNUMBER($D1747),IF(YEAR($D1747)=대시보드!$C$2,$D1747+ROW()/100000,""),"")</f>
        <v/>
      </c>
    </row>
    <row r="1748" spans="1:11">
      <c r="A1748" s="33"/>
      <c r="B1748" s="29"/>
      <c r="C1748" s="29"/>
      <c r="D1748" s="30"/>
      <c r="E1748" s="30"/>
      <c r="F1748" s="35"/>
      <c r="G1748" s="35"/>
      <c r="H1748" s="35" t="str">
        <f t="shared" si="27"/>
        <v/>
      </c>
      <c r="I1748" s="29"/>
      <c r="K1748" s="36" t="str">
        <f>IF(ISNUMBER($D1748),IF(YEAR($D1748)=대시보드!$C$2,$D1748+ROW()/100000,""),"")</f>
        <v/>
      </c>
    </row>
    <row r="1749" spans="1:11">
      <c r="A1749" s="33"/>
      <c r="B1749" s="29"/>
      <c r="C1749" s="29"/>
      <c r="D1749" s="30"/>
      <c r="E1749" s="30"/>
      <c r="F1749" s="35"/>
      <c r="G1749" s="35"/>
      <c r="H1749" s="35" t="str">
        <f t="shared" si="27"/>
        <v/>
      </c>
      <c r="I1749" s="29"/>
      <c r="K1749" s="36" t="str">
        <f>IF(ISNUMBER($D1749),IF(YEAR($D1749)=대시보드!$C$2,$D1749+ROW()/100000,""),"")</f>
        <v/>
      </c>
    </row>
    <row r="1750" spans="1:11">
      <c r="A1750" s="33"/>
      <c r="B1750" s="29"/>
      <c r="C1750" s="29"/>
      <c r="D1750" s="30"/>
      <c r="E1750" s="30"/>
      <c r="F1750" s="35"/>
      <c r="G1750" s="35"/>
      <c r="H1750" s="35" t="str">
        <f t="shared" si="27"/>
        <v/>
      </c>
      <c r="I1750" s="29"/>
      <c r="K1750" s="36" t="str">
        <f>IF(ISNUMBER($D1750),IF(YEAR($D1750)=대시보드!$C$2,$D1750+ROW()/100000,""),"")</f>
        <v/>
      </c>
    </row>
    <row r="1751" spans="1:11">
      <c r="A1751" s="33"/>
      <c r="B1751" s="29"/>
      <c r="C1751" s="29"/>
      <c r="D1751" s="30"/>
      <c r="E1751" s="30"/>
      <c r="F1751" s="35"/>
      <c r="G1751" s="35"/>
      <c r="H1751" s="35" t="str">
        <f t="shared" si="27"/>
        <v/>
      </c>
      <c r="I1751" s="29"/>
      <c r="K1751" s="36" t="str">
        <f>IF(ISNUMBER($D1751),IF(YEAR($D1751)=대시보드!$C$2,$D1751+ROW()/100000,""),"")</f>
        <v/>
      </c>
    </row>
    <row r="1752" spans="1:11">
      <c r="A1752" s="33"/>
      <c r="B1752" s="29"/>
      <c r="C1752" s="29"/>
      <c r="D1752" s="30"/>
      <c r="E1752" s="30"/>
      <c r="F1752" s="35"/>
      <c r="G1752" s="35"/>
      <c r="H1752" s="35" t="str">
        <f t="shared" si="27"/>
        <v/>
      </c>
      <c r="I1752" s="29"/>
      <c r="K1752" s="36" t="str">
        <f>IF(ISNUMBER($D1752),IF(YEAR($D1752)=대시보드!$C$2,$D1752+ROW()/100000,""),"")</f>
        <v/>
      </c>
    </row>
    <row r="1753" spans="1:11">
      <c r="A1753" s="33"/>
      <c r="B1753" s="29"/>
      <c r="C1753" s="29"/>
      <c r="D1753" s="30"/>
      <c r="E1753" s="30"/>
      <c r="F1753" s="35"/>
      <c r="G1753" s="35"/>
      <c r="H1753" s="35" t="str">
        <f t="shared" si="27"/>
        <v/>
      </c>
      <c r="I1753" s="29"/>
      <c r="K1753" s="36" t="str">
        <f>IF(ISNUMBER($D1753),IF(YEAR($D1753)=대시보드!$C$2,$D1753+ROW()/100000,""),"")</f>
        <v/>
      </c>
    </row>
    <row r="1754" spans="1:11">
      <c r="A1754" s="33"/>
      <c r="B1754" s="29"/>
      <c r="C1754" s="29"/>
      <c r="D1754" s="30"/>
      <c r="E1754" s="30"/>
      <c r="F1754" s="35"/>
      <c r="G1754" s="35"/>
      <c r="H1754" s="35" t="str">
        <f t="shared" si="27"/>
        <v/>
      </c>
      <c r="I1754" s="29"/>
      <c r="K1754" s="36" t="str">
        <f>IF(ISNUMBER($D1754),IF(YEAR($D1754)=대시보드!$C$2,$D1754+ROW()/100000,""),"")</f>
        <v/>
      </c>
    </row>
    <row r="1755" spans="1:11">
      <c r="A1755" s="33"/>
      <c r="B1755" s="29"/>
      <c r="C1755" s="29"/>
      <c r="D1755" s="30"/>
      <c r="E1755" s="30"/>
      <c r="F1755" s="35"/>
      <c r="G1755" s="35"/>
      <c r="H1755" s="35" t="str">
        <f t="shared" si="27"/>
        <v/>
      </c>
      <c r="I1755" s="29"/>
      <c r="K1755" s="36" t="str">
        <f>IF(ISNUMBER($D1755),IF(YEAR($D1755)=대시보드!$C$2,$D1755+ROW()/100000,""),"")</f>
        <v/>
      </c>
    </row>
    <row r="1756" spans="1:11">
      <c r="A1756" s="33"/>
      <c r="B1756" s="29"/>
      <c r="C1756" s="29"/>
      <c r="D1756" s="30"/>
      <c r="E1756" s="30"/>
      <c r="F1756" s="35"/>
      <c r="G1756" s="35"/>
      <c r="H1756" s="35" t="str">
        <f t="shared" si="27"/>
        <v/>
      </c>
      <c r="I1756" s="29"/>
      <c r="K1756" s="36" t="str">
        <f>IF(ISNUMBER($D1756),IF(YEAR($D1756)=대시보드!$C$2,$D1756+ROW()/100000,""),"")</f>
        <v/>
      </c>
    </row>
    <row r="1757" spans="1:11">
      <c r="A1757" s="33"/>
      <c r="B1757" s="29"/>
      <c r="C1757" s="29"/>
      <c r="D1757" s="30"/>
      <c r="E1757" s="30"/>
      <c r="F1757" s="35"/>
      <c r="G1757" s="35"/>
      <c r="H1757" s="35" t="str">
        <f t="shared" si="27"/>
        <v/>
      </c>
      <c r="I1757" s="29"/>
      <c r="K1757" s="36" t="str">
        <f>IF(ISNUMBER($D1757),IF(YEAR($D1757)=대시보드!$C$2,$D1757+ROW()/100000,""),"")</f>
        <v/>
      </c>
    </row>
    <row r="1758" spans="1:11">
      <c r="A1758" s="33"/>
      <c r="B1758" s="29"/>
      <c r="C1758" s="29"/>
      <c r="D1758" s="30"/>
      <c r="E1758" s="30"/>
      <c r="F1758" s="35"/>
      <c r="G1758" s="35"/>
      <c r="H1758" s="35" t="str">
        <f t="shared" si="27"/>
        <v/>
      </c>
      <c r="I1758" s="29"/>
      <c r="K1758" s="36" t="str">
        <f>IF(ISNUMBER($D1758),IF(YEAR($D1758)=대시보드!$C$2,$D1758+ROW()/100000,""),"")</f>
        <v/>
      </c>
    </row>
    <row r="1759" spans="1:11">
      <c r="A1759" s="33"/>
      <c r="B1759" s="29"/>
      <c r="C1759" s="29"/>
      <c r="D1759" s="30"/>
      <c r="E1759" s="30"/>
      <c r="F1759" s="35"/>
      <c r="G1759" s="35"/>
      <c r="H1759" s="35" t="str">
        <f t="shared" si="27"/>
        <v/>
      </c>
      <c r="I1759" s="29"/>
      <c r="K1759" s="36" t="str">
        <f>IF(ISNUMBER($D1759),IF(YEAR($D1759)=대시보드!$C$2,$D1759+ROW()/100000,""),"")</f>
        <v/>
      </c>
    </row>
    <row r="1760" spans="1:11">
      <c r="A1760" s="33"/>
      <c r="B1760" s="29"/>
      <c r="C1760" s="29"/>
      <c r="D1760" s="30"/>
      <c r="E1760" s="30"/>
      <c r="F1760" s="35"/>
      <c r="G1760" s="35"/>
      <c r="H1760" s="35" t="str">
        <f t="shared" si="27"/>
        <v/>
      </c>
      <c r="I1760" s="29"/>
      <c r="K1760" s="36" t="str">
        <f>IF(ISNUMBER($D1760),IF(YEAR($D1760)=대시보드!$C$2,$D1760+ROW()/100000,""),"")</f>
        <v/>
      </c>
    </row>
    <row r="1761" spans="1:11">
      <c r="A1761" s="33"/>
      <c r="B1761" s="29"/>
      <c r="C1761" s="29"/>
      <c r="D1761" s="30"/>
      <c r="E1761" s="30"/>
      <c r="F1761" s="35"/>
      <c r="G1761" s="35"/>
      <c r="H1761" s="35" t="str">
        <f t="shared" si="27"/>
        <v/>
      </c>
      <c r="I1761" s="29"/>
      <c r="K1761" s="36" t="str">
        <f>IF(ISNUMBER($D1761),IF(YEAR($D1761)=대시보드!$C$2,$D1761+ROW()/100000,""),"")</f>
        <v/>
      </c>
    </row>
    <row r="1762" spans="1:11">
      <c r="A1762" s="33"/>
      <c r="B1762" s="29"/>
      <c r="C1762" s="29"/>
      <c r="D1762" s="30"/>
      <c r="E1762" s="30"/>
      <c r="F1762" s="35"/>
      <c r="G1762" s="35"/>
      <c r="H1762" s="35" t="str">
        <f t="shared" si="27"/>
        <v/>
      </c>
      <c r="I1762" s="29"/>
      <c r="K1762" s="36" t="str">
        <f>IF(ISNUMBER($D1762),IF(YEAR($D1762)=대시보드!$C$2,$D1762+ROW()/100000,""),"")</f>
        <v/>
      </c>
    </row>
    <row r="1763" spans="1:11">
      <c r="A1763" s="33"/>
      <c r="B1763" s="29"/>
      <c r="C1763" s="29"/>
      <c r="D1763" s="30"/>
      <c r="E1763" s="30"/>
      <c r="F1763" s="35"/>
      <c r="G1763" s="35"/>
      <c r="H1763" s="35" t="str">
        <f t="shared" si="27"/>
        <v/>
      </c>
      <c r="I1763" s="29"/>
      <c r="K1763" s="36" t="str">
        <f>IF(ISNUMBER($D1763),IF(YEAR($D1763)=대시보드!$C$2,$D1763+ROW()/100000,""),"")</f>
        <v/>
      </c>
    </row>
    <row r="1764" spans="1:11">
      <c r="A1764" s="33"/>
      <c r="B1764" s="29"/>
      <c r="C1764" s="29"/>
      <c r="D1764" s="30"/>
      <c r="E1764" s="30"/>
      <c r="F1764" s="35"/>
      <c r="G1764" s="35"/>
      <c r="H1764" s="35" t="str">
        <f t="shared" si="27"/>
        <v/>
      </c>
      <c r="I1764" s="29"/>
      <c r="K1764" s="36" t="str">
        <f>IF(ISNUMBER($D1764),IF(YEAR($D1764)=대시보드!$C$2,$D1764+ROW()/100000,""),"")</f>
        <v/>
      </c>
    </row>
    <row r="1765" spans="1:11">
      <c r="A1765" s="33"/>
      <c r="B1765" s="29"/>
      <c r="C1765" s="29"/>
      <c r="D1765" s="30"/>
      <c r="E1765" s="30"/>
      <c r="F1765" s="35"/>
      <c r="G1765" s="35"/>
      <c r="H1765" s="35" t="str">
        <f t="shared" si="27"/>
        <v/>
      </c>
      <c r="I1765" s="29"/>
      <c r="K1765" s="36" t="str">
        <f>IF(ISNUMBER($D1765),IF(YEAR($D1765)=대시보드!$C$2,$D1765+ROW()/100000,""),"")</f>
        <v/>
      </c>
    </row>
    <row r="1766" spans="1:11">
      <c r="A1766" s="33"/>
      <c r="B1766" s="29"/>
      <c r="C1766" s="29"/>
      <c r="D1766" s="30"/>
      <c r="E1766" s="30"/>
      <c r="F1766" s="35"/>
      <c r="G1766" s="35"/>
      <c r="H1766" s="35" t="str">
        <f t="shared" si="27"/>
        <v/>
      </c>
      <c r="I1766" s="29"/>
      <c r="K1766" s="36" t="str">
        <f>IF(ISNUMBER($D1766),IF(YEAR($D1766)=대시보드!$C$2,$D1766+ROW()/100000,""),"")</f>
        <v/>
      </c>
    </row>
    <row r="1767" spans="1:11">
      <c r="A1767" s="33"/>
      <c r="B1767" s="29"/>
      <c r="C1767" s="29"/>
      <c r="D1767" s="30"/>
      <c r="E1767" s="30"/>
      <c r="F1767" s="35"/>
      <c r="G1767" s="35"/>
      <c r="H1767" s="35" t="str">
        <f t="shared" si="27"/>
        <v/>
      </c>
      <c r="I1767" s="29"/>
      <c r="K1767" s="36" t="str">
        <f>IF(ISNUMBER($D1767),IF(YEAR($D1767)=대시보드!$C$2,$D1767+ROW()/100000,""),"")</f>
        <v/>
      </c>
    </row>
    <row r="1768" spans="1:11">
      <c r="A1768" s="33"/>
      <c r="B1768" s="29"/>
      <c r="C1768" s="29"/>
      <c r="D1768" s="30"/>
      <c r="E1768" s="30"/>
      <c r="F1768" s="35"/>
      <c r="G1768" s="35"/>
      <c r="H1768" s="35" t="str">
        <f t="shared" si="27"/>
        <v/>
      </c>
      <c r="I1768" s="29"/>
      <c r="K1768" s="36" t="str">
        <f>IF(ISNUMBER($D1768),IF(YEAR($D1768)=대시보드!$C$2,$D1768+ROW()/100000,""),"")</f>
        <v/>
      </c>
    </row>
    <row r="1769" spans="1:11">
      <c r="A1769" s="33"/>
      <c r="B1769" s="29"/>
      <c r="C1769" s="29"/>
      <c r="D1769" s="30"/>
      <c r="E1769" s="30"/>
      <c r="F1769" s="35"/>
      <c r="G1769" s="35"/>
      <c r="H1769" s="35" t="str">
        <f t="shared" si="27"/>
        <v/>
      </c>
      <c r="I1769" s="29"/>
      <c r="K1769" s="36" t="str">
        <f>IF(ISNUMBER($D1769),IF(YEAR($D1769)=대시보드!$C$2,$D1769+ROW()/100000,""),"")</f>
        <v/>
      </c>
    </row>
    <row r="1770" spans="1:11">
      <c r="A1770" s="33"/>
      <c r="B1770" s="29"/>
      <c r="C1770" s="29"/>
      <c r="D1770" s="30"/>
      <c r="E1770" s="30"/>
      <c r="F1770" s="35"/>
      <c r="G1770" s="35"/>
      <c r="H1770" s="35" t="str">
        <f t="shared" si="27"/>
        <v/>
      </c>
      <c r="I1770" s="29"/>
      <c r="K1770" s="36" t="str">
        <f>IF(ISNUMBER($D1770),IF(YEAR($D1770)=대시보드!$C$2,$D1770+ROW()/100000,""),"")</f>
        <v/>
      </c>
    </row>
    <row r="1771" spans="1:11">
      <c r="A1771" s="33"/>
      <c r="B1771" s="29"/>
      <c r="C1771" s="29"/>
      <c r="D1771" s="30"/>
      <c r="E1771" s="30"/>
      <c r="F1771" s="35"/>
      <c r="G1771" s="35"/>
      <c r="H1771" s="35" t="str">
        <f t="shared" si="27"/>
        <v/>
      </c>
      <c r="I1771" s="29"/>
      <c r="K1771" s="36" t="str">
        <f>IF(ISNUMBER($D1771),IF(YEAR($D1771)=대시보드!$C$2,$D1771+ROW()/100000,""),"")</f>
        <v/>
      </c>
    </row>
    <row r="1772" spans="1:11">
      <c r="A1772" s="33"/>
      <c r="B1772" s="29"/>
      <c r="C1772" s="29"/>
      <c r="D1772" s="30"/>
      <c r="E1772" s="30"/>
      <c r="F1772" s="35"/>
      <c r="G1772" s="35"/>
      <c r="H1772" s="35" t="str">
        <f t="shared" si="27"/>
        <v/>
      </c>
      <c r="I1772" s="29"/>
      <c r="K1772" s="36" t="str">
        <f>IF(ISNUMBER($D1772),IF(YEAR($D1772)=대시보드!$C$2,$D1772+ROW()/100000,""),"")</f>
        <v/>
      </c>
    </row>
    <row r="1773" spans="1:11">
      <c r="A1773" s="33"/>
      <c r="B1773" s="29"/>
      <c r="C1773" s="29"/>
      <c r="D1773" s="30"/>
      <c r="E1773" s="30"/>
      <c r="F1773" s="35"/>
      <c r="G1773" s="35"/>
      <c r="H1773" s="35" t="str">
        <f t="shared" si="27"/>
        <v/>
      </c>
      <c r="I1773" s="29"/>
      <c r="K1773" s="36" t="str">
        <f>IF(ISNUMBER($D1773),IF(YEAR($D1773)=대시보드!$C$2,$D1773+ROW()/100000,""),"")</f>
        <v/>
      </c>
    </row>
    <row r="1774" spans="1:11">
      <c r="A1774" s="33"/>
      <c r="B1774" s="29"/>
      <c r="C1774" s="29"/>
      <c r="D1774" s="30"/>
      <c r="E1774" s="30"/>
      <c r="F1774" s="35"/>
      <c r="G1774" s="35"/>
      <c r="H1774" s="35" t="str">
        <f t="shared" si="27"/>
        <v/>
      </c>
      <c r="I1774" s="29"/>
      <c r="K1774" s="36" t="str">
        <f>IF(ISNUMBER($D1774),IF(YEAR($D1774)=대시보드!$C$2,$D1774+ROW()/100000,""),"")</f>
        <v/>
      </c>
    </row>
    <row r="1775" spans="1:11">
      <c r="A1775" s="33"/>
      <c r="B1775" s="29"/>
      <c r="C1775" s="29"/>
      <c r="D1775" s="30"/>
      <c r="E1775" s="30"/>
      <c r="F1775" s="35"/>
      <c r="G1775" s="35"/>
      <c r="H1775" s="35" t="str">
        <f t="shared" si="27"/>
        <v/>
      </c>
      <c r="I1775" s="29"/>
      <c r="K1775" s="36" t="str">
        <f>IF(ISNUMBER($D1775),IF(YEAR($D1775)=대시보드!$C$2,$D1775+ROW()/100000,""),"")</f>
        <v/>
      </c>
    </row>
    <row r="1776" spans="1:11">
      <c r="A1776" s="33"/>
      <c r="B1776" s="29"/>
      <c r="C1776" s="29"/>
      <c r="D1776" s="30"/>
      <c r="E1776" s="30"/>
      <c r="F1776" s="35"/>
      <c r="G1776" s="35"/>
      <c r="H1776" s="35" t="str">
        <f t="shared" si="27"/>
        <v/>
      </c>
      <c r="I1776" s="29"/>
      <c r="K1776" s="36" t="str">
        <f>IF(ISNUMBER($D1776),IF(YEAR($D1776)=대시보드!$C$2,$D1776+ROW()/100000,""),"")</f>
        <v/>
      </c>
    </row>
    <row r="1777" spans="1:11">
      <c r="A1777" s="33"/>
      <c r="B1777" s="29"/>
      <c r="C1777" s="29"/>
      <c r="D1777" s="30"/>
      <c r="E1777" s="30"/>
      <c r="F1777" s="35"/>
      <c r="G1777" s="35"/>
      <c r="H1777" s="35" t="str">
        <f t="shared" si="27"/>
        <v/>
      </c>
      <c r="I1777" s="29"/>
      <c r="K1777" s="36" t="str">
        <f>IF(ISNUMBER($D1777),IF(YEAR($D1777)=대시보드!$C$2,$D1777+ROW()/100000,""),"")</f>
        <v/>
      </c>
    </row>
    <row r="1778" spans="1:11">
      <c r="A1778" s="33"/>
      <c r="B1778" s="29"/>
      <c r="C1778" s="29"/>
      <c r="D1778" s="30"/>
      <c r="E1778" s="30"/>
      <c r="F1778" s="35"/>
      <c r="G1778" s="35"/>
      <c r="H1778" s="35" t="str">
        <f t="shared" si="27"/>
        <v/>
      </c>
      <c r="I1778" s="29"/>
      <c r="K1778" s="36" t="str">
        <f>IF(ISNUMBER($D1778),IF(YEAR($D1778)=대시보드!$C$2,$D1778+ROW()/100000,""),"")</f>
        <v/>
      </c>
    </row>
    <row r="1779" spans="1:11">
      <c r="A1779" s="33"/>
      <c r="B1779" s="29"/>
      <c r="C1779" s="29"/>
      <c r="D1779" s="30"/>
      <c r="E1779" s="30"/>
      <c r="F1779" s="35"/>
      <c r="G1779" s="35"/>
      <c r="H1779" s="35" t="str">
        <f t="shared" si="27"/>
        <v/>
      </c>
      <c r="I1779" s="29"/>
      <c r="K1779" s="36" t="str">
        <f>IF(ISNUMBER($D1779),IF(YEAR($D1779)=대시보드!$C$2,$D1779+ROW()/100000,""),"")</f>
        <v/>
      </c>
    </row>
    <row r="1780" spans="1:11">
      <c r="A1780" s="33"/>
      <c r="B1780" s="29"/>
      <c r="C1780" s="29"/>
      <c r="D1780" s="30"/>
      <c r="E1780" s="30"/>
      <c r="F1780" s="35"/>
      <c r="G1780" s="35"/>
      <c r="H1780" s="35" t="str">
        <f t="shared" si="27"/>
        <v/>
      </c>
      <c r="I1780" s="29"/>
      <c r="K1780" s="36" t="str">
        <f>IF(ISNUMBER($D1780),IF(YEAR($D1780)=대시보드!$C$2,$D1780+ROW()/100000,""),"")</f>
        <v/>
      </c>
    </row>
    <row r="1781" spans="1:11">
      <c r="A1781" s="33"/>
      <c r="B1781" s="29"/>
      <c r="C1781" s="29"/>
      <c r="D1781" s="30"/>
      <c r="E1781" s="30"/>
      <c r="F1781" s="35"/>
      <c r="G1781" s="35"/>
      <c r="H1781" s="35" t="str">
        <f t="shared" si="27"/>
        <v/>
      </c>
      <c r="I1781" s="29"/>
      <c r="K1781" s="36" t="str">
        <f>IF(ISNUMBER($D1781),IF(YEAR($D1781)=대시보드!$C$2,$D1781+ROW()/100000,""),"")</f>
        <v/>
      </c>
    </row>
    <row r="1782" spans="1:11">
      <c r="A1782" s="33"/>
      <c r="B1782" s="29"/>
      <c r="C1782" s="29"/>
      <c r="D1782" s="30"/>
      <c r="E1782" s="30"/>
      <c r="F1782" s="35"/>
      <c r="G1782" s="35"/>
      <c r="H1782" s="35" t="str">
        <f t="shared" si="27"/>
        <v/>
      </c>
      <c r="I1782" s="29"/>
      <c r="K1782" s="36" t="str">
        <f>IF(ISNUMBER($D1782),IF(YEAR($D1782)=대시보드!$C$2,$D1782+ROW()/100000,""),"")</f>
        <v/>
      </c>
    </row>
    <row r="1783" spans="1:11">
      <c r="A1783" s="33"/>
      <c r="B1783" s="29"/>
      <c r="C1783" s="29"/>
      <c r="D1783" s="30"/>
      <c r="E1783" s="30"/>
      <c r="F1783" s="35"/>
      <c r="G1783" s="35"/>
      <c r="H1783" s="35" t="str">
        <f t="shared" si="27"/>
        <v/>
      </c>
      <c r="I1783" s="29"/>
      <c r="K1783" s="36" t="str">
        <f>IF(ISNUMBER($D1783),IF(YEAR($D1783)=대시보드!$C$2,$D1783+ROW()/100000,""),"")</f>
        <v/>
      </c>
    </row>
    <row r="1784" spans="1:11">
      <c r="A1784" s="33"/>
      <c r="B1784" s="29"/>
      <c r="C1784" s="29"/>
      <c r="D1784" s="30"/>
      <c r="E1784" s="30"/>
      <c r="F1784" s="35"/>
      <c r="G1784" s="35"/>
      <c r="H1784" s="35" t="str">
        <f t="shared" si="27"/>
        <v/>
      </c>
      <c r="I1784" s="29"/>
      <c r="K1784" s="36" t="str">
        <f>IF(ISNUMBER($D1784),IF(YEAR($D1784)=대시보드!$C$2,$D1784+ROW()/100000,""),"")</f>
        <v/>
      </c>
    </row>
    <row r="1785" spans="1:11">
      <c r="A1785" s="33"/>
      <c r="B1785" s="29"/>
      <c r="C1785" s="29"/>
      <c r="D1785" s="30"/>
      <c r="E1785" s="30"/>
      <c r="F1785" s="35"/>
      <c r="G1785" s="35"/>
      <c r="H1785" s="35" t="str">
        <f t="shared" si="27"/>
        <v/>
      </c>
      <c r="I1785" s="29"/>
      <c r="K1785" s="36" t="str">
        <f>IF(ISNUMBER($D1785),IF(YEAR($D1785)=대시보드!$C$2,$D1785+ROW()/100000,""),"")</f>
        <v/>
      </c>
    </row>
    <row r="1786" spans="1:11">
      <c r="A1786" s="33"/>
      <c r="B1786" s="29"/>
      <c r="C1786" s="29"/>
      <c r="D1786" s="30"/>
      <c r="E1786" s="30"/>
      <c r="F1786" s="35"/>
      <c r="G1786" s="35"/>
      <c r="H1786" s="35" t="str">
        <f t="shared" si="27"/>
        <v/>
      </c>
      <c r="I1786" s="29"/>
      <c r="K1786" s="36" t="str">
        <f>IF(ISNUMBER($D1786),IF(YEAR($D1786)=대시보드!$C$2,$D1786+ROW()/100000,""),"")</f>
        <v/>
      </c>
    </row>
    <row r="1787" spans="1:11">
      <c r="A1787" s="33"/>
      <c r="B1787" s="29"/>
      <c r="C1787" s="29"/>
      <c r="D1787" s="30"/>
      <c r="E1787" s="30"/>
      <c r="F1787" s="35"/>
      <c r="G1787" s="35"/>
      <c r="H1787" s="35" t="str">
        <f t="shared" si="27"/>
        <v/>
      </c>
      <c r="I1787" s="29"/>
      <c r="K1787" s="36" t="str">
        <f>IF(ISNUMBER($D1787),IF(YEAR($D1787)=대시보드!$C$2,$D1787+ROW()/100000,""),"")</f>
        <v/>
      </c>
    </row>
    <row r="1788" spans="1:11">
      <c r="A1788" s="33"/>
      <c r="B1788" s="29"/>
      <c r="C1788" s="29"/>
      <c r="D1788" s="30"/>
      <c r="E1788" s="30"/>
      <c r="F1788" s="35"/>
      <c r="G1788" s="35"/>
      <c r="H1788" s="35" t="str">
        <f t="shared" si="27"/>
        <v/>
      </c>
      <c r="I1788" s="29"/>
      <c r="K1788" s="36" t="str">
        <f>IF(ISNUMBER($D1788),IF(YEAR($D1788)=대시보드!$C$2,$D1788+ROW()/100000,""),"")</f>
        <v/>
      </c>
    </row>
    <row r="1789" spans="1:11">
      <c r="A1789" s="33"/>
      <c r="B1789" s="29"/>
      <c r="C1789" s="29"/>
      <c r="D1789" s="30"/>
      <c r="E1789" s="30"/>
      <c r="F1789" s="35"/>
      <c r="G1789" s="35"/>
      <c r="H1789" s="35" t="str">
        <f t="shared" si="27"/>
        <v/>
      </c>
      <c r="I1789" s="29"/>
      <c r="K1789" s="36" t="str">
        <f>IF(ISNUMBER($D1789),IF(YEAR($D1789)=대시보드!$C$2,$D1789+ROW()/100000,""),"")</f>
        <v/>
      </c>
    </row>
    <row r="1790" spans="1:11">
      <c r="A1790" s="33"/>
      <c r="B1790" s="29"/>
      <c r="C1790" s="29"/>
      <c r="D1790" s="30"/>
      <c r="E1790" s="30"/>
      <c r="F1790" s="35"/>
      <c r="G1790" s="35"/>
      <c r="H1790" s="35" t="str">
        <f t="shared" si="27"/>
        <v/>
      </c>
      <c r="I1790" s="29"/>
      <c r="K1790" s="36" t="str">
        <f>IF(ISNUMBER($D1790),IF(YEAR($D1790)=대시보드!$C$2,$D1790+ROW()/100000,""),"")</f>
        <v/>
      </c>
    </row>
    <row r="1791" spans="1:11">
      <c r="A1791" s="33"/>
      <c r="B1791" s="29"/>
      <c r="C1791" s="29"/>
      <c r="D1791" s="30"/>
      <c r="E1791" s="30"/>
      <c r="F1791" s="35"/>
      <c r="G1791" s="35"/>
      <c r="H1791" s="35" t="str">
        <f t="shared" si="27"/>
        <v/>
      </c>
      <c r="I1791" s="29"/>
      <c r="K1791" s="36" t="str">
        <f>IF(ISNUMBER($D1791),IF(YEAR($D1791)=대시보드!$C$2,$D1791+ROW()/100000,""),"")</f>
        <v/>
      </c>
    </row>
    <row r="1792" spans="1:11">
      <c r="A1792" s="33"/>
      <c r="B1792" s="29"/>
      <c r="C1792" s="29"/>
      <c r="D1792" s="30"/>
      <c r="E1792" s="30"/>
      <c r="F1792" s="35"/>
      <c r="G1792" s="35"/>
      <c r="H1792" s="35" t="str">
        <f t="shared" si="27"/>
        <v/>
      </c>
      <c r="I1792" s="29"/>
      <c r="K1792" s="36" t="str">
        <f>IF(ISNUMBER($D1792),IF(YEAR($D1792)=대시보드!$C$2,$D1792+ROW()/100000,""),"")</f>
        <v/>
      </c>
    </row>
    <row r="1793" spans="1:11">
      <c r="A1793" s="33"/>
      <c r="B1793" s="29"/>
      <c r="C1793" s="29"/>
      <c r="D1793" s="30"/>
      <c r="E1793" s="30"/>
      <c r="F1793" s="35"/>
      <c r="G1793" s="35"/>
      <c r="H1793" s="35" t="str">
        <f t="shared" si="27"/>
        <v/>
      </c>
      <c r="I1793" s="29"/>
      <c r="K1793" s="36" t="str">
        <f>IF(ISNUMBER($D1793),IF(YEAR($D1793)=대시보드!$C$2,$D1793+ROW()/100000,""),"")</f>
        <v/>
      </c>
    </row>
    <row r="1794" spans="1:11">
      <c r="A1794" s="33"/>
      <c r="B1794" s="29"/>
      <c r="C1794" s="29"/>
      <c r="D1794" s="30"/>
      <c r="E1794" s="30"/>
      <c r="F1794" s="35"/>
      <c r="G1794" s="35"/>
      <c r="H1794" s="35" t="str">
        <f t="shared" si="27"/>
        <v/>
      </c>
      <c r="I1794" s="29"/>
      <c r="K1794" s="36" t="str">
        <f>IF(ISNUMBER($D1794),IF(YEAR($D1794)=대시보드!$C$2,$D1794+ROW()/100000,""),"")</f>
        <v/>
      </c>
    </row>
    <row r="1795" spans="1:11">
      <c r="A1795" s="33"/>
      <c r="B1795" s="29"/>
      <c r="C1795" s="29"/>
      <c r="D1795" s="30"/>
      <c r="E1795" s="30"/>
      <c r="F1795" s="35"/>
      <c r="G1795" s="35"/>
      <c r="H1795" s="35" t="str">
        <f t="shared" si="27"/>
        <v/>
      </c>
      <c r="I1795" s="29"/>
      <c r="K1795" s="36" t="str">
        <f>IF(ISNUMBER($D1795),IF(YEAR($D1795)=대시보드!$C$2,$D1795+ROW()/100000,""),"")</f>
        <v/>
      </c>
    </row>
    <row r="1796" spans="1:11">
      <c r="A1796" s="33"/>
      <c r="B1796" s="29"/>
      <c r="C1796" s="29"/>
      <c r="D1796" s="30"/>
      <c r="E1796" s="30"/>
      <c r="F1796" s="35"/>
      <c r="G1796" s="35"/>
      <c r="H1796" s="35" t="str">
        <f t="shared" ref="H1796:H1859" si="28">IF(F1796="","",F1796-G1796)</f>
        <v/>
      </c>
      <c r="I1796" s="29"/>
      <c r="K1796" s="36" t="str">
        <f>IF(ISNUMBER($D1796),IF(YEAR($D1796)=대시보드!$C$2,$D1796+ROW()/100000,""),"")</f>
        <v/>
      </c>
    </row>
    <row r="1797" spans="1:11">
      <c r="A1797" s="33"/>
      <c r="B1797" s="29"/>
      <c r="C1797" s="29"/>
      <c r="D1797" s="30"/>
      <c r="E1797" s="30"/>
      <c r="F1797" s="35"/>
      <c r="G1797" s="35"/>
      <c r="H1797" s="35" t="str">
        <f t="shared" si="28"/>
        <v/>
      </c>
      <c r="I1797" s="29"/>
      <c r="K1797" s="36" t="str">
        <f>IF(ISNUMBER($D1797),IF(YEAR($D1797)=대시보드!$C$2,$D1797+ROW()/100000,""),"")</f>
        <v/>
      </c>
    </row>
    <row r="1798" spans="1:11">
      <c r="A1798" s="33"/>
      <c r="B1798" s="29"/>
      <c r="C1798" s="29"/>
      <c r="D1798" s="30"/>
      <c r="E1798" s="30"/>
      <c r="F1798" s="35"/>
      <c r="G1798" s="35"/>
      <c r="H1798" s="35" t="str">
        <f t="shared" si="28"/>
        <v/>
      </c>
      <c r="I1798" s="29"/>
      <c r="K1798" s="36" t="str">
        <f>IF(ISNUMBER($D1798),IF(YEAR($D1798)=대시보드!$C$2,$D1798+ROW()/100000,""),"")</f>
        <v/>
      </c>
    </row>
    <row r="1799" spans="1:11">
      <c r="A1799" s="33"/>
      <c r="B1799" s="29"/>
      <c r="C1799" s="29"/>
      <c r="D1799" s="30"/>
      <c r="E1799" s="30"/>
      <c r="F1799" s="35"/>
      <c r="G1799" s="35"/>
      <c r="H1799" s="35" t="str">
        <f t="shared" si="28"/>
        <v/>
      </c>
      <c r="I1799" s="29"/>
      <c r="K1799" s="36" t="str">
        <f>IF(ISNUMBER($D1799),IF(YEAR($D1799)=대시보드!$C$2,$D1799+ROW()/100000,""),"")</f>
        <v/>
      </c>
    </row>
    <row r="1800" spans="1:11">
      <c r="A1800" s="33"/>
      <c r="B1800" s="29"/>
      <c r="C1800" s="29"/>
      <c r="D1800" s="30"/>
      <c r="E1800" s="30"/>
      <c r="F1800" s="35"/>
      <c r="G1800" s="35"/>
      <c r="H1800" s="35" t="str">
        <f t="shared" si="28"/>
        <v/>
      </c>
      <c r="I1800" s="29"/>
      <c r="K1800" s="36" t="str">
        <f>IF(ISNUMBER($D1800),IF(YEAR($D1800)=대시보드!$C$2,$D1800+ROW()/100000,""),"")</f>
        <v/>
      </c>
    </row>
    <row r="1801" spans="1:11">
      <c r="A1801" s="33"/>
      <c r="B1801" s="29"/>
      <c r="C1801" s="29"/>
      <c r="D1801" s="30"/>
      <c r="E1801" s="30"/>
      <c r="F1801" s="35"/>
      <c r="G1801" s="35"/>
      <c r="H1801" s="35" t="str">
        <f t="shared" si="28"/>
        <v/>
      </c>
      <c r="I1801" s="29"/>
      <c r="K1801" s="36" t="str">
        <f>IF(ISNUMBER($D1801),IF(YEAR($D1801)=대시보드!$C$2,$D1801+ROW()/100000,""),"")</f>
        <v/>
      </c>
    </row>
    <row r="1802" spans="1:11">
      <c r="A1802" s="33"/>
      <c r="B1802" s="29"/>
      <c r="C1802" s="29"/>
      <c r="D1802" s="30"/>
      <c r="E1802" s="30"/>
      <c r="F1802" s="35"/>
      <c r="G1802" s="35"/>
      <c r="H1802" s="35" t="str">
        <f t="shared" si="28"/>
        <v/>
      </c>
      <c r="I1802" s="29"/>
      <c r="K1802" s="36" t="str">
        <f>IF(ISNUMBER($D1802),IF(YEAR($D1802)=대시보드!$C$2,$D1802+ROW()/100000,""),"")</f>
        <v/>
      </c>
    </row>
    <row r="1803" spans="1:11">
      <c r="A1803" s="33"/>
      <c r="B1803" s="29"/>
      <c r="C1803" s="29"/>
      <c r="D1803" s="30"/>
      <c r="E1803" s="30"/>
      <c r="F1803" s="35"/>
      <c r="G1803" s="35"/>
      <c r="H1803" s="35" t="str">
        <f t="shared" si="28"/>
        <v/>
      </c>
      <c r="I1803" s="29"/>
      <c r="K1803" s="36" t="str">
        <f>IF(ISNUMBER($D1803),IF(YEAR($D1803)=대시보드!$C$2,$D1803+ROW()/100000,""),"")</f>
        <v/>
      </c>
    </row>
    <row r="1804" spans="1:11">
      <c r="A1804" s="33"/>
      <c r="B1804" s="29"/>
      <c r="C1804" s="29"/>
      <c r="D1804" s="30"/>
      <c r="E1804" s="30"/>
      <c r="F1804" s="35"/>
      <c r="G1804" s="35"/>
      <c r="H1804" s="35" t="str">
        <f t="shared" si="28"/>
        <v/>
      </c>
      <c r="I1804" s="29"/>
      <c r="K1804" s="36" t="str">
        <f>IF(ISNUMBER($D1804),IF(YEAR($D1804)=대시보드!$C$2,$D1804+ROW()/100000,""),"")</f>
        <v/>
      </c>
    </row>
    <row r="1805" spans="1:11">
      <c r="A1805" s="33"/>
      <c r="B1805" s="29"/>
      <c r="C1805" s="29"/>
      <c r="D1805" s="30"/>
      <c r="E1805" s="30"/>
      <c r="F1805" s="35"/>
      <c r="G1805" s="35"/>
      <c r="H1805" s="35" t="str">
        <f t="shared" si="28"/>
        <v/>
      </c>
      <c r="I1805" s="29"/>
      <c r="K1805" s="36" t="str">
        <f>IF(ISNUMBER($D1805),IF(YEAR($D1805)=대시보드!$C$2,$D1805+ROW()/100000,""),"")</f>
        <v/>
      </c>
    </row>
    <row r="1806" spans="1:11">
      <c r="A1806" s="33"/>
      <c r="B1806" s="29"/>
      <c r="C1806" s="29"/>
      <c r="D1806" s="30"/>
      <c r="E1806" s="30"/>
      <c r="F1806" s="35"/>
      <c r="G1806" s="35"/>
      <c r="H1806" s="35" t="str">
        <f t="shared" si="28"/>
        <v/>
      </c>
      <c r="I1806" s="29"/>
      <c r="K1806" s="36" t="str">
        <f>IF(ISNUMBER($D1806),IF(YEAR($D1806)=대시보드!$C$2,$D1806+ROW()/100000,""),"")</f>
        <v/>
      </c>
    </row>
    <row r="1807" spans="1:11">
      <c r="A1807" s="33"/>
      <c r="B1807" s="29"/>
      <c r="C1807" s="29"/>
      <c r="D1807" s="30"/>
      <c r="E1807" s="30"/>
      <c r="F1807" s="35"/>
      <c r="G1807" s="35"/>
      <c r="H1807" s="35" t="str">
        <f t="shared" si="28"/>
        <v/>
      </c>
      <c r="I1807" s="29"/>
      <c r="K1807" s="36" t="str">
        <f>IF(ISNUMBER($D1807),IF(YEAR($D1807)=대시보드!$C$2,$D1807+ROW()/100000,""),"")</f>
        <v/>
      </c>
    </row>
    <row r="1808" spans="1:11">
      <c r="A1808" s="33"/>
      <c r="B1808" s="29"/>
      <c r="C1808" s="29"/>
      <c r="D1808" s="30"/>
      <c r="E1808" s="30"/>
      <c r="F1808" s="35"/>
      <c r="G1808" s="35"/>
      <c r="H1808" s="35" t="str">
        <f t="shared" si="28"/>
        <v/>
      </c>
      <c r="I1808" s="29"/>
      <c r="K1808" s="36" t="str">
        <f>IF(ISNUMBER($D1808),IF(YEAR($D1808)=대시보드!$C$2,$D1808+ROW()/100000,""),"")</f>
        <v/>
      </c>
    </row>
    <row r="1809" spans="1:11">
      <c r="A1809" s="33"/>
      <c r="B1809" s="29"/>
      <c r="C1809" s="29"/>
      <c r="D1809" s="30"/>
      <c r="E1809" s="30"/>
      <c r="F1809" s="35"/>
      <c r="G1809" s="35"/>
      <c r="H1809" s="35" t="str">
        <f t="shared" si="28"/>
        <v/>
      </c>
      <c r="I1809" s="29"/>
      <c r="K1809" s="36" t="str">
        <f>IF(ISNUMBER($D1809),IF(YEAR($D1809)=대시보드!$C$2,$D1809+ROW()/100000,""),"")</f>
        <v/>
      </c>
    </row>
    <row r="1810" spans="1:11">
      <c r="A1810" s="33"/>
      <c r="B1810" s="29"/>
      <c r="C1810" s="29"/>
      <c r="D1810" s="30"/>
      <c r="E1810" s="30"/>
      <c r="F1810" s="35"/>
      <c r="G1810" s="35"/>
      <c r="H1810" s="35" t="str">
        <f t="shared" si="28"/>
        <v/>
      </c>
      <c r="I1810" s="29"/>
      <c r="K1810" s="36" t="str">
        <f>IF(ISNUMBER($D1810),IF(YEAR($D1810)=대시보드!$C$2,$D1810+ROW()/100000,""),"")</f>
        <v/>
      </c>
    </row>
    <row r="1811" spans="1:11">
      <c r="A1811" s="33"/>
      <c r="B1811" s="29"/>
      <c r="C1811" s="29"/>
      <c r="D1811" s="30"/>
      <c r="E1811" s="30"/>
      <c r="F1811" s="35"/>
      <c r="G1811" s="35"/>
      <c r="H1811" s="35" t="str">
        <f t="shared" si="28"/>
        <v/>
      </c>
      <c r="I1811" s="29"/>
      <c r="K1811" s="36" t="str">
        <f>IF(ISNUMBER($D1811),IF(YEAR($D1811)=대시보드!$C$2,$D1811+ROW()/100000,""),"")</f>
        <v/>
      </c>
    </row>
    <row r="1812" spans="1:11">
      <c r="A1812" s="33"/>
      <c r="B1812" s="29"/>
      <c r="C1812" s="29"/>
      <c r="D1812" s="30"/>
      <c r="E1812" s="30"/>
      <c r="F1812" s="35"/>
      <c r="G1812" s="35"/>
      <c r="H1812" s="35" t="str">
        <f t="shared" si="28"/>
        <v/>
      </c>
      <c r="I1812" s="29"/>
      <c r="K1812" s="36" t="str">
        <f>IF(ISNUMBER($D1812),IF(YEAR($D1812)=대시보드!$C$2,$D1812+ROW()/100000,""),"")</f>
        <v/>
      </c>
    </row>
    <row r="1813" spans="1:11">
      <c r="A1813" s="33"/>
      <c r="B1813" s="29"/>
      <c r="C1813" s="29"/>
      <c r="D1813" s="30"/>
      <c r="E1813" s="30"/>
      <c r="F1813" s="35"/>
      <c r="G1813" s="35"/>
      <c r="H1813" s="35" t="str">
        <f t="shared" si="28"/>
        <v/>
      </c>
      <c r="I1813" s="29"/>
      <c r="K1813" s="36" t="str">
        <f>IF(ISNUMBER($D1813),IF(YEAR($D1813)=대시보드!$C$2,$D1813+ROW()/100000,""),"")</f>
        <v/>
      </c>
    </row>
    <row r="1814" spans="1:11">
      <c r="A1814" s="33"/>
      <c r="B1814" s="29"/>
      <c r="C1814" s="29"/>
      <c r="D1814" s="30"/>
      <c r="E1814" s="30"/>
      <c r="F1814" s="35"/>
      <c r="G1814" s="35"/>
      <c r="H1814" s="35" t="str">
        <f t="shared" si="28"/>
        <v/>
      </c>
      <c r="I1814" s="29"/>
      <c r="K1814" s="36" t="str">
        <f>IF(ISNUMBER($D1814),IF(YEAR($D1814)=대시보드!$C$2,$D1814+ROW()/100000,""),"")</f>
        <v/>
      </c>
    </row>
    <row r="1815" spans="1:11">
      <c r="A1815" s="33"/>
      <c r="B1815" s="29"/>
      <c r="C1815" s="29"/>
      <c r="D1815" s="30"/>
      <c r="E1815" s="30"/>
      <c r="F1815" s="35"/>
      <c r="G1815" s="35"/>
      <c r="H1815" s="35" t="str">
        <f t="shared" si="28"/>
        <v/>
      </c>
      <c r="I1815" s="29"/>
      <c r="K1815" s="36" t="str">
        <f>IF(ISNUMBER($D1815),IF(YEAR($D1815)=대시보드!$C$2,$D1815+ROW()/100000,""),"")</f>
        <v/>
      </c>
    </row>
    <row r="1816" spans="1:11">
      <c r="A1816" s="33"/>
      <c r="B1816" s="29"/>
      <c r="C1816" s="29"/>
      <c r="D1816" s="30"/>
      <c r="E1816" s="30"/>
      <c r="F1816" s="35"/>
      <c r="G1816" s="35"/>
      <c r="H1816" s="35" t="str">
        <f t="shared" si="28"/>
        <v/>
      </c>
      <c r="I1816" s="29"/>
      <c r="K1816" s="36" t="str">
        <f>IF(ISNUMBER($D1816),IF(YEAR($D1816)=대시보드!$C$2,$D1816+ROW()/100000,""),"")</f>
        <v/>
      </c>
    </row>
    <row r="1817" spans="1:11">
      <c r="A1817" s="33"/>
      <c r="B1817" s="29"/>
      <c r="C1817" s="29"/>
      <c r="D1817" s="30"/>
      <c r="E1817" s="30"/>
      <c r="F1817" s="35"/>
      <c r="G1817" s="35"/>
      <c r="H1817" s="35" t="str">
        <f t="shared" si="28"/>
        <v/>
      </c>
      <c r="I1817" s="29"/>
      <c r="K1817" s="36" t="str">
        <f>IF(ISNUMBER($D1817),IF(YEAR($D1817)=대시보드!$C$2,$D1817+ROW()/100000,""),"")</f>
        <v/>
      </c>
    </row>
    <row r="1818" spans="1:11">
      <c r="A1818" s="33"/>
      <c r="B1818" s="29"/>
      <c r="C1818" s="29"/>
      <c r="D1818" s="30"/>
      <c r="E1818" s="30"/>
      <c r="F1818" s="35"/>
      <c r="G1818" s="35"/>
      <c r="H1818" s="35" t="str">
        <f t="shared" si="28"/>
        <v/>
      </c>
      <c r="I1818" s="29"/>
      <c r="K1818" s="36" t="str">
        <f>IF(ISNUMBER($D1818),IF(YEAR($D1818)=대시보드!$C$2,$D1818+ROW()/100000,""),"")</f>
        <v/>
      </c>
    </row>
    <row r="1819" spans="1:11">
      <c r="A1819" s="33"/>
      <c r="B1819" s="29"/>
      <c r="C1819" s="29"/>
      <c r="D1819" s="30"/>
      <c r="E1819" s="30"/>
      <c r="F1819" s="35"/>
      <c r="G1819" s="35"/>
      <c r="H1819" s="35" t="str">
        <f t="shared" si="28"/>
        <v/>
      </c>
      <c r="I1819" s="29"/>
      <c r="K1819" s="36" t="str">
        <f>IF(ISNUMBER($D1819),IF(YEAR($D1819)=대시보드!$C$2,$D1819+ROW()/100000,""),"")</f>
        <v/>
      </c>
    </row>
    <row r="1820" spans="1:11">
      <c r="A1820" s="33"/>
      <c r="B1820" s="29"/>
      <c r="C1820" s="29"/>
      <c r="D1820" s="30"/>
      <c r="E1820" s="30"/>
      <c r="F1820" s="35"/>
      <c r="G1820" s="35"/>
      <c r="H1820" s="35" t="str">
        <f t="shared" si="28"/>
        <v/>
      </c>
      <c r="I1820" s="29"/>
      <c r="K1820" s="36" t="str">
        <f>IF(ISNUMBER($D1820),IF(YEAR($D1820)=대시보드!$C$2,$D1820+ROW()/100000,""),"")</f>
        <v/>
      </c>
    </row>
    <row r="1821" spans="1:11">
      <c r="A1821" s="33"/>
      <c r="B1821" s="29"/>
      <c r="C1821" s="29"/>
      <c r="D1821" s="30"/>
      <c r="E1821" s="30"/>
      <c r="F1821" s="35"/>
      <c r="G1821" s="35"/>
      <c r="H1821" s="35" t="str">
        <f t="shared" si="28"/>
        <v/>
      </c>
      <c r="I1821" s="29"/>
      <c r="K1821" s="36" t="str">
        <f>IF(ISNUMBER($D1821),IF(YEAR($D1821)=대시보드!$C$2,$D1821+ROW()/100000,""),"")</f>
        <v/>
      </c>
    </row>
    <row r="1822" spans="1:11">
      <c r="A1822" s="33"/>
      <c r="B1822" s="29"/>
      <c r="C1822" s="29"/>
      <c r="D1822" s="30"/>
      <c r="E1822" s="30"/>
      <c r="F1822" s="35"/>
      <c r="G1822" s="35"/>
      <c r="H1822" s="35" t="str">
        <f t="shared" si="28"/>
        <v/>
      </c>
      <c r="I1822" s="29"/>
      <c r="K1822" s="36" t="str">
        <f>IF(ISNUMBER($D1822),IF(YEAR($D1822)=대시보드!$C$2,$D1822+ROW()/100000,""),"")</f>
        <v/>
      </c>
    </row>
    <row r="1823" spans="1:11">
      <c r="A1823" s="33"/>
      <c r="B1823" s="29"/>
      <c r="C1823" s="29"/>
      <c r="D1823" s="30"/>
      <c r="E1823" s="30"/>
      <c r="F1823" s="35"/>
      <c r="G1823" s="35"/>
      <c r="H1823" s="35" t="str">
        <f t="shared" si="28"/>
        <v/>
      </c>
      <c r="I1823" s="29"/>
      <c r="K1823" s="36" t="str">
        <f>IF(ISNUMBER($D1823),IF(YEAR($D1823)=대시보드!$C$2,$D1823+ROW()/100000,""),"")</f>
        <v/>
      </c>
    </row>
    <row r="1824" spans="1:11">
      <c r="A1824" s="33"/>
      <c r="B1824" s="29"/>
      <c r="C1824" s="29"/>
      <c r="D1824" s="30"/>
      <c r="E1824" s="30"/>
      <c r="F1824" s="35"/>
      <c r="G1824" s="35"/>
      <c r="H1824" s="35" t="str">
        <f t="shared" si="28"/>
        <v/>
      </c>
      <c r="I1824" s="29"/>
      <c r="K1824" s="36" t="str">
        <f>IF(ISNUMBER($D1824),IF(YEAR($D1824)=대시보드!$C$2,$D1824+ROW()/100000,""),"")</f>
        <v/>
      </c>
    </row>
    <row r="1825" spans="1:11">
      <c r="A1825" s="33"/>
      <c r="B1825" s="29"/>
      <c r="C1825" s="29"/>
      <c r="D1825" s="30"/>
      <c r="E1825" s="30"/>
      <c r="F1825" s="35"/>
      <c r="G1825" s="35"/>
      <c r="H1825" s="35" t="str">
        <f t="shared" si="28"/>
        <v/>
      </c>
      <c r="I1825" s="29"/>
      <c r="K1825" s="36" t="str">
        <f>IF(ISNUMBER($D1825),IF(YEAR($D1825)=대시보드!$C$2,$D1825+ROW()/100000,""),"")</f>
        <v/>
      </c>
    </row>
    <row r="1826" spans="1:11">
      <c r="A1826" s="33"/>
      <c r="B1826" s="29"/>
      <c r="C1826" s="29"/>
      <c r="D1826" s="30"/>
      <c r="E1826" s="30"/>
      <c r="F1826" s="35"/>
      <c r="G1826" s="35"/>
      <c r="H1826" s="35" t="str">
        <f t="shared" si="28"/>
        <v/>
      </c>
      <c r="I1826" s="29"/>
      <c r="K1826" s="36" t="str">
        <f>IF(ISNUMBER($D1826),IF(YEAR($D1826)=대시보드!$C$2,$D1826+ROW()/100000,""),"")</f>
        <v/>
      </c>
    </row>
    <row r="1827" spans="1:11">
      <c r="A1827" s="33"/>
      <c r="B1827" s="29"/>
      <c r="C1827" s="29"/>
      <c r="D1827" s="30"/>
      <c r="E1827" s="30"/>
      <c r="F1827" s="35"/>
      <c r="G1827" s="35"/>
      <c r="H1827" s="35" t="str">
        <f t="shared" si="28"/>
        <v/>
      </c>
      <c r="I1827" s="29"/>
      <c r="K1827" s="36" t="str">
        <f>IF(ISNUMBER($D1827),IF(YEAR($D1827)=대시보드!$C$2,$D1827+ROW()/100000,""),"")</f>
        <v/>
      </c>
    </row>
    <row r="1828" spans="1:11">
      <c r="A1828" s="33"/>
      <c r="B1828" s="29"/>
      <c r="C1828" s="29"/>
      <c r="D1828" s="30"/>
      <c r="E1828" s="30"/>
      <c r="F1828" s="35"/>
      <c r="G1828" s="35"/>
      <c r="H1828" s="35" t="str">
        <f t="shared" si="28"/>
        <v/>
      </c>
      <c r="I1828" s="29"/>
      <c r="K1828" s="36" t="str">
        <f>IF(ISNUMBER($D1828),IF(YEAR($D1828)=대시보드!$C$2,$D1828+ROW()/100000,""),"")</f>
        <v/>
      </c>
    </row>
    <row r="1829" spans="1:11">
      <c r="A1829" s="33"/>
      <c r="B1829" s="29"/>
      <c r="C1829" s="29"/>
      <c r="D1829" s="30"/>
      <c r="E1829" s="30"/>
      <c r="F1829" s="35"/>
      <c r="G1829" s="35"/>
      <c r="H1829" s="35" t="str">
        <f t="shared" si="28"/>
        <v/>
      </c>
      <c r="I1829" s="29"/>
      <c r="K1829" s="36" t="str">
        <f>IF(ISNUMBER($D1829),IF(YEAR($D1829)=대시보드!$C$2,$D1829+ROW()/100000,""),"")</f>
        <v/>
      </c>
    </row>
    <row r="1830" spans="1:11">
      <c r="A1830" s="33"/>
      <c r="B1830" s="29"/>
      <c r="C1830" s="29"/>
      <c r="D1830" s="30"/>
      <c r="E1830" s="30"/>
      <c r="F1830" s="35"/>
      <c r="G1830" s="35"/>
      <c r="H1830" s="35" t="str">
        <f t="shared" si="28"/>
        <v/>
      </c>
      <c r="I1830" s="29"/>
      <c r="K1830" s="36" t="str">
        <f>IF(ISNUMBER($D1830),IF(YEAR($D1830)=대시보드!$C$2,$D1830+ROW()/100000,""),"")</f>
        <v/>
      </c>
    </row>
    <row r="1831" spans="1:11">
      <c r="A1831" s="33"/>
      <c r="B1831" s="29"/>
      <c r="C1831" s="29"/>
      <c r="D1831" s="30"/>
      <c r="E1831" s="30"/>
      <c r="F1831" s="35"/>
      <c r="G1831" s="35"/>
      <c r="H1831" s="35" t="str">
        <f t="shared" si="28"/>
        <v/>
      </c>
      <c r="I1831" s="29"/>
      <c r="K1831" s="36" t="str">
        <f>IF(ISNUMBER($D1831),IF(YEAR($D1831)=대시보드!$C$2,$D1831+ROW()/100000,""),"")</f>
        <v/>
      </c>
    </row>
    <row r="1832" spans="1:11">
      <c r="A1832" s="33"/>
      <c r="B1832" s="29"/>
      <c r="C1832" s="29"/>
      <c r="D1832" s="30"/>
      <c r="E1832" s="30"/>
      <c r="F1832" s="35"/>
      <c r="G1832" s="35"/>
      <c r="H1832" s="35" t="str">
        <f t="shared" si="28"/>
        <v/>
      </c>
      <c r="I1832" s="29"/>
      <c r="K1832" s="36" t="str">
        <f>IF(ISNUMBER($D1832),IF(YEAR($D1832)=대시보드!$C$2,$D1832+ROW()/100000,""),"")</f>
        <v/>
      </c>
    </row>
    <row r="1833" spans="1:11">
      <c r="A1833" s="33"/>
      <c r="B1833" s="29"/>
      <c r="C1833" s="29"/>
      <c r="D1833" s="30"/>
      <c r="E1833" s="30"/>
      <c r="F1833" s="35"/>
      <c r="G1833" s="35"/>
      <c r="H1833" s="35" t="str">
        <f t="shared" si="28"/>
        <v/>
      </c>
      <c r="I1833" s="29"/>
      <c r="K1833" s="36" t="str">
        <f>IF(ISNUMBER($D1833),IF(YEAR($D1833)=대시보드!$C$2,$D1833+ROW()/100000,""),"")</f>
        <v/>
      </c>
    </row>
    <row r="1834" spans="1:11">
      <c r="A1834" s="33"/>
      <c r="B1834" s="29"/>
      <c r="C1834" s="29"/>
      <c r="D1834" s="30"/>
      <c r="E1834" s="30"/>
      <c r="F1834" s="35"/>
      <c r="G1834" s="35"/>
      <c r="H1834" s="35" t="str">
        <f t="shared" si="28"/>
        <v/>
      </c>
      <c r="I1834" s="29"/>
      <c r="K1834" s="36" t="str">
        <f>IF(ISNUMBER($D1834),IF(YEAR($D1834)=대시보드!$C$2,$D1834+ROW()/100000,""),"")</f>
        <v/>
      </c>
    </row>
    <row r="1835" spans="1:11">
      <c r="A1835" s="33"/>
      <c r="B1835" s="29"/>
      <c r="C1835" s="29"/>
      <c r="D1835" s="30"/>
      <c r="E1835" s="30"/>
      <c r="F1835" s="35"/>
      <c r="G1835" s="35"/>
      <c r="H1835" s="35" t="str">
        <f t="shared" si="28"/>
        <v/>
      </c>
      <c r="I1835" s="29"/>
      <c r="K1835" s="36" t="str">
        <f>IF(ISNUMBER($D1835),IF(YEAR($D1835)=대시보드!$C$2,$D1835+ROW()/100000,""),"")</f>
        <v/>
      </c>
    </row>
    <row r="1836" spans="1:11">
      <c r="A1836" s="33"/>
      <c r="B1836" s="29"/>
      <c r="C1836" s="29"/>
      <c r="D1836" s="30"/>
      <c r="E1836" s="30"/>
      <c r="F1836" s="35"/>
      <c r="G1836" s="35"/>
      <c r="H1836" s="35" t="str">
        <f t="shared" si="28"/>
        <v/>
      </c>
      <c r="I1836" s="29"/>
      <c r="K1836" s="36" t="str">
        <f>IF(ISNUMBER($D1836),IF(YEAR($D1836)=대시보드!$C$2,$D1836+ROW()/100000,""),"")</f>
        <v/>
      </c>
    </row>
    <row r="1837" spans="1:11">
      <c r="A1837" s="33"/>
      <c r="B1837" s="29"/>
      <c r="C1837" s="29"/>
      <c r="D1837" s="30"/>
      <c r="E1837" s="30"/>
      <c r="F1837" s="35"/>
      <c r="G1837" s="35"/>
      <c r="H1837" s="35" t="str">
        <f t="shared" si="28"/>
        <v/>
      </c>
      <c r="I1837" s="29"/>
      <c r="K1837" s="36" t="str">
        <f>IF(ISNUMBER($D1837),IF(YEAR($D1837)=대시보드!$C$2,$D1837+ROW()/100000,""),"")</f>
        <v/>
      </c>
    </row>
    <row r="1838" spans="1:11">
      <c r="A1838" s="33"/>
      <c r="B1838" s="29"/>
      <c r="C1838" s="29"/>
      <c r="D1838" s="30"/>
      <c r="E1838" s="30"/>
      <c r="F1838" s="35"/>
      <c r="G1838" s="35"/>
      <c r="H1838" s="35" t="str">
        <f t="shared" si="28"/>
        <v/>
      </c>
      <c r="I1838" s="29"/>
      <c r="K1838" s="36" t="str">
        <f>IF(ISNUMBER($D1838),IF(YEAR($D1838)=대시보드!$C$2,$D1838+ROW()/100000,""),"")</f>
        <v/>
      </c>
    </row>
    <row r="1839" spans="1:11">
      <c r="A1839" s="33"/>
      <c r="B1839" s="29"/>
      <c r="C1839" s="29"/>
      <c r="D1839" s="30"/>
      <c r="E1839" s="30"/>
      <c r="F1839" s="35"/>
      <c r="G1839" s="35"/>
      <c r="H1839" s="35" t="str">
        <f t="shared" si="28"/>
        <v/>
      </c>
      <c r="I1839" s="29"/>
      <c r="K1839" s="36" t="str">
        <f>IF(ISNUMBER($D1839),IF(YEAR($D1839)=대시보드!$C$2,$D1839+ROW()/100000,""),"")</f>
        <v/>
      </c>
    </row>
    <row r="1840" spans="1:11">
      <c r="A1840" s="33"/>
      <c r="B1840" s="29"/>
      <c r="C1840" s="29"/>
      <c r="D1840" s="30"/>
      <c r="E1840" s="30"/>
      <c r="F1840" s="35"/>
      <c r="G1840" s="35"/>
      <c r="H1840" s="35" t="str">
        <f t="shared" si="28"/>
        <v/>
      </c>
      <c r="I1840" s="29"/>
      <c r="K1840" s="36" t="str">
        <f>IF(ISNUMBER($D1840),IF(YEAR($D1840)=대시보드!$C$2,$D1840+ROW()/100000,""),"")</f>
        <v/>
      </c>
    </row>
    <row r="1841" spans="1:11">
      <c r="A1841" s="33"/>
      <c r="B1841" s="29"/>
      <c r="C1841" s="29"/>
      <c r="D1841" s="30"/>
      <c r="E1841" s="30"/>
      <c r="F1841" s="35"/>
      <c r="G1841" s="35"/>
      <c r="H1841" s="35" t="str">
        <f t="shared" si="28"/>
        <v/>
      </c>
      <c r="I1841" s="29"/>
      <c r="K1841" s="36" t="str">
        <f>IF(ISNUMBER($D1841),IF(YEAR($D1841)=대시보드!$C$2,$D1841+ROW()/100000,""),"")</f>
        <v/>
      </c>
    </row>
    <row r="1842" spans="1:11">
      <c r="A1842" s="33"/>
      <c r="B1842" s="29"/>
      <c r="C1842" s="29"/>
      <c r="D1842" s="30"/>
      <c r="E1842" s="30"/>
      <c r="F1842" s="35"/>
      <c r="G1842" s="35"/>
      <c r="H1842" s="35" t="str">
        <f t="shared" si="28"/>
        <v/>
      </c>
      <c r="I1842" s="29"/>
      <c r="K1842" s="36" t="str">
        <f>IF(ISNUMBER($D1842),IF(YEAR($D1842)=대시보드!$C$2,$D1842+ROW()/100000,""),"")</f>
        <v/>
      </c>
    </row>
    <row r="1843" spans="1:11">
      <c r="A1843" s="33"/>
      <c r="B1843" s="29"/>
      <c r="C1843" s="29"/>
      <c r="D1843" s="30"/>
      <c r="E1843" s="30"/>
      <c r="F1843" s="35"/>
      <c r="G1843" s="35"/>
      <c r="H1843" s="35" t="str">
        <f t="shared" si="28"/>
        <v/>
      </c>
      <c r="I1843" s="29"/>
      <c r="K1843" s="36" t="str">
        <f>IF(ISNUMBER($D1843),IF(YEAR($D1843)=대시보드!$C$2,$D1843+ROW()/100000,""),"")</f>
        <v/>
      </c>
    </row>
    <row r="1844" spans="1:11">
      <c r="A1844" s="33"/>
      <c r="B1844" s="29"/>
      <c r="C1844" s="29"/>
      <c r="D1844" s="30"/>
      <c r="E1844" s="30"/>
      <c r="F1844" s="35"/>
      <c r="G1844" s="35"/>
      <c r="H1844" s="35" t="str">
        <f t="shared" si="28"/>
        <v/>
      </c>
      <c r="I1844" s="29"/>
      <c r="K1844" s="36" t="str">
        <f>IF(ISNUMBER($D1844),IF(YEAR($D1844)=대시보드!$C$2,$D1844+ROW()/100000,""),"")</f>
        <v/>
      </c>
    </row>
    <row r="1845" spans="1:11">
      <c r="A1845" s="33"/>
      <c r="B1845" s="29"/>
      <c r="C1845" s="29"/>
      <c r="D1845" s="30"/>
      <c r="E1845" s="30"/>
      <c r="F1845" s="35"/>
      <c r="G1845" s="35"/>
      <c r="H1845" s="35" t="str">
        <f t="shared" si="28"/>
        <v/>
      </c>
      <c r="I1845" s="29"/>
      <c r="K1845" s="36" t="str">
        <f>IF(ISNUMBER($D1845),IF(YEAR($D1845)=대시보드!$C$2,$D1845+ROW()/100000,""),"")</f>
        <v/>
      </c>
    </row>
    <row r="1846" spans="1:11">
      <c r="A1846" s="33"/>
      <c r="B1846" s="29"/>
      <c r="C1846" s="29"/>
      <c r="D1846" s="30"/>
      <c r="E1846" s="30"/>
      <c r="F1846" s="35"/>
      <c r="G1846" s="35"/>
      <c r="H1846" s="35" t="str">
        <f t="shared" si="28"/>
        <v/>
      </c>
      <c r="I1846" s="29"/>
      <c r="K1846" s="36" t="str">
        <f>IF(ISNUMBER($D1846),IF(YEAR($D1846)=대시보드!$C$2,$D1846+ROW()/100000,""),"")</f>
        <v/>
      </c>
    </row>
    <row r="1847" spans="1:11">
      <c r="A1847" s="33"/>
      <c r="B1847" s="29"/>
      <c r="C1847" s="29"/>
      <c r="D1847" s="30"/>
      <c r="E1847" s="30"/>
      <c r="F1847" s="35"/>
      <c r="G1847" s="35"/>
      <c r="H1847" s="35" t="str">
        <f t="shared" si="28"/>
        <v/>
      </c>
      <c r="I1847" s="29"/>
      <c r="K1847" s="36" t="str">
        <f>IF(ISNUMBER($D1847),IF(YEAR($D1847)=대시보드!$C$2,$D1847+ROW()/100000,""),"")</f>
        <v/>
      </c>
    </row>
    <row r="1848" spans="1:11">
      <c r="A1848" s="33"/>
      <c r="B1848" s="29"/>
      <c r="C1848" s="29"/>
      <c r="D1848" s="30"/>
      <c r="E1848" s="30"/>
      <c r="F1848" s="35"/>
      <c r="G1848" s="35"/>
      <c r="H1848" s="35" t="str">
        <f t="shared" si="28"/>
        <v/>
      </c>
      <c r="I1848" s="29"/>
      <c r="K1848" s="36" t="str">
        <f>IF(ISNUMBER($D1848),IF(YEAR($D1848)=대시보드!$C$2,$D1848+ROW()/100000,""),"")</f>
        <v/>
      </c>
    </row>
    <row r="1849" spans="1:11">
      <c r="A1849" s="33"/>
      <c r="B1849" s="29"/>
      <c r="C1849" s="29"/>
      <c r="D1849" s="30"/>
      <c r="E1849" s="30"/>
      <c r="F1849" s="35"/>
      <c r="G1849" s="35"/>
      <c r="H1849" s="35" t="str">
        <f t="shared" si="28"/>
        <v/>
      </c>
      <c r="I1849" s="29"/>
      <c r="K1849" s="36" t="str">
        <f>IF(ISNUMBER($D1849),IF(YEAR($D1849)=대시보드!$C$2,$D1849+ROW()/100000,""),"")</f>
        <v/>
      </c>
    </row>
    <row r="1850" spans="1:11">
      <c r="A1850" s="33"/>
      <c r="B1850" s="29"/>
      <c r="C1850" s="29"/>
      <c r="D1850" s="30"/>
      <c r="E1850" s="30"/>
      <c r="F1850" s="35"/>
      <c r="G1850" s="35"/>
      <c r="H1850" s="35" t="str">
        <f t="shared" si="28"/>
        <v/>
      </c>
      <c r="I1850" s="29"/>
      <c r="K1850" s="36" t="str">
        <f>IF(ISNUMBER($D1850),IF(YEAR($D1850)=대시보드!$C$2,$D1850+ROW()/100000,""),"")</f>
        <v/>
      </c>
    </row>
    <row r="1851" spans="1:11">
      <c r="A1851" s="33"/>
      <c r="B1851" s="29"/>
      <c r="C1851" s="29"/>
      <c r="D1851" s="30"/>
      <c r="E1851" s="30"/>
      <c r="F1851" s="35"/>
      <c r="G1851" s="35"/>
      <c r="H1851" s="35" t="str">
        <f t="shared" si="28"/>
        <v/>
      </c>
      <c r="I1851" s="29"/>
      <c r="K1851" s="36" t="str">
        <f>IF(ISNUMBER($D1851),IF(YEAR($D1851)=대시보드!$C$2,$D1851+ROW()/100000,""),"")</f>
        <v/>
      </c>
    </row>
    <row r="1852" spans="1:11">
      <c r="A1852" s="33"/>
      <c r="B1852" s="29"/>
      <c r="C1852" s="29"/>
      <c r="D1852" s="30"/>
      <c r="E1852" s="30"/>
      <c r="F1852" s="35"/>
      <c r="G1852" s="35"/>
      <c r="H1852" s="35" t="str">
        <f t="shared" si="28"/>
        <v/>
      </c>
      <c r="I1852" s="29"/>
      <c r="K1852" s="36" t="str">
        <f>IF(ISNUMBER($D1852),IF(YEAR($D1852)=대시보드!$C$2,$D1852+ROW()/100000,""),"")</f>
        <v/>
      </c>
    </row>
    <row r="1853" spans="1:11">
      <c r="A1853" s="33"/>
      <c r="B1853" s="29"/>
      <c r="C1853" s="29"/>
      <c r="D1853" s="30"/>
      <c r="E1853" s="30"/>
      <c r="F1853" s="35"/>
      <c r="G1853" s="35"/>
      <c r="H1853" s="35" t="str">
        <f t="shared" si="28"/>
        <v/>
      </c>
      <c r="I1853" s="29"/>
      <c r="K1853" s="36" t="str">
        <f>IF(ISNUMBER($D1853),IF(YEAR($D1853)=대시보드!$C$2,$D1853+ROW()/100000,""),"")</f>
        <v/>
      </c>
    </row>
    <row r="1854" spans="1:11">
      <c r="A1854" s="33"/>
      <c r="B1854" s="29"/>
      <c r="C1854" s="29"/>
      <c r="D1854" s="30"/>
      <c r="E1854" s="30"/>
      <c r="F1854" s="35"/>
      <c r="G1854" s="35"/>
      <c r="H1854" s="35" t="str">
        <f t="shared" si="28"/>
        <v/>
      </c>
      <c r="I1854" s="29"/>
      <c r="K1854" s="36" t="str">
        <f>IF(ISNUMBER($D1854),IF(YEAR($D1854)=대시보드!$C$2,$D1854+ROW()/100000,""),"")</f>
        <v/>
      </c>
    </row>
    <row r="1855" spans="1:11">
      <c r="A1855" s="33"/>
      <c r="B1855" s="29"/>
      <c r="C1855" s="29"/>
      <c r="D1855" s="30"/>
      <c r="E1855" s="30"/>
      <c r="F1855" s="35"/>
      <c r="G1855" s="35"/>
      <c r="H1855" s="35" t="str">
        <f t="shared" si="28"/>
        <v/>
      </c>
      <c r="I1855" s="29"/>
      <c r="K1855" s="36" t="str">
        <f>IF(ISNUMBER($D1855),IF(YEAR($D1855)=대시보드!$C$2,$D1855+ROW()/100000,""),"")</f>
        <v/>
      </c>
    </row>
    <row r="1856" spans="1:11">
      <c r="A1856" s="33"/>
      <c r="B1856" s="29"/>
      <c r="C1856" s="29"/>
      <c r="D1856" s="30"/>
      <c r="E1856" s="30"/>
      <c r="F1856" s="35"/>
      <c r="G1856" s="35"/>
      <c r="H1856" s="35" t="str">
        <f t="shared" si="28"/>
        <v/>
      </c>
      <c r="I1856" s="29"/>
      <c r="K1856" s="36" t="str">
        <f>IF(ISNUMBER($D1856),IF(YEAR($D1856)=대시보드!$C$2,$D1856+ROW()/100000,""),"")</f>
        <v/>
      </c>
    </row>
    <row r="1857" spans="1:11">
      <c r="A1857" s="33"/>
      <c r="B1857" s="29"/>
      <c r="C1857" s="29"/>
      <c r="D1857" s="30"/>
      <c r="E1857" s="30"/>
      <c r="F1857" s="35"/>
      <c r="G1857" s="35"/>
      <c r="H1857" s="35" t="str">
        <f t="shared" si="28"/>
        <v/>
      </c>
      <c r="I1857" s="29"/>
      <c r="K1857" s="36" t="str">
        <f>IF(ISNUMBER($D1857),IF(YEAR($D1857)=대시보드!$C$2,$D1857+ROW()/100000,""),"")</f>
        <v/>
      </c>
    </row>
    <row r="1858" spans="1:11">
      <c r="A1858" s="33"/>
      <c r="B1858" s="29"/>
      <c r="C1858" s="29"/>
      <c r="D1858" s="30"/>
      <c r="E1858" s="30"/>
      <c r="F1858" s="35"/>
      <c r="G1858" s="35"/>
      <c r="H1858" s="35" t="str">
        <f t="shared" si="28"/>
        <v/>
      </c>
      <c r="I1858" s="29"/>
      <c r="K1858" s="36" t="str">
        <f>IF(ISNUMBER($D1858),IF(YEAR($D1858)=대시보드!$C$2,$D1858+ROW()/100000,""),"")</f>
        <v/>
      </c>
    </row>
    <row r="1859" spans="1:11">
      <c r="A1859" s="33"/>
      <c r="B1859" s="29"/>
      <c r="C1859" s="29"/>
      <c r="D1859" s="30"/>
      <c r="E1859" s="30"/>
      <c r="F1859" s="35"/>
      <c r="G1859" s="35"/>
      <c r="H1859" s="35" t="str">
        <f t="shared" si="28"/>
        <v/>
      </c>
      <c r="I1859" s="29"/>
      <c r="K1859" s="36" t="str">
        <f>IF(ISNUMBER($D1859),IF(YEAR($D1859)=대시보드!$C$2,$D1859+ROW()/100000,""),"")</f>
        <v/>
      </c>
    </row>
    <row r="1860" spans="1:11">
      <c r="A1860" s="33"/>
      <c r="B1860" s="29"/>
      <c r="C1860" s="29"/>
      <c r="D1860" s="30"/>
      <c r="E1860" s="30"/>
      <c r="F1860" s="35"/>
      <c r="G1860" s="35"/>
      <c r="H1860" s="35" t="str">
        <f t="shared" ref="H1860:H1923" si="29">IF(F1860="","",F1860-G1860)</f>
        <v/>
      </c>
      <c r="I1860" s="29"/>
      <c r="K1860" s="36" t="str">
        <f>IF(ISNUMBER($D1860),IF(YEAR($D1860)=대시보드!$C$2,$D1860+ROW()/100000,""),"")</f>
        <v/>
      </c>
    </row>
    <row r="1861" spans="1:11">
      <c r="A1861" s="33"/>
      <c r="B1861" s="29"/>
      <c r="C1861" s="29"/>
      <c r="D1861" s="30"/>
      <c r="E1861" s="30"/>
      <c r="F1861" s="35"/>
      <c r="G1861" s="35"/>
      <c r="H1861" s="35" t="str">
        <f t="shared" si="29"/>
        <v/>
      </c>
      <c r="I1861" s="29"/>
      <c r="K1861" s="36" t="str">
        <f>IF(ISNUMBER($D1861),IF(YEAR($D1861)=대시보드!$C$2,$D1861+ROW()/100000,""),"")</f>
        <v/>
      </c>
    </row>
    <row r="1862" spans="1:11">
      <c r="A1862" s="33"/>
      <c r="B1862" s="29"/>
      <c r="C1862" s="29"/>
      <c r="D1862" s="30"/>
      <c r="E1862" s="30"/>
      <c r="F1862" s="35"/>
      <c r="G1862" s="35"/>
      <c r="H1862" s="35" t="str">
        <f t="shared" si="29"/>
        <v/>
      </c>
      <c r="I1862" s="29"/>
      <c r="K1862" s="36" t="str">
        <f>IF(ISNUMBER($D1862),IF(YEAR($D1862)=대시보드!$C$2,$D1862+ROW()/100000,""),"")</f>
        <v/>
      </c>
    </row>
    <row r="1863" spans="1:11">
      <c r="A1863" s="33"/>
      <c r="B1863" s="29"/>
      <c r="C1863" s="29"/>
      <c r="D1863" s="30"/>
      <c r="E1863" s="30"/>
      <c r="F1863" s="35"/>
      <c r="G1863" s="35"/>
      <c r="H1863" s="35" t="str">
        <f t="shared" si="29"/>
        <v/>
      </c>
      <c r="I1863" s="29"/>
      <c r="K1863" s="36" t="str">
        <f>IF(ISNUMBER($D1863),IF(YEAR($D1863)=대시보드!$C$2,$D1863+ROW()/100000,""),"")</f>
        <v/>
      </c>
    </row>
    <row r="1864" spans="1:11">
      <c r="A1864" s="33"/>
      <c r="B1864" s="29"/>
      <c r="C1864" s="29"/>
      <c r="D1864" s="30"/>
      <c r="E1864" s="30"/>
      <c r="F1864" s="35"/>
      <c r="G1864" s="35"/>
      <c r="H1864" s="35" t="str">
        <f t="shared" si="29"/>
        <v/>
      </c>
      <c r="I1864" s="29"/>
      <c r="K1864" s="36" t="str">
        <f>IF(ISNUMBER($D1864),IF(YEAR($D1864)=대시보드!$C$2,$D1864+ROW()/100000,""),"")</f>
        <v/>
      </c>
    </row>
    <row r="1865" spans="1:11">
      <c r="A1865" s="33"/>
      <c r="B1865" s="29"/>
      <c r="C1865" s="29"/>
      <c r="D1865" s="30"/>
      <c r="E1865" s="30"/>
      <c r="F1865" s="35"/>
      <c r="G1865" s="35"/>
      <c r="H1865" s="35" t="str">
        <f t="shared" si="29"/>
        <v/>
      </c>
      <c r="I1865" s="29"/>
      <c r="K1865" s="36" t="str">
        <f>IF(ISNUMBER($D1865),IF(YEAR($D1865)=대시보드!$C$2,$D1865+ROW()/100000,""),"")</f>
        <v/>
      </c>
    </row>
    <row r="1866" spans="1:11">
      <c r="A1866" s="33"/>
      <c r="B1866" s="29"/>
      <c r="C1866" s="29"/>
      <c r="D1866" s="30"/>
      <c r="E1866" s="30"/>
      <c r="F1866" s="35"/>
      <c r="G1866" s="35"/>
      <c r="H1866" s="35" t="str">
        <f t="shared" si="29"/>
        <v/>
      </c>
      <c r="I1866" s="29"/>
      <c r="K1866" s="36" t="str">
        <f>IF(ISNUMBER($D1866),IF(YEAR($D1866)=대시보드!$C$2,$D1866+ROW()/100000,""),"")</f>
        <v/>
      </c>
    </row>
    <row r="1867" spans="1:11">
      <c r="A1867" s="33"/>
      <c r="B1867" s="29"/>
      <c r="C1867" s="29"/>
      <c r="D1867" s="30"/>
      <c r="E1867" s="30"/>
      <c r="F1867" s="35"/>
      <c r="G1867" s="35"/>
      <c r="H1867" s="35" t="str">
        <f t="shared" si="29"/>
        <v/>
      </c>
      <c r="I1867" s="29"/>
      <c r="K1867" s="36" t="str">
        <f>IF(ISNUMBER($D1867),IF(YEAR($D1867)=대시보드!$C$2,$D1867+ROW()/100000,""),"")</f>
        <v/>
      </c>
    </row>
    <row r="1868" spans="1:11">
      <c r="A1868" s="33"/>
      <c r="B1868" s="29"/>
      <c r="C1868" s="29"/>
      <c r="D1868" s="30"/>
      <c r="E1868" s="30"/>
      <c r="F1868" s="35"/>
      <c r="G1868" s="35"/>
      <c r="H1868" s="35" t="str">
        <f t="shared" si="29"/>
        <v/>
      </c>
      <c r="I1868" s="29"/>
      <c r="K1868" s="36" t="str">
        <f>IF(ISNUMBER($D1868),IF(YEAR($D1868)=대시보드!$C$2,$D1868+ROW()/100000,""),"")</f>
        <v/>
      </c>
    </row>
    <row r="1869" spans="1:11">
      <c r="A1869" s="33"/>
      <c r="B1869" s="29"/>
      <c r="C1869" s="29"/>
      <c r="D1869" s="30"/>
      <c r="E1869" s="30"/>
      <c r="F1869" s="35"/>
      <c r="G1869" s="35"/>
      <c r="H1869" s="35" t="str">
        <f t="shared" si="29"/>
        <v/>
      </c>
      <c r="I1869" s="29"/>
      <c r="K1869" s="36" t="str">
        <f>IF(ISNUMBER($D1869),IF(YEAR($D1869)=대시보드!$C$2,$D1869+ROW()/100000,""),"")</f>
        <v/>
      </c>
    </row>
    <row r="1870" spans="1:11">
      <c r="A1870" s="33"/>
      <c r="B1870" s="29"/>
      <c r="C1870" s="29"/>
      <c r="D1870" s="30"/>
      <c r="E1870" s="30"/>
      <c r="F1870" s="35"/>
      <c r="G1870" s="35"/>
      <c r="H1870" s="35" t="str">
        <f t="shared" si="29"/>
        <v/>
      </c>
      <c r="I1870" s="29"/>
      <c r="K1870" s="36" t="str">
        <f>IF(ISNUMBER($D1870),IF(YEAR($D1870)=대시보드!$C$2,$D1870+ROW()/100000,""),"")</f>
        <v/>
      </c>
    </row>
    <row r="1871" spans="1:11">
      <c r="A1871" s="33"/>
      <c r="B1871" s="29"/>
      <c r="C1871" s="29"/>
      <c r="D1871" s="30"/>
      <c r="E1871" s="30"/>
      <c r="F1871" s="35"/>
      <c r="G1871" s="35"/>
      <c r="H1871" s="35" t="str">
        <f t="shared" si="29"/>
        <v/>
      </c>
      <c r="I1871" s="29"/>
      <c r="K1871" s="36" t="str">
        <f>IF(ISNUMBER($D1871),IF(YEAR($D1871)=대시보드!$C$2,$D1871+ROW()/100000,""),"")</f>
        <v/>
      </c>
    </row>
    <row r="1872" spans="1:11">
      <c r="A1872" s="33"/>
      <c r="B1872" s="29"/>
      <c r="C1872" s="29"/>
      <c r="D1872" s="30"/>
      <c r="E1872" s="30"/>
      <c r="F1872" s="35"/>
      <c r="G1872" s="35"/>
      <c r="H1872" s="35" t="str">
        <f t="shared" si="29"/>
        <v/>
      </c>
      <c r="I1872" s="29"/>
      <c r="K1872" s="36" t="str">
        <f>IF(ISNUMBER($D1872),IF(YEAR($D1872)=대시보드!$C$2,$D1872+ROW()/100000,""),"")</f>
        <v/>
      </c>
    </row>
    <row r="1873" spans="1:11">
      <c r="A1873" s="33"/>
      <c r="B1873" s="29"/>
      <c r="C1873" s="29"/>
      <c r="D1873" s="30"/>
      <c r="E1873" s="30"/>
      <c r="F1873" s="35"/>
      <c r="G1873" s="35"/>
      <c r="H1873" s="35" t="str">
        <f t="shared" si="29"/>
        <v/>
      </c>
      <c r="I1873" s="29"/>
      <c r="K1873" s="36" t="str">
        <f>IF(ISNUMBER($D1873),IF(YEAR($D1873)=대시보드!$C$2,$D1873+ROW()/100000,""),"")</f>
        <v/>
      </c>
    </row>
    <row r="1874" spans="1:11">
      <c r="A1874" s="33"/>
      <c r="B1874" s="29"/>
      <c r="C1874" s="29"/>
      <c r="D1874" s="30"/>
      <c r="E1874" s="30"/>
      <c r="F1874" s="35"/>
      <c r="G1874" s="35"/>
      <c r="H1874" s="35" t="str">
        <f t="shared" si="29"/>
        <v/>
      </c>
      <c r="I1874" s="29"/>
      <c r="K1874" s="36" t="str">
        <f>IF(ISNUMBER($D1874),IF(YEAR($D1874)=대시보드!$C$2,$D1874+ROW()/100000,""),"")</f>
        <v/>
      </c>
    </row>
    <row r="1875" spans="1:11">
      <c r="A1875" s="33"/>
      <c r="B1875" s="29"/>
      <c r="C1875" s="29"/>
      <c r="D1875" s="30"/>
      <c r="E1875" s="30"/>
      <c r="F1875" s="35"/>
      <c r="G1875" s="35"/>
      <c r="H1875" s="35" t="str">
        <f t="shared" si="29"/>
        <v/>
      </c>
      <c r="I1875" s="29"/>
      <c r="K1875" s="36" t="str">
        <f>IF(ISNUMBER($D1875),IF(YEAR($D1875)=대시보드!$C$2,$D1875+ROW()/100000,""),"")</f>
        <v/>
      </c>
    </row>
    <row r="1876" spans="1:11">
      <c r="A1876" s="33"/>
      <c r="B1876" s="29"/>
      <c r="C1876" s="29"/>
      <c r="D1876" s="30"/>
      <c r="E1876" s="30"/>
      <c r="F1876" s="35"/>
      <c r="G1876" s="35"/>
      <c r="H1876" s="35" t="str">
        <f t="shared" si="29"/>
        <v/>
      </c>
      <c r="I1876" s="29"/>
      <c r="K1876" s="36" t="str">
        <f>IF(ISNUMBER($D1876),IF(YEAR($D1876)=대시보드!$C$2,$D1876+ROW()/100000,""),"")</f>
        <v/>
      </c>
    </row>
    <row r="1877" spans="1:11">
      <c r="A1877" s="33"/>
      <c r="B1877" s="29"/>
      <c r="C1877" s="29"/>
      <c r="D1877" s="30"/>
      <c r="E1877" s="30"/>
      <c r="F1877" s="35"/>
      <c r="G1877" s="35"/>
      <c r="H1877" s="35" t="str">
        <f t="shared" si="29"/>
        <v/>
      </c>
      <c r="I1877" s="29"/>
      <c r="K1877" s="36" t="str">
        <f>IF(ISNUMBER($D1877),IF(YEAR($D1877)=대시보드!$C$2,$D1877+ROW()/100000,""),"")</f>
        <v/>
      </c>
    </row>
    <row r="1878" spans="1:11">
      <c r="A1878" s="33"/>
      <c r="B1878" s="29"/>
      <c r="C1878" s="29"/>
      <c r="D1878" s="30"/>
      <c r="E1878" s="30"/>
      <c r="F1878" s="35"/>
      <c r="G1878" s="35"/>
      <c r="H1878" s="35" t="str">
        <f t="shared" si="29"/>
        <v/>
      </c>
      <c r="I1878" s="29"/>
      <c r="K1878" s="36" t="str">
        <f>IF(ISNUMBER($D1878),IF(YEAR($D1878)=대시보드!$C$2,$D1878+ROW()/100000,""),"")</f>
        <v/>
      </c>
    </row>
    <row r="1879" spans="1:11">
      <c r="A1879" s="33"/>
      <c r="B1879" s="29"/>
      <c r="C1879" s="29"/>
      <c r="D1879" s="30"/>
      <c r="E1879" s="30"/>
      <c r="F1879" s="35"/>
      <c r="G1879" s="35"/>
      <c r="H1879" s="35" t="str">
        <f t="shared" si="29"/>
        <v/>
      </c>
      <c r="I1879" s="29"/>
      <c r="K1879" s="36" t="str">
        <f>IF(ISNUMBER($D1879),IF(YEAR($D1879)=대시보드!$C$2,$D1879+ROW()/100000,""),"")</f>
        <v/>
      </c>
    </row>
    <row r="1880" spans="1:11">
      <c r="A1880" s="33"/>
      <c r="B1880" s="29"/>
      <c r="C1880" s="29"/>
      <c r="D1880" s="30"/>
      <c r="E1880" s="30"/>
      <c r="F1880" s="35"/>
      <c r="G1880" s="35"/>
      <c r="H1880" s="35" t="str">
        <f t="shared" si="29"/>
        <v/>
      </c>
      <c r="I1880" s="29"/>
      <c r="K1880" s="36" t="str">
        <f>IF(ISNUMBER($D1880),IF(YEAR($D1880)=대시보드!$C$2,$D1880+ROW()/100000,""),"")</f>
        <v/>
      </c>
    </row>
    <row r="1881" spans="1:11">
      <c r="A1881" s="33"/>
      <c r="B1881" s="29"/>
      <c r="C1881" s="29"/>
      <c r="D1881" s="30"/>
      <c r="E1881" s="30"/>
      <c r="F1881" s="35"/>
      <c r="G1881" s="35"/>
      <c r="H1881" s="35" t="str">
        <f t="shared" si="29"/>
        <v/>
      </c>
      <c r="I1881" s="29"/>
      <c r="K1881" s="36" t="str">
        <f>IF(ISNUMBER($D1881),IF(YEAR($D1881)=대시보드!$C$2,$D1881+ROW()/100000,""),"")</f>
        <v/>
      </c>
    </row>
    <row r="1882" spans="1:11">
      <c r="A1882" s="33"/>
      <c r="B1882" s="29"/>
      <c r="C1882" s="29"/>
      <c r="D1882" s="30"/>
      <c r="E1882" s="30"/>
      <c r="F1882" s="35"/>
      <c r="G1882" s="35"/>
      <c r="H1882" s="35" t="str">
        <f t="shared" si="29"/>
        <v/>
      </c>
      <c r="I1882" s="29"/>
      <c r="K1882" s="36" t="str">
        <f>IF(ISNUMBER($D1882),IF(YEAR($D1882)=대시보드!$C$2,$D1882+ROW()/100000,""),"")</f>
        <v/>
      </c>
    </row>
    <row r="1883" spans="1:11">
      <c r="A1883" s="33"/>
      <c r="B1883" s="29"/>
      <c r="C1883" s="29"/>
      <c r="D1883" s="30"/>
      <c r="E1883" s="30"/>
      <c r="F1883" s="35"/>
      <c r="G1883" s="35"/>
      <c r="H1883" s="35" t="str">
        <f t="shared" si="29"/>
        <v/>
      </c>
      <c r="I1883" s="29"/>
      <c r="K1883" s="36" t="str">
        <f>IF(ISNUMBER($D1883),IF(YEAR($D1883)=대시보드!$C$2,$D1883+ROW()/100000,""),"")</f>
        <v/>
      </c>
    </row>
    <row r="1884" spans="1:11">
      <c r="A1884" s="33"/>
      <c r="B1884" s="29"/>
      <c r="C1884" s="29"/>
      <c r="D1884" s="30"/>
      <c r="E1884" s="30"/>
      <c r="F1884" s="35"/>
      <c r="G1884" s="35"/>
      <c r="H1884" s="35" t="str">
        <f t="shared" si="29"/>
        <v/>
      </c>
      <c r="I1884" s="29"/>
      <c r="K1884" s="36" t="str">
        <f>IF(ISNUMBER($D1884),IF(YEAR($D1884)=대시보드!$C$2,$D1884+ROW()/100000,""),"")</f>
        <v/>
      </c>
    </row>
    <row r="1885" spans="1:11">
      <c r="A1885" s="33"/>
      <c r="B1885" s="29"/>
      <c r="C1885" s="29"/>
      <c r="D1885" s="30"/>
      <c r="E1885" s="30"/>
      <c r="F1885" s="35"/>
      <c r="G1885" s="35"/>
      <c r="H1885" s="35" t="str">
        <f t="shared" si="29"/>
        <v/>
      </c>
      <c r="I1885" s="29"/>
      <c r="K1885" s="36" t="str">
        <f>IF(ISNUMBER($D1885),IF(YEAR($D1885)=대시보드!$C$2,$D1885+ROW()/100000,""),"")</f>
        <v/>
      </c>
    </row>
    <row r="1886" spans="1:11">
      <c r="A1886" s="33"/>
      <c r="B1886" s="29"/>
      <c r="C1886" s="29"/>
      <c r="D1886" s="30"/>
      <c r="E1886" s="30"/>
      <c r="F1886" s="35"/>
      <c r="G1886" s="35"/>
      <c r="H1886" s="35" t="str">
        <f t="shared" si="29"/>
        <v/>
      </c>
      <c r="I1886" s="29"/>
      <c r="K1886" s="36" t="str">
        <f>IF(ISNUMBER($D1886),IF(YEAR($D1886)=대시보드!$C$2,$D1886+ROW()/100000,""),"")</f>
        <v/>
      </c>
    </row>
    <row r="1887" spans="1:11">
      <c r="A1887" s="33"/>
      <c r="B1887" s="29"/>
      <c r="C1887" s="29"/>
      <c r="D1887" s="30"/>
      <c r="E1887" s="30"/>
      <c r="F1887" s="35"/>
      <c r="G1887" s="35"/>
      <c r="H1887" s="35" t="str">
        <f t="shared" si="29"/>
        <v/>
      </c>
      <c r="I1887" s="29"/>
      <c r="K1887" s="36" t="str">
        <f>IF(ISNUMBER($D1887),IF(YEAR($D1887)=대시보드!$C$2,$D1887+ROW()/100000,""),"")</f>
        <v/>
      </c>
    </row>
    <row r="1888" spans="1:11">
      <c r="A1888" s="33"/>
      <c r="B1888" s="29"/>
      <c r="C1888" s="29"/>
      <c r="D1888" s="30"/>
      <c r="E1888" s="30"/>
      <c r="F1888" s="35"/>
      <c r="G1888" s="35"/>
      <c r="H1888" s="35" t="str">
        <f t="shared" si="29"/>
        <v/>
      </c>
      <c r="I1888" s="29"/>
      <c r="K1888" s="36" t="str">
        <f>IF(ISNUMBER($D1888),IF(YEAR($D1888)=대시보드!$C$2,$D1888+ROW()/100000,""),"")</f>
        <v/>
      </c>
    </row>
    <row r="1889" spans="1:11">
      <c r="A1889" s="33"/>
      <c r="B1889" s="29"/>
      <c r="C1889" s="29"/>
      <c r="D1889" s="30"/>
      <c r="E1889" s="30"/>
      <c r="F1889" s="35"/>
      <c r="G1889" s="35"/>
      <c r="H1889" s="35" t="str">
        <f t="shared" si="29"/>
        <v/>
      </c>
      <c r="I1889" s="29"/>
      <c r="K1889" s="36" t="str">
        <f>IF(ISNUMBER($D1889),IF(YEAR($D1889)=대시보드!$C$2,$D1889+ROW()/100000,""),"")</f>
        <v/>
      </c>
    </row>
    <row r="1890" spans="1:11">
      <c r="A1890" s="33"/>
      <c r="B1890" s="29"/>
      <c r="C1890" s="29"/>
      <c r="D1890" s="30"/>
      <c r="E1890" s="30"/>
      <c r="F1890" s="35"/>
      <c r="G1890" s="35"/>
      <c r="H1890" s="35" t="str">
        <f t="shared" si="29"/>
        <v/>
      </c>
      <c r="I1890" s="29"/>
      <c r="K1890" s="36" t="str">
        <f>IF(ISNUMBER($D1890),IF(YEAR($D1890)=대시보드!$C$2,$D1890+ROW()/100000,""),"")</f>
        <v/>
      </c>
    </row>
    <row r="1891" spans="1:11">
      <c r="A1891" s="33"/>
      <c r="B1891" s="29"/>
      <c r="C1891" s="29"/>
      <c r="D1891" s="30"/>
      <c r="E1891" s="30"/>
      <c r="F1891" s="35"/>
      <c r="G1891" s="35"/>
      <c r="H1891" s="35" t="str">
        <f t="shared" si="29"/>
        <v/>
      </c>
      <c r="I1891" s="29"/>
      <c r="K1891" s="36" t="str">
        <f>IF(ISNUMBER($D1891),IF(YEAR($D1891)=대시보드!$C$2,$D1891+ROW()/100000,""),"")</f>
        <v/>
      </c>
    </row>
    <row r="1892" spans="1:11">
      <c r="A1892" s="33"/>
      <c r="B1892" s="29"/>
      <c r="C1892" s="29"/>
      <c r="D1892" s="30"/>
      <c r="E1892" s="30"/>
      <c r="F1892" s="35"/>
      <c r="G1892" s="35"/>
      <c r="H1892" s="35" t="str">
        <f t="shared" si="29"/>
        <v/>
      </c>
      <c r="I1892" s="29"/>
      <c r="K1892" s="36" t="str">
        <f>IF(ISNUMBER($D1892),IF(YEAR($D1892)=대시보드!$C$2,$D1892+ROW()/100000,""),"")</f>
        <v/>
      </c>
    </row>
    <row r="1893" spans="1:11">
      <c r="A1893" s="33"/>
      <c r="B1893" s="29"/>
      <c r="C1893" s="29"/>
      <c r="D1893" s="30"/>
      <c r="E1893" s="30"/>
      <c r="F1893" s="35"/>
      <c r="G1893" s="35"/>
      <c r="H1893" s="35" t="str">
        <f t="shared" si="29"/>
        <v/>
      </c>
      <c r="I1893" s="29"/>
      <c r="K1893" s="36" t="str">
        <f>IF(ISNUMBER($D1893),IF(YEAR($D1893)=대시보드!$C$2,$D1893+ROW()/100000,""),"")</f>
        <v/>
      </c>
    </row>
    <row r="1894" spans="1:11">
      <c r="A1894" s="33"/>
      <c r="B1894" s="29"/>
      <c r="C1894" s="29"/>
      <c r="D1894" s="30"/>
      <c r="E1894" s="30"/>
      <c r="F1894" s="35"/>
      <c r="G1894" s="35"/>
      <c r="H1894" s="35" t="str">
        <f t="shared" si="29"/>
        <v/>
      </c>
      <c r="I1894" s="29"/>
      <c r="K1894" s="36" t="str">
        <f>IF(ISNUMBER($D1894),IF(YEAR($D1894)=대시보드!$C$2,$D1894+ROW()/100000,""),"")</f>
        <v/>
      </c>
    </row>
    <row r="1895" spans="1:11">
      <c r="A1895" s="33"/>
      <c r="B1895" s="29"/>
      <c r="C1895" s="29"/>
      <c r="D1895" s="30"/>
      <c r="E1895" s="30"/>
      <c r="F1895" s="35"/>
      <c r="G1895" s="35"/>
      <c r="H1895" s="35" t="str">
        <f t="shared" si="29"/>
        <v/>
      </c>
      <c r="I1895" s="29"/>
      <c r="K1895" s="36" t="str">
        <f>IF(ISNUMBER($D1895),IF(YEAR($D1895)=대시보드!$C$2,$D1895+ROW()/100000,""),"")</f>
        <v/>
      </c>
    </row>
    <row r="1896" spans="1:11">
      <c r="A1896" s="33"/>
      <c r="B1896" s="29"/>
      <c r="C1896" s="29"/>
      <c r="D1896" s="30"/>
      <c r="E1896" s="30"/>
      <c r="F1896" s="35"/>
      <c r="G1896" s="35"/>
      <c r="H1896" s="35" t="str">
        <f t="shared" si="29"/>
        <v/>
      </c>
      <c r="I1896" s="29"/>
      <c r="K1896" s="36" t="str">
        <f>IF(ISNUMBER($D1896),IF(YEAR($D1896)=대시보드!$C$2,$D1896+ROW()/100000,""),"")</f>
        <v/>
      </c>
    </row>
    <row r="1897" spans="1:11">
      <c r="A1897" s="33"/>
      <c r="B1897" s="29"/>
      <c r="C1897" s="29"/>
      <c r="D1897" s="30"/>
      <c r="E1897" s="30"/>
      <c r="F1897" s="35"/>
      <c r="G1897" s="35"/>
      <c r="H1897" s="35" t="str">
        <f t="shared" si="29"/>
        <v/>
      </c>
      <c r="I1897" s="29"/>
      <c r="K1897" s="36" t="str">
        <f>IF(ISNUMBER($D1897),IF(YEAR($D1897)=대시보드!$C$2,$D1897+ROW()/100000,""),"")</f>
        <v/>
      </c>
    </row>
    <row r="1898" spans="1:11">
      <c r="A1898" s="33"/>
      <c r="B1898" s="29"/>
      <c r="C1898" s="29"/>
      <c r="D1898" s="30"/>
      <c r="E1898" s="30"/>
      <c r="F1898" s="35"/>
      <c r="G1898" s="35"/>
      <c r="H1898" s="35" t="str">
        <f t="shared" si="29"/>
        <v/>
      </c>
      <c r="I1898" s="29"/>
      <c r="K1898" s="36" t="str">
        <f>IF(ISNUMBER($D1898),IF(YEAR($D1898)=대시보드!$C$2,$D1898+ROW()/100000,""),"")</f>
        <v/>
      </c>
    </row>
    <row r="1899" spans="1:11">
      <c r="A1899" s="33"/>
      <c r="B1899" s="29"/>
      <c r="C1899" s="29"/>
      <c r="D1899" s="30"/>
      <c r="E1899" s="30"/>
      <c r="F1899" s="35"/>
      <c r="G1899" s="35"/>
      <c r="H1899" s="35" t="str">
        <f t="shared" si="29"/>
        <v/>
      </c>
      <c r="I1899" s="29"/>
      <c r="K1899" s="36" t="str">
        <f>IF(ISNUMBER($D1899),IF(YEAR($D1899)=대시보드!$C$2,$D1899+ROW()/100000,""),"")</f>
        <v/>
      </c>
    </row>
    <row r="1900" spans="1:11">
      <c r="A1900" s="33"/>
      <c r="B1900" s="29"/>
      <c r="C1900" s="29"/>
      <c r="D1900" s="30"/>
      <c r="E1900" s="30"/>
      <c r="F1900" s="35"/>
      <c r="G1900" s="35"/>
      <c r="H1900" s="35" t="str">
        <f t="shared" si="29"/>
        <v/>
      </c>
      <c r="I1900" s="29"/>
      <c r="K1900" s="36" t="str">
        <f>IF(ISNUMBER($D1900),IF(YEAR($D1900)=대시보드!$C$2,$D1900+ROW()/100000,""),"")</f>
        <v/>
      </c>
    </row>
    <row r="1901" spans="1:11">
      <c r="A1901" s="33"/>
      <c r="B1901" s="29"/>
      <c r="C1901" s="29"/>
      <c r="D1901" s="30"/>
      <c r="E1901" s="30"/>
      <c r="F1901" s="35"/>
      <c r="G1901" s="35"/>
      <c r="H1901" s="35" t="str">
        <f t="shared" si="29"/>
        <v/>
      </c>
      <c r="I1901" s="29"/>
      <c r="K1901" s="36" t="str">
        <f>IF(ISNUMBER($D1901),IF(YEAR($D1901)=대시보드!$C$2,$D1901+ROW()/100000,""),"")</f>
        <v/>
      </c>
    </row>
    <row r="1902" spans="1:11">
      <c r="A1902" s="33"/>
      <c r="B1902" s="29"/>
      <c r="C1902" s="29"/>
      <c r="D1902" s="30"/>
      <c r="E1902" s="30"/>
      <c r="F1902" s="35"/>
      <c r="G1902" s="35"/>
      <c r="H1902" s="35" t="str">
        <f t="shared" si="29"/>
        <v/>
      </c>
      <c r="I1902" s="29"/>
      <c r="K1902" s="36" t="str">
        <f>IF(ISNUMBER($D1902),IF(YEAR($D1902)=대시보드!$C$2,$D1902+ROW()/100000,""),"")</f>
        <v/>
      </c>
    </row>
    <row r="1903" spans="1:11">
      <c r="A1903" s="33"/>
      <c r="B1903" s="29"/>
      <c r="C1903" s="29"/>
      <c r="D1903" s="30"/>
      <c r="E1903" s="30"/>
      <c r="F1903" s="35"/>
      <c r="G1903" s="35"/>
      <c r="H1903" s="35" t="str">
        <f t="shared" si="29"/>
        <v/>
      </c>
      <c r="I1903" s="29"/>
      <c r="K1903" s="36" t="str">
        <f>IF(ISNUMBER($D1903),IF(YEAR($D1903)=대시보드!$C$2,$D1903+ROW()/100000,""),"")</f>
        <v/>
      </c>
    </row>
    <row r="1904" spans="1:11">
      <c r="A1904" s="33"/>
      <c r="B1904" s="29"/>
      <c r="C1904" s="29"/>
      <c r="D1904" s="30"/>
      <c r="E1904" s="30"/>
      <c r="F1904" s="35"/>
      <c r="G1904" s="35"/>
      <c r="H1904" s="35" t="str">
        <f t="shared" si="29"/>
        <v/>
      </c>
      <c r="I1904" s="29"/>
      <c r="K1904" s="36" t="str">
        <f>IF(ISNUMBER($D1904),IF(YEAR($D1904)=대시보드!$C$2,$D1904+ROW()/100000,""),"")</f>
        <v/>
      </c>
    </row>
    <row r="1905" spans="1:11">
      <c r="A1905" s="33"/>
      <c r="B1905" s="29"/>
      <c r="C1905" s="29"/>
      <c r="D1905" s="30"/>
      <c r="E1905" s="30"/>
      <c r="F1905" s="35"/>
      <c r="G1905" s="35"/>
      <c r="H1905" s="35" t="str">
        <f t="shared" si="29"/>
        <v/>
      </c>
      <c r="I1905" s="29"/>
      <c r="K1905" s="36" t="str">
        <f>IF(ISNUMBER($D1905),IF(YEAR($D1905)=대시보드!$C$2,$D1905+ROW()/100000,""),"")</f>
        <v/>
      </c>
    </row>
    <row r="1906" spans="1:11">
      <c r="A1906" s="33"/>
      <c r="B1906" s="29"/>
      <c r="C1906" s="29"/>
      <c r="D1906" s="30"/>
      <c r="E1906" s="30"/>
      <c r="F1906" s="35"/>
      <c r="G1906" s="35"/>
      <c r="H1906" s="35" t="str">
        <f t="shared" si="29"/>
        <v/>
      </c>
      <c r="I1906" s="29"/>
      <c r="K1906" s="36" t="str">
        <f>IF(ISNUMBER($D1906),IF(YEAR($D1906)=대시보드!$C$2,$D1906+ROW()/100000,""),"")</f>
        <v/>
      </c>
    </row>
    <row r="1907" spans="1:11">
      <c r="A1907" s="33"/>
      <c r="B1907" s="29"/>
      <c r="C1907" s="29"/>
      <c r="D1907" s="30"/>
      <c r="E1907" s="30"/>
      <c r="F1907" s="35"/>
      <c r="G1907" s="35"/>
      <c r="H1907" s="35" t="str">
        <f t="shared" si="29"/>
        <v/>
      </c>
      <c r="I1907" s="29"/>
      <c r="K1907" s="36" t="str">
        <f>IF(ISNUMBER($D1907),IF(YEAR($D1907)=대시보드!$C$2,$D1907+ROW()/100000,""),"")</f>
        <v/>
      </c>
    </row>
    <row r="1908" spans="1:11">
      <c r="A1908" s="33"/>
      <c r="B1908" s="29"/>
      <c r="C1908" s="29"/>
      <c r="D1908" s="30"/>
      <c r="E1908" s="30"/>
      <c r="F1908" s="35"/>
      <c r="G1908" s="35"/>
      <c r="H1908" s="35" t="str">
        <f t="shared" si="29"/>
        <v/>
      </c>
      <c r="I1908" s="29"/>
      <c r="K1908" s="36" t="str">
        <f>IF(ISNUMBER($D1908),IF(YEAR($D1908)=대시보드!$C$2,$D1908+ROW()/100000,""),"")</f>
        <v/>
      </c>
    </row>
    <row r="1909" spans="1:11">
      <c r="A1909" s="33"/>
      <c r="B1909" s="29"/>
      <c r="C1909" s="29"/>
      <c r="D1909" s="30"/>
      <c r="E1909" s="30"/>
      <c r="F1909" s="35"/>
      <c r="G1909" s="35"/>
      <c r="H1909" s="35" t="str">
        <f t="shared" si="29"/>
        <v/>
      </c>
      <c r="I1909" s="29"/>
      <c r="K1909" s="36" t="str">
        <f>IF(ISNUMBER($D1909),IF(YEAR($D1909)=대시보드!$C$2,$D1909+ROW()/100000,""),"")</f>
        <v/>
      </c>
    </row>
    <row r="1910" spans="1:11">
      <c r="A1910" s="33"/>
      <c r="B1910" s="29"/>
      <c r="C1910" s="29"/>
      <c r="D1910" s="30"/>
      <c r="E1910" s="30"/>
      <c r="F1910" s="35"/>
      <c r="G1910" s="35"/>
      <c r="H1910" s="35" t="str">
        <f t="shared" si="29"/>
        <v/>
      </c>
      <c r="I1910" s="29"/>
      <c r="K1910" s="36" t="str">
        <f>IF(ISNUMBER($D1910),IF(YEAR($D1910)=대시보드!$C$2,$D1910+ROW()/100000,""),"")</f>
        <v/>
      </c>
    </row>
    <row r="1911" spans="1:11">
      <c r="A1911" s="33"/>
      <c r="B1911" s="29"/>
      <c r="C1911" s="29"/>
      <c r="D1911" s="30"/>
      <c r="E1911" s="30"/>
      <c r="F1911" s="35"/>
      <c r="G1911" s="35"/>
      <c r="H1911" s="35" t="str">
        <f t="shared" si="29"/>
        <v/>
      </c>
      <c r="I1911" s="29"/>
      <c r="K1911" s="36" t="str">
        <f>IF(ISNUMBER($D1911),IF(YEAR($D1911)=대시보드!$C$2,$D1911+ROW()/100000,""),"")</f>
        <v/>
      </c>
    </row>
    <row r="1912" spans="1:11">
      <c r="A1912" s="33"/>
      <c r="B1912" s="29"/>
      <c r="C1912" s="29"/>
      <c r="D1912" s="30"/>
      <c r="E1912" s="30"/>
      <c r="F1912" s="35"/>
      <c r="G1912" s="35"/>
      <c r="H1912" s="35" t="str">
        <f t="shared" si="29"/>
        <v/>
      </c>
      <c r="I1912" s="29"/>
      <c r="K1912" s="36" t="str">
        <f>IF(ISNUMBER($D1912),IF(YEAR($D1912)=대시보드!$C$2,$D1912+ROW()/100000,""),"")</f>
        <v/>
      </c>
    </row>
    <row r="1913" spans="1:11">
      <c r="A1913" s="33"/>
      <c r="B1913" s="29"/>
      <c r="C1913" s="29"/>
      <c r="D1913" s="30"/>
      <c r="E1913" s="30"/>
      <c r="F1913" s="35"/>
      <c r="G1913" s="35"/>
      <c r="H1913" s="35" t="str">
        <f t="shared" si="29"/>
        <v/>
      </c>
      <c r="I1913" s="29"/>
      <c r="K1913" s="36" t="str">
        <f>IF(ISNUMBER($D1913),IF(YEAR($D1913)=대시보드!$C$2,$D1913+ROW()/100000,""),"")</f>
        <v/>
      </c>
    </row>
    <row r="1914" spans="1:11">
      <c r="A1914" s="33"/>
      <c r="B1914" s="29"/>
      <c r="C1914" s="29"/>
      <c r="D1914" s="30"/>
      <c r="E1914" s="30"/>
      <c r="F1914" s="35"/>
      <c r="G1914" s="35"/>
      <c r="H1914" s="35" t="str">
        <f t="shared" si="29"/>
        <v/>
      </c>
      <c r="I1914" s="29"/>
      <c r="K1914" s="36" t="str">
        <f>IF(ISNUMBER($D1914),IF(YEAR($D1914)=대시보드!$C$2,$D1914+ROW()/100000,""),"")</f>
        <v/>
      </c>
    </row>
    <row r="1915" spans="1:11">
      <c r="A1915" s="33"/>
      <c r="B1915" s="29"/>
      <c r="C1915" s="29"/>
      <c r="D1915" s="30"/>
      <c r="E1915" s="30"/>
      <c r="F1915" s="35"/>
      <c r="G1915" s="35"/>
      <c r="H1915" s="35" t="str">
        <f t="shared" si="29"/>
        <v/>
      </c>
      <c r="I1915" s="29"/>
      <c r="K1915" s="36" t="str">
        <f>IF(ISNUMBER($D1915),IF(YEAR($D1915)=대시보드!$C$2,$D1915+ROW()/100000,""),"")</f>
        <v/>
      </c>
    </row>
    <row r="1916" spans="1:11">
      <c r="A1916" s="33"/>
      <c r="B1916" s="29"/>
      <c r="C1916" s="29"/>
      <c r="D1916" s="30"/>
      <c r="E1916" s="30"/>
      <c r="F1916" s="35"/>
      <c r="G1916" s="35"/>
      <c r="H1916" s="35" t="str">
        <f t="shared" si="29"/>
        <v/>
      </c>
      <c r="I1916" s="29"/>
      <c r="K1916" s="36" t="str">
        <f>IF(ISNUMBER($D1916),IF(YEAR($D1916)=대시보드!$C$2,$D1916+ROW()/100000,""),"")</f>
        <v/>
      </c>
    </row>
    <row r="1917" spans="1:11">
      <c r="A1917" s="33"/>
      <c r="B1917" s="29"/>
      <c r="C1917" s="29"/>
      <c r="D1917" s="30"/>
      <c r="E1917" s="30"/>
      <c r="F1917" s="35"/>
      <c r="G1917" s="35"/>
      <c r="H1917" s="35" t="str">
        <f t="shared" si="29"/>
        <v/>
      </c>
      <c r="I1917" s="29"/>
      <c r="K1917" s="36" t="str">
        <f>IF(ISNUMBER($D1917),IF(YEAR($D1917)=대시보드!$C$2,$D1917+ROW()/100000,""),"")</f>
        <v/>
      </c>
    </row>
    <row r="1918" spans="1:11">
      <c r="A1918" s="33"/>
      <c r="B1918" s="29"/>
      <c r="C1918" s="29"/>
      <c r="D1918" s="30"/>
      <c r="E1918" s="30"/>
      <c r="F1918" s="35"/>
      <c r="G1918" s="35"/>
      <c r="H1918" s="35" t="str">
        <f t="shared" si="29"/>
        <v/>
      </c>
      <c r="I1918" s="29"/>
      <c r="K1918" s="36" t="str">
        <f>IF(ISNUMBER($D1918),IF(YEAR($D1918)=대시보드!$C$2,$D1918+ROW()/100000,""),"")</f>
        <v/>
      </c>
    </row>
    <row r="1919" spans="1:11">
      <c r="A1919" s="33"/>
      <c r="B1919" s="29"/>
      <c r="C1919" s="29"/>
      <c r="D1919" s="30"/>
      <c r="E1919" s="30"/>
      <c r="F1919" s="35"/>
      <c r="G1919" s="35"/>
      <c r="H1919" s="35" t="str">
        <f t="shared" si="29"/>
        <v/>
      </c>
      <c r="I1919" s="29"/>
      <c r="K1919" s="36" t="str">
        <f>IF(ISNUMBER($D1919),IF(YEAR($D1919)=대시보드!$C$2,$D1919+ROW()/100000,""),"")</f>
        <v/>
      </c>
    </row>
    <row r="1920" spans="1:11">
      <c r="A1920" s="33"/>
      <c r="B1920" s="29"/>
      <c r="C1920" s="29"/>
      <c r="D1920" s="30"/>
      <c r="E1920" s="30"/>
      <c r="F1920" s="35"/>
      <c r="G1920" s="35"/>
      <c r="H1920" s="35" t="str">
        <f t="shared" si="29"/>
        <v/>
      </c>
      <c r="I1920" s="29"/>
      <c r="K1920" s="36" t="str">
        <f>IF(ISNUMBER($D1920),IF(YEAR($D1920)=대시보드!$C$2,$D1920+ROW()/100000,""),"")</f>
        <v/>
      </c>
    </row>
    <row r="1921" spans="1:11">
      <c r="A1921" s="33"/>
      <c r="B1921" s="29"/>
      <c r="C1921" s="29"/>
      <c r="D1921" s="30"/>
      <c r="E1921" s="30"/>
      <c r="F1921" s="35"/>
      <c r="G1921" s="35"/>
      <c r="H1921" s="35" t="str">
        <f t="shared" si="29"/>
        <v/>
      </c>
      <c r="I1921" s="29"/>
      <c r="K1921" s="36" t="str">
        <f>IF(ISNUMBER($D1921),IF(YEAR($D1921)=대시보드!$C$2,$D1921+ROW()/100000,""),"")</f>
        <v/>
      </c>
    </row>
    <row r="1922" spans="1:11">
      <c r="A1922" s="33"/>
      <c r="B1922" s="29"/>
      <c r="C1922" s="29"/>
      <c r="D1922" s="30"/>
      <c r="E1922" s="30"/>
      <c r="F1922" s="35"/>
      <c r="G1922" s="35"/>
      <c r="H1922" s="35" t="str">
        <f t="shared" si="29"/>
        <v/>
      </c>
      <c r="I1922" s="29"/>
      <c r="K1922" s="36" t="str">
        <f>IF(ISNUMBER($D1922),IF(YEAR($D1922)=대시보드!$C$2,$D1922+ROW()/100000,""),"")</f>
        <v/>
      </c>
    </row>
    <row r="1923" spans="1:11">
      <c r="A1923" s="33"/>
      <c r="B1923" s="29"/>
      <c r="C1923" s="29"/>
      <c r="D1923" s="30"/>
      <c r="E1923" s="30"/>
      <c r="F1923" s="35"/>
      <c r="G1923" s="35"/>
      <c r="H1923" s="35" t="str">
        <f t="shared" si="29"/>
        <v/>
      </c>
      <c r="I1923" s="29"/>
      <c r="K1923" s="36" t="str">
        <f>IF(ISNUMBER($D1923),IF(YEAR($D1923)=대시보드!$C$2,$D1923+ROW()/100000,""),"")</f>
        <v/>
      </c>
    </row>
    <row r="1924" spans="1:11">
      <c r="A1924" s="33"/>
      <c r="B1924" s="29"/>
      <c r="C1924" s="29"/>
      <c r="D1924" s="30"/>
      <c r="E1924" s="30"/>
      <c r="F1924" s="35"/>
      <c r="G1924" s="35"/>
      <c r="H1924" s="35" t="str">
        <f t="shared" ref="H1924:H1987" si="30">IF(F1924="","",F1924-G1924)</f>
        <v/>
      </c>
      <c r="I1924" s="29"/>
      <c r="K1924" s="36" t="str">
        <f>IF(ISNUMBER($D1924),IF(YEAR($D1924)=대시보드!$C$2,$D1924+ROW()/100000,""),"")</f>
        <v/>
      </c>
    </row>
    <row r="1925" spans="1:11">
      <c r="A1925" s="33"/>
      <c r="B1925" s="29"/>
      <c r="C1925" s="29"/>
      <c r="D1925" s="30"/>
      <c r="E1925" s="30"/>
      <c r="F1925" s="35"/>
      <c r="G1925" s="35"/>
      <c r="H1925" s="35" t="str">
        <f t="shared" si="30"/>
        <v/>
      </c>
      <c r="I1925" s="29"/>
      <c r="K1925" s="36" t="str">
        <f>IF(ISNUMBER($D1925),IF(YEAR($D1925)=대시보드!$C$2,$D1925+ROW()/100000,""),"")</f>
        <v/>
      </c>
    </row>
    <row r="1926" spans="1:11">
      <c r="A1926" s="33"/>
      <c r="B1926" s="29"/>
      <c r="C1926" s="29"/>
      <c r="D1926" s="30"/>
      <c r="E1926" s="30"/>
      <c r="F1926" s="35"/>
      <c r="G1926" s="35"/>
      <c r="H1926" s="35" t="str">
        <f t="shared" si="30"/>
        <v/>
      </c>
      <c r="I1926" s="29"/>
      <c r="K1926" s="36" t="str">
        <f>IF(ISNUMBER($D1926),IF(YEAR($D1926)=대시보드!$C$2,$D1926+ROW()/100000,""),"")</f>
        <v/>
      </c>
    </row>
    <row r="1927" spans="1:11">
      <c r="A1927" s="33"/>
      <c r="B1927" s="29"/>
      <c r="C1927" s="29"/>
      <c r="D1927" s="30"/>
      <c r="E1927" s="30"/>
      <c r="F1927" s="35"/>
      <c r="G1927" s="35"/>
      <c r="H1927" s="35" t="str">
        <f t="shared" si="30"/>
        <v/>
      </c>
      <c r="I1927" s="29"/>
      <c r="K1927" s="36" t="str">
        <f>IF(ISNUMBER($D1927),IF(YEAR($D1927)=대시보드!$C$2,$D1927+ROW()/100000,""),"")</f>
        <v/>
      </c>
    </row>
    <row r="1928" spans="1:11">
      <c r="A1928" s="33"/>
      <c r="B1928" s="29"/>
      <c r="C1928" s="29"/>
      <c r="D1928" s="30"/>
      <c r="E1928" s="30"/>
      <c r="F1928" s="35"/>
      <c r="G1928" s="35"/>
      <c r="H1928" s="35" t="str">
        <f t="shared" si="30"/>
        <v/>
      </c>
      <c r="I1928" s="29"/>
      <c r="K1928" s="36" t="str">
        <f>IF(ISNUMBER($D1928),IF(YEAR($D1928)=대시보드!$C$2,$D1928+ROW()/100000,""),"")</f>
        <v/>
      </c>
    </row>
    <row r="1929" spans="1:11">
      <c r="A1929" s="33"/>
      <c r="B1929" s="29"/>
      <c r="C1929" s="29"/>
      <c r="D1929" s="30"/>
      <c r="E1929" s="30"/>
      <c r="F1929" s="35"/>
      <c r="G1929" s="35"/>
      <c r="H1929" s="35" t="str">
        <f t="shared" si="30"/>
        <v/>
      </c>
      <c r="I1929" s="29"/>
      <c r="K1929" s="36" t="str">
        <f>IF(ISNUMBER($D1929),IF(YEAR($D1929)=대시보드!$C$2,$D1929+ROW()/100000,""),"")</f>
        <v/>
      </c>
    </row>
    <row r="1930" spans="1:11">
      <c r="A1930" s="33"/>
      <c r="B1930" s="29"/>
      <c r="C1930" s="29"/>
      <c r="D1930" s="30"/>
      <c r="E1930" s="30"/>
      <c r="F1930" s="35"/>
      <c r="G1930" s="35"/>
      <c r="H1930" s="35" t="str">
        <f t="shared" si="30"/>
        <v/>
      </c>
      <c r="I1930" s="29"/>
      <c r="K1930" s="36" t="str">
        <f>IF(ISNUMBER($D1930),IF(YEAR($D1930)=대시보드!$C$2,$D1930+ROW()/100000,""),"")</f>
        <v/>
      </c>
    </row>
    <row r="1931" spans="1:11">
      <c r="A1931" s="33"/>
      <c r="B1931" s="29"/>
      <c r="C1931" s="29"/>
      <c r="D1931" s="30"/>
      <c r="E1931" s="30"/>
      <c r="F1931" s="35"/>
      <c r="G1931" s="35"/>
      <c r="H1931" s="35" t="str">
        <f t="shared" si="30"/>
        <v/>
      </c>
      <c r="I1931" s="29"/>
      <c r="K1931" s="36" t="str">
        <f>IF(ISNUMBER($D1931),IF(YEAR($D1931)=대시보드!$C$2,$D1931+ROW()/100000,""),"")</f>
        <v/>
      </c>
    </row>
    <row r="1932" spans="1:11">
      <c r="A1932" s="33"/>
      <c r="B1932" s="29"/>
      <c r="C1932" s="29"/>
      <c r="D1932" s="30"/>
      <c r="E1932" s="30"/>
      <c r="F1932" s="35"/>
      <c r="G1932" s="35"/>
      <c r="H1932" s="35" t="str">
        <f t="shared" si="30"/>
        <v/>
      </c>
      <c r="I1932" s="29"/>
      <c r="K1932" s="36" t="str">
        <f>IF(ISNUMBER($D1932),IF(YEAR($D1932)=대시보드!$C$2,$D1932+ROW()/100000,""),"")</f>
        <v/>
      </c>
    </row>
    <row r="1933" spans="1:11">
      <c r="A1933" s="33"/>
      <c r="B1933" s="29"/>
      <c r="C1933" s="29"/>
      <c r="D1933" s="30"/>
      <c r="E1933" s="30"/>
      <c r="F1933" s="35"/>
      <c r="G1933" s="35"/>
      <c r="H1933" s="35" t="str">
        <f t="shared" si="30"/>
        <v/>
      </c>
      <c r="I1933" s="29"/>
      <c r="K1933" s="36" t="str">
        <f>IF(ISNUMBER($D1933),IF(YEAR($D1933)=대시보드!$C$2,$D1933+ROW()/100000,""),"")</f>
        <v/>
      </c>
    </row>
    <row r="1934" spans="1:11">
      <c r="A1934" s="33"/>
      <c r="B1934" s="29"/>
      <c r="C1934" s="29"/>
      <c r="D1934" s="30"/>
      <c r="E1934" s="30"/>
      <c r="F1934" s="35"/>
      <c r="G1934" s="35"/>
      <c r="H1934" s="35" t="str">
        <f t="shared" si="30"/>
        <v/>
      </c>
      <c r="I1934" s="29"/>
      <c r="K1934" s="36" t="str">
        <f>IF(ISNUMBER($D1934),IF(YEAR($D1934)=대시보드!$C$2,$D1934+ROW()/100000,""),"")</f>
        <v/>
      </c>
    </row>
    <row r="1935" spans="1:11">
      <c r="A1935" s="33"/>
      <c r="B1935" s="29"/>
      <c r="C1935" s="29"/>
      <c r="D1935" s="30"/>
      <c r="E1935" s="30"/>
      <c r="F1935" s="35"/>
      <c r="G1935" s="35"/>
      <c r="H1935" s="35" t="str">
        <f t="shared" si="30"/>
        <v/>
      </c>
      <c r="I1935" s="29"/>
      <c r="K1935" s="36" t="str">
        <f>IF(ISNUMBER($D1935),IF(YEAR($D1935)=대시보드!$C$2,$D1935+ROW()/100000,""),"")</f>
        <v/>
      </c>
    </row>
    <row r="1936" spans="1:11">
      <c r="A1936" s="33"/>
      <c r="B1936" s="29"/>
      <c r="C1936" s="29"/>
      <c r="D1936" s="30"/>
      <c r="E1936" s="30"/>
      <c r="F1936" s="35"/>
      <c r="G1936" s="35"/>
      <c r="H1936" s="35" t="str">
        <f t="shared" si="30"/>
        <v/>
      </c>
      <c r="I1936" s="29"/>
      <c r="K1936" s="36" t="str">
        <f>IF(ISNUMBER($D1936),IF(YEAR($D1936)=대시보드!$C$2,$D1936+ROW()/100000,""),"")</f>
        <v/>
      </c>
    </row>
    <row r="1937" spans="1:11">
      <c r="A1937" s="33"/>
      <c r="B1937" s="29"/>
      <c r="C1937" s="29"/>
      <c r="D1937" s="30"/>
      <c r="E1937" s="30"/>
      <c r="F1937" s="35"/>
      <c r="G1937" s="35"/>
      <c r="H1937" s="35" t="str">
        <f t="shared" si="30"/>
        <v/>
      </c>
      <c r="I1937" s="29"/>
      <c r="K1937" s="36" t="str">
        <f>IF(ISNUMBER($D1937),IF(YEAR($D1937)=대시보드!$C$2,$D1937+ROW()/100000,""),"")</f>
        <v/>
      </c>
    </row>
    <row r="1938" spans="1:11">
      <c r="A1938" s="33"/>
      <c r="B1938" s="29"/>
      <c r="C1938" s="29"/>
      <c r="D1938" s="30"/>
      <c r="E1938" s="30"/>
      <c r="F1938" s="35"/>
      <c r="G1938" s="35"/>
      <c r="H1938" s="35" t="str">
        <f t="shared" si="30"/>
        <v/>
      </c>
      <c r="I1938" s="29"/>
      <c r="K1938" s="36" t="str">
        <f>IF(ISNUMBER($D1938),IF(YEAR($D1938)=대시보드!$C$2,$D1938+ROW()/100000,""),"")</f>
        <v/>
      </c>
    </row>
    <row r="1939" spans="1:11">
      <c r="A1939" s="33"/>
      <c r="B1939" s="29"/>
      <c r="C1939" s="29"/>
      <c r="D1939" s="30"/>
      <c r="E1939" s="30"/>
      <c r="F1939" s="35"/>
      <c r="G1939" s="35"/>
      <c r="H1939" s="35" t="str">
        <f t="shared" si="30"/>
        <v/>
      </c>
      <c r="I1939" s="29"/>
      <c r="K1939" s="36" t="str">
        <f>IF(ISNUMBER($D1939),IF(YEAR($D1939)=대시보드!$C$2,$D1939+ROW()/100000,""),"")</f>
        <v/>
      </c>
    </row>
    <row r="1940" spans="1:11">
      <c r="A1940" s="33"/>
      <c r="B1940" s="29"/>
      <c r="C1940" s="29"/>
      <c r="D1940" s="30"/>
      <c r="E1940" s="30"/>
      <c r="F1940" s="35"/>
      <c r="G1940" s="35"/>
      <c r="H1940" s="35" t="str">
        <f t="shared" si="30"/>
        <v/>
      </c>
      <c r="I1940" s="29"/>
      <c r="K1940" s="36" t="str">
        <f>IF(ISNUMBER($D1940),IF(YEAR($D1940)=대시보드!$C$2,$D1940+ROW()/100000,""),"")</f>
        <v/>
      </c>
    </row>
    <row r="1941" spans="1:11">
      <c r="A1941" s="33"/>
      <c r="B1941" s="29"/>
      <c r="C1941" s="29"/>
      <c r="D1941" s="30"/>
      <c r="E1941" s="30"/>
      <c r="F1941" s="35"/>
      <c r="G1941" s="35"/>
      <c r="H1941" s="35" t="str">
        <f t="shared" si="30"/>
        <v/>
      </c>
      <c r="I1941" s="29"/>
      <c r="K1941" s="36" t="str">
        <f>IF(ISNUMBER($D1941),IF(YEAR($D1941)=대시보드!$C$2,$D1941+ROW()/100000,""),"")</f>
        <v/>
      </c>
    </row>
    <row r="1942" spans="1:11">
      <c r="A1942" s="33"/>
      <c r="B1942" s="29"/>
      <c r="C1942" s="29"/>
      <c r="D1942" s="30"/>
      <c r="E1942" s="30"/>
      <c r="F1942" s="35"/>
      <c r="G1942" s="35"/>
      <c r="H1942" s="35" t="str">
        <f t="shared" si="30"/>
        <v/>
      </c>
      <c r="I1942" s="29"/>
      <c r="K1942" s="36" t="str">
        <f>IF(ISNUMBER($D1942),IF(YEAR($D1942)=대시보드!$C$2,$D1942+ROW()/100000,""),"")</f>
        <v/>
      </c>
    </row>
    <row r="1943" spans="1:11">
      <c r="A1943" s="33"/>
      <c r="B1943" s="29"/>
      <c r="C1943" s="29"/>
      <c r="D1943" s="30"/>
      <c r="E1943" s="30"/>
      <c r="F1943" s="35"/>
      <c r="G1943" s="35"/>
      <c r="H1943" s="35" t="str">
        <f t="shared" si="30"/>
        <v/>
      </c>
      <c r="I1943" s="29"/>
      <c r="K1943" s="36" t="str">
        <f>IF(ISNUMBER($D1943),IF(YEAR($D1943)=대시보드!$C$2,$D1943+ROW()/100000,""),"")</f>
        <v/>
      </c>
    </row>
    <row r="1944" spans="1:11">
      <c r="A1944" s="33"/>
      <c r="B1944" s="29"/>
      <c r="C1944" s="29"/>
      <c r="D1944" s="30"/>
      <c r="E1944" s="30"/>
      <c r="F1944" s="35"/>
      <c r="G1944" s="35"/>
      <c r="H1944" s="35" t="str">
        <f t="shared" si="30"/>
        <v/>
      </c>
      <c r="I1944" s="29"/>
      <c r="K1944" s="36" t="str">
        <f>IF(ISNUMBER($D1944),IF(YEAR($D1944)=대시보드!$C$2,$D1944+ROW()/100000,""),"")</f>
        <v/>
      </c>
    </row>
    <row r="1945" spans="1:11">
      <c r="A1945" s="33"/>
      <c r="B1945" s="29"/>
      <c r="C1945" s="29"/>
      <c r="D1945" s="30"/>
      <c r="E1945" s="30"/>
      <c r="F1945" s="35"/>
      <c r="G1945" s="35"/>
      <c r="H1945" s="35" t="str">
        <f t="shared" si="30"/>
        <v/>
      </c>
      <c r="I1945" s="29"/>
      <c r="K1945" s="36" t="str">
        <f>IF(ISNUMBER($D1945),IF(YEAR($D1945)=대시보드!$C$2,$D1945+ROW()/100000,""),"")</f>
        <v/>
      </c>
    </row>
    <row r="1946" spans="1:11">
      <c r="A1946" s="33"/>
      <c r="B1946" s="29"/>
      <c r="C1946" s="29"/>
      <c r="D1946" s="30"/>
      <c r="E1946" s="30"/>
      <c r="F1946" s="35"/>
      <c r="G1946" s="35"/>
      <c r="H1946" s="35" t="str">
        <f t="shared" si="30"/>
        <v/>
      </c>
      <c r="I1946" s="29"/>
      <c r="K1946" s="36" t="str">
        <f>IF(ISNUMBER($D1946),IF(YEAR($D1946)=대시보드!$C$2,$D1946+ROW()/100000,""),"")</f>
        <v/>
      </c>
    </row>
    <row r="1947" spans="1:11">
      <c r="A1947" s="33"/>
      <c r="B1947" s="29"/>
      <c r="C1947" s="29"/>
      <c r="D1947" s="30"/>
      <c r="E1947" s="30"/>
      <c r="F1947" s="35"/>
      <c r="G1947" s="35"/>
      <c r="H1947" s="35" t="str">
        <f t="shared" si="30"/>
        <v/>
      </c>
      <c r="I1947" s="29"/>
      <c r="K1947" s="36" t="str">
        <f>IF(ISNUMBER($D1947),IF(YEAR($D1947)=대시보드!$C$2,$D1947+ROW()/100000,""),"")</f>
        <v/>
      </c>
    </row>
    <row r="1948" spans="1:11">
      <c r="A1948" s="33"/>
      <c r="B1948" s="29"/>
      <c r="C1948" s="29"/>
      <c r="D1948" s="30"/>
      <c r="E1948" s="30"/>
      <c r="F1948" s="35"/>
      <c r="G1948" s="35"/>
      <c r="H1948" s="35" t="str">
        <f t="shared" si="30"/>
        <v/>
      </c>
      <c r="I1948" s="29"/>
      <c r="K1948" s="36" t="str">
        <f>IF(ISNUMBER($D1948),IF(YEAR($D1948)=대시보드!$C$2,$D1948+ROW()/100000,""),"")</f>
        <v/>
      </c>
    </row>
    <row r="1949" spans="1:11">
      <c r="A1949" s="33"/>
      <c r="B1949" s="29"/>
      <c r="C1949" s="29"/>
      <c r="D1949" s="30"/>
      <c r="E1949" s="30"/>
      <c r="F1949" s="35"/>
      <c r="G1949" s="35"/>
      <c r="H1949" s="35" t="str">
        <f t="shared" si="30"/>
        <v/>
      </c>
      <c r="I1949" s="29"/>
      <c r="K1949" s="36" t="str">
        <f>IF(ISNUMBER($D1949),IF(YEAR($D1949)=대시보드!$C$2,$D1949+ROW()/100000,""),"")</f>
        <v/>
      </c>
    </row>
    <row r="1950" spans="1:11">
      <c r="A1950" s="33"/>
      <c r="B1950" s="29"/>
      <c r="C1950" s="29"/>
      <c r="D1950" s="30"/>
      <c r="E1950" s="30"/>
      <c r="F1950" s="35"/>
      <c r="G1950" s="35"/>
      <c r="H1950" s="35" t="str">
        <f t="shared" si="30"/>
        <v/>
      </c>
      <c r="I1950" s="29"/>
      <c r="K1950" s="36" t="str">
        <f>IF(ISNUMBER($D1950),IF(YEAR($D1950)=대시보드!$C$2,$D1950+ROW()/100000,""),"")</f>
        <v/>
      </c>
    </row>
    <row r="1951" spans="1:11">
      <c r="A1951" s="33"/>
      <c r="B1951" s="29"/>
      <c r="C1951" s="29"/>
      <c r="D1951" s="30"/>
      <c r="E1951" s="30"/>
      <c r="F1951" s="35"/>
      <c r="G1951" s="35"/>
      <c r="H1951" s="35" t="str">
        <f t="shared" si="30"/>
        <v/>
      </c>
      <c r="I1951" s="29"/>
      <c r="K1951" s="36" t="str">
        <f>IF(ISNUMBER($D1951),IF(YEAR($D1951)=대시보드!$C$2,$D1951+ROW()/100000,""),"")</f>
        <v/>
      </c>
    </row>
    <row r="1952" spans="1:11">
      <c r="A1952" s="33"/>
      <c r="B1952" s="29"/>
      <c r="C1952" s="29"/>
      <c r="D1952" s="30"/>
      <c r="E1952" s="30"/>
      <c r="F1952" s="35"/>
      <c r="G1952" s="35"/>
      <c r="H1952" s="35" t="str">
        <f t="shared" si="30"/>
        <v/>
      </c>
      <c r="I1952" s="29"/>
      <c r="K1952" s="36" t="str">
        <f>IF(ISNUMBER($D1952),IF(YEAR($D1952)=대시보드!$C$2,$D1952+ROW()/100000,""),"")</f>
        <v/>
      </c>
    </row>
    <row r="1953" spans="1:11">
      <c r="A1953" s="33"/>
      <c r="B1953" s="29"/>
      <c r="C1953" s="29"/>
      <c r="D1953" s="30"/>
      <c r="E1953" s="30"/>
      <c r="F1953" s="35"/>
      <c r="G1953" s="35"/>
      <c r="H1953" s="35" t="str">
        <f t="shared" si="30"/>
        <v/>
      </c>
      <c r="I1953" s="29"/>
      <c r="K1953" s="36" t="str">
        <f>IF(ISNUMBER($D1953),IF(YEAR($D1953)=대시보드!$C$2,$D1953+ROW()/100000,""),"")</f>
        <v/>
      </c>
    </row>
    <row r="1954" spans="1:11">
      <c r="A1954" s="33"/>
      <c r="B1954" s="29"/>
      <c r="C1954" s="29"/>
      <c r="D1954" s="30"/>
      <c r="E1954" s="30"/>
      <c r="F1954" s="35"/>
      <c r="G1954" s="35"/>
      <c r="H1954" s="35" t="str">
        <f t="shared" si="30"/>
        <v/>
      </c>
      <c r="I1954" s="29"/>
      <c r="K1954" s="36" t="str">
        <f>IF(ISNUMBER($D1954),IF(YEAR($D1954)=대시보드!$C$2,$D1954+ROW()/100000,""),"")</f>
        <v/>
      </c>
    </row>
    <row r="1955" spans="1:11">
      <c r="A1955" s="33"/>
      <c r="B1955" s="29"/>
      <c r="C1955" s="29"/>
      <c r="D1955" s="30"/>
      <c r="E1955" s="30"/>
      <c r="F1955" s="35"/>
      <c r="G1955" s="35"/>
      <c r="H1955" s="35" t="str">
        <f t="shared" si="30"/>
        <v/>
      </c>
      <c r="I1955" s="29"/>
      <c r="K1955" s="36" t="str">
        <f>IF(ISNUMBER($D1955),IF(YEAR($D1955)=대시보드!$C$2,$D1955+ROW()/100000,""),"")</f>
        <v/>
      </c>
    </row>
    <row r="1956" spans="1:11">
      <c r="A1956" s="33"/>
      <c r="B1956" s="29"/>
      <c r="C1956" s="29"/>
      <c r="D1956" s="30"/>
      <c r="E1956" s="30"/>
      <c r="F1956" s="35"/>
      <c r="G1956" s="35"/>
      <c r="H1956" s="35" t="str">
        <f t="shared" si="30"/>
        <v/>
      </c>
      <c r="I1956" s="29"/>
      <c r="K1956" s="36" t="str">
        <f>IF(ISNUMBER($D1956),IF(YEAR($D1956)=대시보드!$C$2,$D1956+ROW()/100000,""),"")</f>
        <v/>
      </c>
    </row>
    <row r="1957" spans="1:11">
      <c r="A1957" s="33"/>
      <c r="B1957" s="29"/>
      <c r="C1957" s="29"/>
      <c r="D1957" s="30"/>
      <c r="E1957" s="30"/>
      <c r="F1957" s="35"/>
      <c r="G1957" s="35"/>
      <c r="H1957" s="35" t="str">
        <f t="shared" si="30"/>
        <v/>
      </c>
      <c r="I1957" s="29"/>
      <c r="K1957" s="36" t="str">
        <f>IF(ISNUMBER($D1957),IF(YEAR($D1957)=대시보드!$C$2,$D1957+ROW()/100000,""),"")</f>
        <v/>
      </c>
    </row>
    <row r="1958" spans="1:11">
      <c r="A1958" s="33"/>
      <c r="B1958" s="29"/>
      <c r="C1958" s="29"/>
      <c r="D1958" s="30"/>
      <c r="E1958" s="30"/>
      <c r="F1958" s="35"/>
      <c r="G1958" s="35"/>
      <c r="H1958" s="35" t="str">
        <f t="shared" si="30"/>
        <v/>
      </c>
      <c r="I1958" s="29"/>
      <c r="K1958" s="36" t="str">
        <f>IF(ISNUMBER($D1958),IF(YEAR($D1958)=대시보드!$C$2,$D1958+ROW()/100000,""),"")</f>
        <v/>
      </c>
    </row>
    <row r="1959" spans="1:11">
      <c r="A1959" s="33"/>
      <c r="B1959" s="29"/>
      <c r="C1959" s="29"/>
      <c r="D1959" s="30"/>
      <c r="E1959" s="30"/>
      <c r="F1959" s="35"/>
      <c r="G1959" s="35"/>
      <c r="H1959" s="35" t="str">
        <f t="shared" si="30"/>
        <v/>
      </c>
      <c r="I1959" s="29"/>
      <c r="K1959" s="36" t="str">
        <f>IF(ISNUMBER($D1959),IF(YEAR($D1959)=대시보드!$C$2,$D1959+ROW()/100000,""),"")</f>
        <v/>
      </c>
    </row>
    <row r="1960" spans="1:11">
      <c r="A1960" s="33"/>
      <c r="B1960" s="29"/>
      <c r="C1960" s="29"/>
      <c r="D1960" s="30"/>
      <c r="E1960" s="30"/>
      <c r="F1960" s="35"/>
      <c r="G1960" s="35"/>
      <c r="H1960" s="35" t="str">
        <f t="shared" si="30"/>
        <v/>
      </c>
      <c r="I1960" s="29"/>
      <c r="K1960" s="36" t="str">
        <f>IF(ISNUMBER($D1960),IF(YEAR($D1960)=대시보드!$C$2,$D1960+ROW()/100000,""),"")</f>
        <v/>
      </c>
    </row>
    <row r="1961" spans="1:11">
      <c r="A1961" s="33"/>
      <c r="B1961" s="29"/>
      <c r="C1961" s="29"/>
      <c r="D1961" s="30"/>
      <c r="E1961" s="30"/>
      <c r="F1961" s="35"/>
      <c r="G1961" s="35"/>
      <c r="H1961" s="35" t="str">
        <f t="shared" si="30"/>
        <v/>
      </c>
      <c r="I1961" s="29"/>
      <c r="K1961" s="36" t="str">
        <f>IF(ISNUMBER($D1961),IF(YEAR($D1961)=대시보드!$C$2,$D1961+ROW()/100000,""),"")</f>
        <v/>
      </c>
    </row>
    <row r="1962" spans="1:11">
      <c r="A1962" s="33"/>
      <c r="B1962" s="29"/>
      <c r="C1962" s="29"/>
      <c r="D1962" s="30"/>
      <c r="E1962" s="30"/>
      <c r="F1962" s="35"/>
      <c r="G1962" s="35"/>
      <c r="H1962" s="35" t="str">
        <f t="shared" si="30"/>
        <v/>
      </c>
      <c r="I1962" s="29"/>
      <c r="K1962" s="36" t="str">
        <f>IF(ISNUMBER($D1962),IF(YEAR($D1962)=대시보드!$C$2,$D1962+ROW()/100000,""),"")</f>
        <v/>
      </c>
    </row>
    <row r="1963" spans="1:11">
      <c r="A1963" s="33"/>
      <c r="B1963" s="29"/>
      <c r="C1963" s="29"/>
      <c r="D1963" s="30"/>
      <c r="E1963" s="30"/>
      <c r="F1963" s="35"/>
      <c r="G1963" s="35"/>
      <c r="H1963" s="35" t="str">
        <f t="shared" si="30"/>
        <v/>
      </c>
      <c r="I1963" s="29"/>
      <c r="K1963" s="36" t="str">
        <f>IF(ISNUMBER($D1963),IF(YEAR($D1963)=대시보드!$C$2,$D1963+ROW()/100000,""),"")</f>
        <v/>
      </c>
    </row>
    <row r="1964" spans="1:11">
      <c r="A1964" s="33"/>
      <c r="B1964" s="29"/>
      <c r="C1964" s="29"/>
      <c r="D1964" s="30"/>
      <c r="E1964" s="30"/>
      <c r="F1964" s="35"/>
      <c r="G1964" s="35"/>
      <c r="H1964" s="35" t="str">
        <f t="shared" si="30"/>
        <v/>
      </c>
      <c r="I1964" s="29"/>
      <c r="K1964" s="36" t="str">
        <f>IF(ISNUMBER($D1964),IF(YEAR($D1964)=대시보드!$C$2,$D1964+ROW()/100000,""),"")</f>
        <v/>
      </c>
    </row>
    <row r="1965" spans="1:11">
      <c r="A1965" s="33"/>
      <c r="B1965" s="29"/>
      <c r="C1965" s="29"/>
      <c r="D1965" s="30"/>
      <c r="E1965" s="30"/>
      <c r="F1965" s="35"/>
      <c r="G1965" s="35"/>
      <c r="H1965" s="35" t="str">
        <f t="shared" si="30"/>
        <v/>
      </c>
      <c r="I1965" s="29"/>
      <c r="K1965" s="36" t="str">
        <f>IF(ISNUMBER($D1965),IF(YEAR($D1965)=대시보드!$C$2,$D1965+ROW()/100000,""),"")</f>
        <v/>
      </c>
    </row>
    <row r="1966" spans="1:11">
      <c r="A1966" s="33"/>
      <c r="B1966" s="29"/>
      <c r="C1966" s="29"/>
      <c r="D1966" s="30"/>
      <c r="E1966" s="30"/>
      <c r="F1966" s="35"/>
      <c r="G1966" s="35"/>
      <c r="H1966" s="35" t="str">
        <f t="shared" si="30"/>
        <v/>
      </c>
      <c r="I1966" s="29"/>
      <c r="K1966" s="36" t="str">
        <f>IF(ISNUMBER($D1966),IF(YEAR($D1966)=대시보드!$C$2,$D1966+ROW()/100000,""),"")</f>
        <v/>
      </c>
    </row>
    <row r="1967" spans="1:11">
      <c r="A1967" s="33"/>
      <c r="B1967" s="29"/>
      <c r="C1967" s="29"/>
      <c r="D1967" s="30"/>
      <c r="E1967" s="30"/>
      <c r="F1967" s="35"/>
      <c r="G1967" s="35"/>
      <c r="H1967" s="35" t="str">
        <f t="shared" si="30"/>
        <v/>
      </c>
      <c r="I1967" s="29"/>
      <c r="K1967" s="36" t="str">
        <f>IF(ISNUMBER($D1967),IF(YEAR($D1967)=대시보드!$C$2,$D1967+ROW()/100000,""),"")</f>
        <v/>
      </c>
    </row>
    <row r="1968" spans="1:11">
      <c r="A1968" s="33"/>
      <c r="B1968" s="29"/>
      <c r="C1968" s="29"/>
      <c r="D1968" s="30"/>
      <c r="E1968" s="30"/>
      <c r="F1968" s="35"/>
      <c r="G1968" s="35"/>
      <c r="H1968" s="35" t="str">
        <f t="shared" si="30"/>
        <v/>
      </c>
      <c r="I1968" s="29"/>
      <c r="K1968" s="36" t="str">
        <f>IF(ISNUMBER($D1968),IF(YEAR($D1968)=대시보드!$C$2,$D1968+ROW()/100000,""),"")</f>
        <v/>
      </c>
    </row>
    <row r="1969" spans="1:11">
      <c r="A1969" s="33"/>
      <c r="B1969" s="29"/>
      <c r="C1969" s="29"/>
      <c r="D1969" s="30"/>
      <c r="E1969" s="30"/>
      <c r="F1969" s="35"/>
      <c r="G1969" s="35"/>
      <c r="H1969" s="35" t="str">
        <f t="shared" si="30"/>
        <v/>
      </c>
      <c r="I1969" s="29"/>
      <c r="K1969" s="36" t="str">
        <f>IF(ISNUMBER($D1969),IF(YEAR($D1969)=대시보드!$C$2,$D1969+ROW()/100000,""),"")</f>
        <v/>
      </c>
    </row>
    <row r="1970" spans="1:11">
      <c r="A1970" s="33"/>
      <c r="B1970" s="29"/>
      <c r="C1970" s="29"/>
      <c r="D1970" s="30"/>
      <c r="E1970" s="30"/>
      <c r="F1970" s="35"/>
      <c r="G1970" s="35"/>
      <c r="H1970" s="35" t="str">
        <f t="shared" si="30"/>
        <v/>
      </c>
      <c r="I1970" s="29"/>
      <c r="K1970" s="36" t="str">
        <f>IF(ISNUMBER($D1970),IF(YEAR($D1970)=대시보드!$C$2,$D1970+ROW()/100000,""),"")</f>
        <v/>
      </c>
    </row>
    <row r="1971" spans="1:11">
      <c r="A1971" s="33"/>
      <c r="B1971" s="29"/>
      <c r="C1971" s="29"/>
      <c r="D1971" s="30"/>
      <c r="E1971" s="30"/>
      <c r="F1971" s="35"/>
      <c r="G1971" s="35"/>
      <c r="H1971" s="35" t="str">
        <f t="shared" si="30"/>
        <v/>
      </c>
      <c r="I1971" s="29"/>
      <c r="K1971" s="36" t="str">
        <f>IF(ISNUMBER($D1971),IF(YEAR($D1971)=대시보드!$C$2,$D1971+ROW()/100000,""),"")</f>
        <v/>
      </c>
    </row>
    <row r="1972" spans="1:11">
      <c r="A1972" s="33"/>
      <c r="B1972" s="29"/>
      <c r="C1972" s="29"/>
      <c r="D1972" s="30"/>
      <c r="E1972" s="30"/>
      <c r="F1972" s="35"/>
      <c r="G1972" s="35"/>
      <c r="H1972" s="35" t="str">
        <f t="shared" si="30"/>
        <v/>
      </c>
      <c r="I1972" s="29"/>
      <c r="K1972" s="36" t="str">
        <f>IF(ISNUMBER($D1972),IF(YEAR($D1972)=대시보드!$C$2,$D1972+ROW()/100000,""),"")</f>
        <v/>
      </c>
    </row>
    <row r="1973" spans="1:11">
      <c r="A1973" s="33"/>
      <c r="B1973" s="29"/>
      <c r="C1973" s="29"/>
      <c r="D1973" s="30"/>
      <c r="E1973" s="30"/>
      <c r="F1973" s="35"/>
      <c r="G1973" s="35"/>
      <c r="H1973" s="35" t="str">
        <f t="shared" si="30"/>
        <v/>
      </c>
      <c r="I1973" s="29"/>
      <c r="K1973" s="36" t="str">
        <f>IF(ISNUMBER($D1973),IF(YEAR($D1973)=대시보드!$C$2,$D1973+ROW()/100000,""),"")</f>
        <v/>
      </c>
    </row>
    <row r="1974" spans="1:11">
      <c r="A1974" s="33"/>
      <c r="B1974" s="29"/>
      <c r="C1974" s="29"/>
      <c r="D1974" s="30"/>
      <c r="E1974" s="30"/>
      <c r="F1974" s="35"/>
      <c r="G1974" s="35"/>
      <c r="H1974" s="35" t="str">
        <f t="shared" si="30"/>
        <v/>
      </c>
      <c r="I1974" s="29"/>
      <c r="K1974" s="36" t="str">
        <f>IF(ISNUMBER($D1974),IF(YEAR($D1974)=대시보드!$C$2,$D1974+ROW()/100000,""),"")</f>
        <v/>
      </c>
    </row>
    <row r="1975" spans="1:11">
      <c r="A1975" s="33"/>
      <c r="B1975" s="29"/>
      <c r="C1975" s="29"/>
      <c r="D1975" s="30"/>
      <c r="E1975" s="30"/>
      <c r="F1975" s="35"/>
      <c r="G1975" s="35"/>
      <c r="H1975" s="35" t="str">
        <f t="shared" si="30"/>
        <v/>
      </c>
      <c r="I1975" s="29"/>
      <c r="K1975" s="36" t="str">
        <f>IF(ISNUMBER($D1975),IF(YEAR($D1975)=대시보드!$C$2,$D1975+ROW()/100000,""),"")</f>
        <v/>
      </c>
    </row>
    <row r="1976" spans="1:11">
      <c r="A1976" s="33"/>
      <c r="B1976" s="29"/>
      <c r="C1976" s="29"/>
      <c r="D1976" s="30"/>
      <c r="E1976" s="30"/>
      <c r="F1976" s="35"/>
      <c r="G1976" s="35"/>
      <c r="H1976" s="35" t="str">
        <f t="shared" si="30"/>
        <v/>
      </c>
      <c r="I1976" s="29"/>
      <c r="K1976" s="36" t="str">
        <f>IF(ISNUMBER($D1976),IF(YEAR($D1976)=대시보드!$C$2,$D1976+ROW()/100000,""),"")</f>
        <v/>
      </c>
    </row>
    <row r="1977" spans="1:11">
      <c r="A1977" s="33"/>
      <c r="B1977" s="29"/>
      <c r="C1977" s="29"/>
      <c r="D1977" s="30"/>
      <c r="E1977" s="30"/>
      <c r="F1977" s="35"/>
      <c r="G1977" s="35"/>
      <c r="H1977" s="35" t="str">
        <f t="shared" si="30"/>
        <v/>
      </c>
      <c r="I1977" s="29"/>
      <c r="K1977" s="36" t="str">
        <f>IF(ISNUMBER($D1977),IF(YEAR($D1977)=대시보드!$C$2,$D1977+ROW()/100000,""),"")</f>
        <v/>
      </c>
    </row>
    <row r="1978" spans="1:11">
      <c r="A1978" s="33"/>
      <c r="B1978" s="29"/>
      <c r="C1978" s="29"/>
      <c r="D1978" s="30"/>
      <c r="E1978" s="30"/>
      <c r="F1978" s="35"/>
      <c r="G1978" s="35"/>
      <c r="H1978" s="35" t="str">
        <f t="shared" si="30"/>
        <v/>
      </c>
      <c r="I1978" s="29"/>
      <c r="K1978" s="36" t="str">
        <f>IF(ISNUMBER($D1978),IF(YEAR($D1978)=대시보드!$C$2,$D1978+ROW()/100000,""),"")</f>
        <v/>
      </c>
    </row>
    <row r="1979" spans="1:11">
      <c r="A1979" s="33"/>
      <c r="B1979" s="29"/>
      <c r="C1979" s="29"/>
      <c r="D1979" s="30"/>
      <c r="E1979" s="30"/>
      <c r="F1979" s="35"/>
      <c r="G1979" s="35"/>
      <c r="H1979" s="35" t="str">
        <f t="shared" si="30"/>
        <v/>
      </c>
      <c r="I1979" s="29"/>
      <c r="K1979" s="36" t="str">
        <f>IF(ISNUMBER($D1979),IF(YEAR($D1979)=대시보드!$C$2,$D1979+ROW()/100000,""),"")</f>
        <v/>
      </c>
    </row>
    <row r="1980" spans="1:11">
      <c r="A1980" s="33"/>
      <c r="B1980" s="29"/>
      <c r="C1980" s="29"/>
      <c r="D1980" s="30"/>
      <c r="E1980" s="30"/>
      <c r="F1980" s="35"/>
      <c r="G1980" s="35"/>
      <c r="H1980" s="35" t="str">
        <f t="shared" si="30"/>
        <v/>
      </c>
      <c r="I1980" s="29"/>
      <c r="K1980" s="36" t="str">
        <f>IF(ISNUMBER($D1980),IF(YEAR($D1980)=대시보드!$C$2,$D1980+ROW()/100000,""),"")</f>
        <v/>
      </c>
    </row>
    <row r="1981" spans="1:11">
      <c r="A1981" s="33"/>
      <c r="B1981" s="29"/>
      <c r="C1981" s="29"/>
      <c r="D1981" s="30"/>
      <c r="E1981" s="30"/>
      <c r="F1981" s="35"/>
      <c r="G1981" s="35"/>
      <c r="H1981" s="35" t="str">
        <f t="shared" si="30"/>
        <v/>
      </c>
      <c r="I1981" s="29"/>
      <c r="K1981" s="36" t="str">
        <f>IF(ISNUMBER($D1981),IF(YEAR($D1981)=대시보드!$C$2,$D1981+ROW()/100000,""),"")</f>
        <v/>
      </c>
    </row>
    <row r="1982" spans="1:11">
      <c r="A1982" s="33"/>
      <c r="B1982" s="29"/>
      <c r="C1982" s="29"/>
      <c r="D1982" s="30"/>
      <c r="E1982" s="30"/>
      <c r="F1982" s="35"/>
      <c r="G1982" s="35"/>
      <c r="H1982" s="35" t="str">
        <f t="shared" si="30"/>
        <v/>
      </c>
      <c r="I1982" s="29"/>
      <c r="K1982" s="36" t="str">
        <f>IF(ISNUMBER($D1982),IF(YEAR($D1982)=대시보드!$C$2,$D1982+ROW()/100000,""),"")</f>
        <v/>
      </c>
    </row>
    <row r="1983" spans="1:11">
      <c r="A1983" s="33"/>
      <c r="B1983" s="29"/>
      <c r="C1983" s="29"/>
      <c r="D1983" s="30"/>
      <c r="E1983" s="30"/>
      <c r="F1983" s="35"/>
      <c r="G1983" s="35"/>
      <c r="H1983" s="35" t="str">
        <f t="shared" si="30"/>
        <v/>
      </c>
      <c r="I1983" s="29"/>
      <c r="K1983" s="36" t="str">
        <f>IF(ISNUMBER($D1983),IF(YEAR($D1983)=대시보드!$C$2,$D1983+ROW()/100000,""),"")</f>
        <v/>
      </c>
    </row>
    <row r="1984" spans="1:11">
      <c r="A1984" s="33"/>
      <c r="B1984" s="29"/>
      <c r="C1984" s="29"/>
      <c r="D1984" s="30"/>
      <c r="E1984" s="30"/>
      <c r="F1984" s="35"/>
      <c r="G1984" s="35"/>
      <c r="H1984" s="35" t="str">
        <f t="shared" si="30"/>
        <v/>
      </c>
      <c r="I1984" s="29"/>
      <c r="K1984" s="36" t="str">
        <f>IF(ISNUMBER($D1984),IF(YEAR($D1984)=대시보드!$C$2,$D1984+ROW()/100000,""),"")</f>
        <v/>
      </c>
    </row>
    <row r="1985" spans="1:11">
      <c r="A1985" s="33"/>
      <c r="B1985" s="29"/>
      <c r="C1985" s="29"/>
      <c r="D1985" s="30"/>
      <c r="E1985" s="30"/>
      <c r="F1985" s="35"/>
      <c r="G1985" s="35"/>
      <c r="H1985" s="35" t="str">
        <f t="shared" si="30"/>
        <v/>
      </c>
      <c r="I1985" s="29"/>
      <c r="K1985" s="36" t="str">
        <f>IF(ISNUMBER($D1985),IF(YEAR($D1985)=대시보드!$C$2,$D1985+ROW()/100000,""),"")</f>
        <v/>
      </c>
    </row>
    <row r="1986" spans="1:11">
      <c r="A1986" s="33"/>
      <c r="B1986" s="29"/>
      <c r="C1986" s="29"/>
      <c r="D1986" s="30"/>
      <c r="E1986" s="30"/>
      <c r="F1986" s="35"/>
      <c r="G1986" s="35"/>
      <c r="H1986" s="35" t="str">
        <f t="shared" si="30"/>
        <v/>
      </c>
      <c r="I1986" s="29"/>
      <c r="K1986" s="36" t="str">
        <f>IF(ISNUMBER($D1986),IF(YEAR($D1986)=대시보드!$C$2,$D1986+ROW()/100000,""),"")</f>
        <v/>
      </c>
    </row>
    <row r="1987" spans="1:11">
      <c r="A1987" s="33"/>
      <c r="B1987" s="29"/>
      <c r="C1987" s="29"/>
      <c r="D1987" s="30"/>
      <c r="E1987" s="30"/>
      <c r="F1987" s="35"/>
      <c r="G1987" s="35"/>
      <c r="H1987" s="35" t="str">
        <f t="shared" si="30"/>
        <v/>
      </c>
      <c r="I1987" s="29"/>
      <c r="K1987" s="36" t="str">
        <f>IF(ISNUMBER($D1987),IF(YEAR($D1987)=대시보드!$C$2,$D1987+ROW()/100000,""),"")</f>
        <v/>
      </c>
    </row>
    <row r="1988" spans="1:11">
      <c r="A1988" s="33"/>
      <c r="B1988" s="29"/>
      <c r="C1988" s="29"/>
      <c r="D1988" s="30"/>
      <c r="E1988" s="30"/>
      <c r="F1988" s="35"/>
      <c r="G1988" s="35"/>
      <c r="H1988" s="35" t="str">
        <f t="shared" ref="H1988:H2051" si="31">IF(F1988="","",F1988-G1988)</f>
        <v/>
      </c>
      <c r="I1988" s="29"/>
      <c r="K1988" s="36" t="str">
        <f>IF(ISNUMBER($D1988),IF(YEAR($D1988)=대시보드!$C$2,$D1988+ROW()/100000,""),"")</f>
        <v/>
      </c>
    </row>
    <row r="1989" spans="1:11">
      <c r="A1989" s="33"/>
      <c r="B1989" s="29"/>
      <c r="C1989" s="29"/>
      <c r="D1989" s="30"/>
      <c r="E1989" s="30"/>
      <c r="F1989" s="35"/>
      <c r="G1989" s="35"/>
      <c r="H1989" s="35" t="str">
        <f t="shared" si="31"/>
        <v/>
      </c>
      <c r="I1989" s="29"/>
      <c r="K1989" s="36" t="str">
        <f>IF(ISNUMBER($D1989),IF(YEAR($D1989)=대시보드!$C$2,$D1989+ROW()/100000,""),"")</f>
        <v/>
      </c>
    </row>
    <row r="1990" spans="1:11">
      <c r="A1990" s="33"/>
      <c r="B1990" s="29"/>
      <c r="C1990" s="29"/>
      <c r="D1990" s="30"/>
      <c r="E1990" s="30"/>
      <c r="F1990" s="35"/>
      <c r="G1990" s="35"/>
      <c r="H1990" s="35" t="str">
        <f t="shared" si="31"/>
        <v/>
      </c>
      <c r="I1990" s="29"/>
      <c r="K1990" s="36" t="str">
        <f>IF(ISNUMBER($D1990),IF(YEAR($D1990)=대시보드!$C$2,$D1990+ROW()/100000,""),"")</f>
        <v/>
      </c>
    </row>
    <row r="1991" spans="1:11">
      <c r="A1991" s="33"/>
      <c r="B1991" s="29"/>
      <c r="C1991" s="29"/>
      <c r="D1991" s="30"/>
      <c r="E1991" s="30"/>
      <c r="F1991" s="35"/>
      <c r="G1991" s="35"/>
      <c r="H1991" s="35" t="str">
        <f t="shared" si="31"/>
        <v/>
      </c>
      <c r="I1991" s="29"/>
      <c r="K1991" s="36" t="str">
        <f>IF(ISNUMBER($D1991),IF(YEAR($D1991)=대시보드!$C$2,$D1991+ROW()/100000,""),"")</f>
        <v/>
      </c>
    </row>
    <row r="1992" spans="1:11">
      <c r="A1992" s="33"/>
      <c r="B1992" s="29"/>
      <c r="C1992" s="29"/>
      <c r="D1992" s="30"/>
      <c r="E1992" s="30"/>
      <c r="F1992" s="35"/>
      <c r="G1992" s="35"/>
      <c r="H1992" s="35" t="str">
        <f t="shared" si="31"/>
        <v/>
      </c>
      <c r="I1992" s="29"/>
      <c r="K1992" s="36" t="str">
        <f>IF(ISNUMBER($D1992),IF(YEAR($D1992)=대시보드!$C$2,$D1992+ROW()/100000,""),"")</f>
        <v/>
      </c>
    </row>
    <row r="1993" spans="1:11">
      <c r="A1993" s="33"/>
      <c r="B1993" s="29"/>
      <c r="C1993" s="29"/>
      <c r="D1993" s="30"/>
      <c r="E1993" s="30"/>
      <c r="F1993" s="35"/>
      <c r="G1993" s="35"/>
      <c r="H1993" s="35" t="str">
        <f t="shared" si="31"/>
        <v/>
      </c>
      <c r="I1993" s="29"/>
      <c r="K1993" s="36" t="str">
        <f>IF(ISNUMBER($D1993),IF(YEAR($D1993)=대시보드!$C$2,$D1993+ROW()/100000,""),"")</f>
        <v/>
      </c>
    </row>
    <row r="1994" spans="1:11">
      <c r="A1994" s="33"/>
      <c r="B1994" s="29"/>
      <c r="C1994" s="29"/>
      <c r="D1994" s="30"/>
      <c r="E1994" s="30"/>
      <c r="F1994" s="35"/>
      <c r="G1994" s="35"/>
      <c r="H1994" s="35" t="str">
        <f t="shared" si="31"/>
        <v/>
      </c>
      <c r="I1994" s="29"/>
      <c r="K1994" s="36" t="str">
        <f>IF(ISNUMBER($D1994),IF(YEAR($D1994)=대시보드!$C$2,$D1994+ROW()/100000,""),"")</f>
        <v/>
      </c>
    </row>
    <row r="1995" spans="1:11">
      <c r="A1995" s="33"/>
      <c r="B1995" s="29"/>
      <c r="C1995" s="29"/>
      <c r="D1995" s="30"/>
      <c r="E1995" s="30"/>
      <c r="F1995" s="35"/>
      <c r="G1995" s="35"/>
      <c r="H1995" s="35" t="str">
        <f t="shared" si="31"/>
        <v/>
      </c>
      <c r="I1995" s="29"/>
      <c r="K1995" s="36" t="str">
        <f>IF(ISNUMBER($D1995),IF(YEAR($D1995)=대시보드!$C$2,$D1995+ROW()/100000,""),"")</f>
        <v/>
      </c>
    </row>
    <row r="1996" spans="1:11">
      <c r="A1996" s="33"/>
      <c r="B1996" s="29"/>
      <c r="C1996" s="29"/>
      <c r="D1996" s="30"/>
      <c r="E1996" s="30"/>
      <c r="F1996" s="35"/>
      <c r="G1996" s="35"/>
      <c r="H1996" s="35" t="str">
        <f t="shared" si="31"/>
        <v/>
      </c>
      <c r="I1996" s="29"/>
      <c r="K1996" s="36" t="str">
        <f>IF(ISNUMBER($D1996),IF(YEAR($D1996)=대시보드!$C$2,$D1996+ROW()/100000,""),"")</f>
        <v/>
      </c>
    </row>
    <row r="1997" spans="1:11">
      <c r="A1997" s="33"/>
      <c r="B1997" s="29"/>
      <c r="C1997" s="29"/>
      <c r="D1997" s="30"/>
      <c r="E1997" s="30"/>
      <c r="F1997" s="35"/>
      <c r="G1997" s="35"/>
      <c r="H1997" s="35" t="str">
        <f t="shared" si="31"/>
        <v/>
      </c>
      <c r="I1997" s="29"/>
      <c r="K1997" s="36" t="str">
        <f>IF(ISNUMBER($D1997),IF(YEAR($D1997)=대시보드!$C$2,$D1997+ROW()/100000,""),"")</f>
        <v/>
      </c>
    </row>
    <row r="1998" spans="1:11">
      <c r="A1998" s="33"/>
      <c r="B1998" s="29"/>
      <c r="C1998" s="29"/>
      <c r="D1998" s="30"/>
      <c r="E1998" s="30"/>
      <c r="F1998" s="35"/>
      <c r="G1998" s="35"/>
      <c r="H1998" s="35" t="str">
        <f t="shared" si="31"/>
        <v/>
      </c>
      <c r="I1998" s="29"/>
      <c r="K1998" s="36" t="str">
        <f>IF(ISNUMBER($D1998),IF(YEAR($D1998)=대시보드!$C$2,$D1998+ROW()/100000,""),"")</f>
        <v/>
      </c>
    </row>
    <row r="1999" spans="1:11">
      <c r="A1999" s="33"/>
      <c r="B1999" s="29"/>
      <c r="C1999" s="29"/>
      <c r="D1999" s="30"/>
      <c r="E1999" s="30"/>
      <c r="F1999" s="35"/>
      <c r="G1999" s="35"/>
      <c r="H1999" s="35" t="str">
        <f t="shared" si="31"/>
        <v/>
      </c>
      <c r="I1999" s="29"/>
      <c r="K1999" s="36" t="str">
        <f>IF(ISNUMBER($D1999),IF(YEAR($D1999)=대시보드!$C$2,$D1999+ROW()/100000,""),"")</f>
        <v/>
      </c>
    </row>
    <row r="2000" spans="1:11">
      <c r="A2000" s="33"/>
      <c r="B2000" s="29"/>
      <c r="C2000" s="29"/>
      <c r="D2000" s="30"/>
      <c r="E2000" s="30"/>
      <c r="F2000" s="35"/>
      <c r="G2000" s="35"/>
      <c r="H2000" s="35" t="str">
        <f t="shared" si="31"/>
        <v/>
      </c>
      <c r="I2000" s="29"/>
      <c r="K2000" s="36" t="str">
        <f>IF(ISNUMBER($D2000),IF(YEAR($D2000)=대시보드!$C$2,$D2000+ROW()/100000,""),"")</f>
        <v/>
      </c>
    </row>
  </sheetData>
  <autoFilter ref="A3:I2000" xr:uid="{00000000-0009-0000-0000-000003000000}"/>
  <phoneticPr fontId="16" type="noConversion"/>
  <conditionalFormatting sqref="A6:I2000 B4:I5">
    <cfRule type="expression" dxfId="1" priority="3">
      <formula>$A4&lt;&gt;""</formula>
    </cfRule>
  </conditionalFormatting>
  <conditionalFormatting sqref="A4:A5">
    <cfRule type="expression" dxfId="0" priority="1">
      <formula>$A4&lt;&gt;""</formula>
    </cfRule>
  </conditionalFormatting>
  <pageMargins left="0.75" right="0.75" top="1" bottom="1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대시보드</vt:lpstr>
      <vt:lpstr>수익 세부내역</vt:lpstr>
      <vt:lpstr>진행중 체험단</vt:lpstr>
      <vt:lpstr>완료 체험단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1</cp:revision>
  <dcterms:created xsi:type="dcterms:W3CDTF">2026-10-21T06:28:10Z</dcterms:created>
  <dcterms:modified xsi:type="dcterms:W3CDTF">2026-10-21T06:53:06Z</dcterms:modified>
  <dc:language>en-US</dc:language>
</cp:coreProperties>
</file>